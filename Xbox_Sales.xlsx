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Calculos" sheetId="2" state="visible" r:id="rId4"/>
    <sheet name="Bas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<sst xmlns="http://schemas.openxmlformats.org/spreadsheetml/2006/main" count="2076" uniqueCount="374">
  <si>
    <t xml:space="preserve">XBOX SALES</t>
  </si>
  <si>
    <t xml:space="preserve">Samuel B. Lira</t>
  </si>
  <si>
    <t xml:space="preserve">Assinaturas, adicionais e desempenho</t>
  </si>
  <si>
    <t xml:space="preserve">Data inicial</t>
  </si>
  <si>
    <t xml:space="preserve">Data final</t>
  </si>
  <si>
    <t xml:space="preserve">Plano</t>
  </si>
  <si>
    <t xml:space="preserve">Tipo de assinatura</t>
  </si>
  <si>
    <t xml:space="preserve">Renovação automática</t>
  </si>
  <si>
    <t xml:space="preserve">Todos</t>
  </si>
  <si>
    <t xml:space="preserve">Todas</t>
  </si>
  <si>
    <t xml:space="preserve">Renovação auto.</t>
  </si>
  <si>
    <t xml:space="preserve">Valor dos cupons</t>
  </si>
  <si>
    <t xml:space="preserve">Total registrado</t>
  </si>
  <si>
    <t xml:space="preserve">Evolução do valor registrado em 2024</t>
  </si>
  <si>
    <t xml:space="preserve">Assinaturas</t>
  </si>
  <si>
    <t xml:space="preserve">Ticket médio</t>
  </si>
  <si>
    <t xml:space="preserve">Adicionais</t>
  </si>
  <si>
    <t xml:space="preserve">EA Play</t>
  </si>
  <si>
    <t xml:space="preserve">Plano + adicionais − cupons</t>
  </si>
  <si>
    <t xml:space="preserve">Planos por valor registrado</t>
  </si>
  <si>
    <t xml:space="preserve">Minecraft</t>
  </si>
  <si>
    <t xml:space="preserve">Composição antes dos cupons</t>
  </si>
  <si>
    <t xml:space="preserve">Uso de cupons</t>
  </si>
  <si>
    <t xml:space="preserve">Percentual de assinaturas do recorte com cupom aplicado.</t>
  </si>
  <si>
    <t xml:space="preserve">Compare o recorte pelos filtros de período, plano, tipo e renovação.</t>
  </si>
  <si>
    <t xml:space="preserve">Base didática DIO. Valores pela data de início, sem projeção de cobrança recorrente. Janeiro, fevereiro e dezembro têm cobertura parcial.</t>
  </si>
  <si>
    <t xml:space="preserve">Cálculos e recorte selecionado</t>
  </si>
  <si>
    <t xml:space="preserve">Filtros válidos?</t>
  </si>
  <si>
    <t xml:space="preserve">1 indica registro incluído. Os valores dos adicionais são brutos; não há rateio de cupons entre produtos.</t>
  </si>
  <si>
    <t xml:space="preserve">ID</t>
  </si>
  <si>
    <t xml:space="preserve">Início</t>
  </si>
  <si>
    <t xml:space="preserve">Tipo</t>
  </si>
  <si>
    <t xml:space="preserve">Renovação</t>
  </si>
  <si>
    <t xml:space="preserve">EA normalizado</t>
  </si>
  <si>
    <t xml:space="preserve">Bruto</t>
  </si>
  <si>
    <t xml:space="preserve">Cupons</t>
  </si>
  <si>
    <t xml:space="preserve">Total calculado</t>
  </si>
  <si>
    <t xml:space="preserve">Total informado</t>
  </si>
  <si>
    <t xml:space="preserve">Incluído?</t>
  </si>
  <si>
    <t xml:space="preserve">Diferença</t>
  </si>
  <si>
    <t xml:space="preserve">ID repetido?</t>
  </si>
  <si>
    <t xml:space="preserve">Divergência?</t>
  </si>
  <si>
    <t xml:space="preserve">Planos</t>
  </si>
  <si>
    <t xml:space="preserve">Participação adicionais</t>
  </si>
  <si>
    <t xml:space="preserve">Incidência cupons</t>
  </si>
  <si>
    <t xml:space="preserve">Mês</t>
  </si>
  <si>
    <t xml:space="preserve">Valor registrado</t>
  </si>
  <si>
    <t xml:space="preserve">Ordem</t>
  </si>
  <si>
    <t xml:space="preserve">jan</t>
  </si>
  <si>
    <t xml:space="preserve">Core</t>
  </si>
  <si>
    <t xml:space="preserve">fev</t>
  </si>
  <si>
    <t xml:space="preserve">Standard</t>
  </si>
  <si>
    <t xml:space="preserve">mar</t>
  </si>
  <si>
    <t xml:space="preserve">Ultimate</t>
  </si>
  <si>
    <t xml:space="preserve">abr</t>
  </si>
  <si>
    <t xml:space="preserve">mai</t>
  </si>
  <si>
    <t xml:space="preserve">jun</t>
  </si>
  <si>
    <t xml:space="preserve">jul</t>
  </si>
  <si>
    <t xml:space="preserve">Componente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</si>
  <si>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</si>
  <si>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</si>
  <si>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</si>
  <si>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</si>
  <si>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</si>
  <si>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Conciliação da base</t>
  </si>
  <si>
    <t xml:space="preserve">Obtido</t>
  </si>
  <si>
    <t xml:space="preserve">Esperado</t>
  </si>
  <si>
    <t xml:space="preserve">IDs preenchidos</t>
  </si>
  <si>
    <t xml:space="preserve">Bruto menos cupons</t>
  </si>
  <si>
    <t xml:space="preserve">Diferença de totais</t>
  </si>
  <si>
    <t xml:space="preserve">Linhas com diferença</t>
  </si>
  <si>
    <t xml:space="preserve">Linhas com ID repetido</t>
  </si>
  <si>
    <t xml:space="preserve">Base de assinaturas</t>
  </si>
  <si>
    <t xml:space="preserve">Fonte DIO: https://hermes.dio.me/files/assets/805d54f9-6d53-4246-bed7-4aa2da615923.xlsx</t>
  </si>
  <si>
    <t xml:space="preserve">295 registros fornecidos. Cálculos preparados até a linha 1006 (1.000 registros). Preserve os nomes e a ordem dos campos.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</si>
  <si>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</si>
  <si>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</si>
  <si>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</si>
  <si>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</si>
  <si>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</si>
  <si>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</si>
  <si>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</si>
  <si>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</si>
  <si>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 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</si>
  <si>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</si>
  <si>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</si>
  <si>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</si>
  <si>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</si>
  <si>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</si>
  <si>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Yes</t>
  </si>
  <si>
    <t xml:space="preserve">Monthly</t>
  </si>
  <si>
    <t xml:space="preserve">Maria Oliveira</t>
  </si>
  <si>
    <t xml:space="preserve">No</t>
  </si>
  <si>
    <t xml:space="preserve">Annual</t>
  </si>
  <si>
    <t xml:space="preserve">-</t>
  </si>
  <si>
    <t xml:space="preserve">Lucas Fernandes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</si>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</sst>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%"/>
    <numFmt numFmtId="167" formatCode="&quot;R$ &quot;#,##0.00"/>
    <numFmt numFmtId="168" formatCode="&quot;R$ &quot;#,##0"/>
    <numFmt numFmtId="169" formatCode="mmm/yyyy"/>
  </numFmts>
  <fonts count="2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EFF6F2"/>
      <name val="Arial"/>
      <family val="0"/>
      <charset val="1"/>
    </font>
    <font>
      <b val="true"/>
      <sz val="25"/>
      <color rgb="FFEFF6F2"/>
      <name val="Arial"/>
      <family val="0"/>
      <charset val="1"/>
    </font>
    <font>
      <sz val="10"/>
      <color rgb="FF9AAEBB"/>
      <name val="Arial"/>
      <family val="0"/>
      <charset val="1"/>
    </font>
    <font>
      <sz val="11"/>
      <color rgb="FF9AAEBB"/>
      <name val="Arial"/>
      <family val="0"/>
      <charset val="1"/>
    </font>
    <font>
      <b val="true"/>
      <sz val="10"/>
      <color rgb="FF6DE5FA"/>
      <name val="Arial"/>
      <family val="0"/>
      <charset val="1"/>
    </font>
    <font>
      <b val="true"/>
      <sz val="12"/>
      <color rgb="FFEFF6F2"/>
      <name val="Arial"/>
      <family val="0"/>
      <charset val="1"/>
    </font>
    <font>
      <sz val="12"/>
      <color rgb="FFBDDCB9"/>
      <name val="Arial"/>
      <family val="0"/>
      <charset val="1"/>
    </font>
    <font>
      <b val="true"/>
      <sz val="26"/>
      <color rgb="FF6DE5FA"/>
      <name val="Arial"/>
      <family val="0"/>
      <charset val="1"/>
    </font>
    <font>
      <b val="true"/>
      <sz val="24"/>
      <color rgb="FFFFAA7D"/>
      <name val="Arial"/>
      <family val="0"/>
      <charset val="1"/>
    </font>
    <font>
      <b val="true"/>
      <sz val="32"/>
      <color rgb="FFEFF6F2"/>
      <name val="Arial"/>
      <family val="0"/>
      <charset val="1"/>
    </font>
    <font>
      <sz val="10"/>
      <color rgb="FFBDDCB9"/>
      <name val="Arial"/>
      <family val="0"/>
      <charset val="1"/>
    </font>
    <font>
      <b val="true"/>
      <sz val="12"/>
      <color rgb="FFC5A0FF"/>
      <name val="Arial"/>
      <family val="0"/>
      <charset val="1"/>
    </font>
    <font>
      <b val="true"/>
      <sz val="24"/>
      <color rgb="FFB6F64B"/>
      <name val="Arial"/>
      <family val="0"/>
      <charset val="1"/>
    </font>
    <font>
      <b val="true"/>
      <sz val="17"/>
      <color rgb="FFEFF6F2"/>
      <name val="Arial"/>
      <family val="0"/>
      <charset val="1"/>
    </font>
    <font>
      <sz val="10"/>
      <color rgb="FFB9ADC9"/>
      <name val="Arial"/>
      <family val="0"/>
      <charset val="1"/>
    </font>
    <font>
      <sz val="10"/>
      <color rgb="FF9FBAA3"/>
      <name val="Arial"/>
      <family val="0"/>
      <charset val="1"/>
    </font>
    <font>
      <b val="true"/>
      <sz val="21"/>
      <color rgb="FFEFF6F2"/>
      <name val="Arial"/>
      <family val="0"/>
      <charset val="1"/>
    </font>
    <font>
      <b val="true"/>
      <sz val="11"/>
      <color rgb="FFEFF6F2"/>
      <name val="Arial"/>
      <family val="0"/>
      <charset val="1"/>
    </font>
    <font>
      <sz val="10"/>
      <color rgb="FFC5A0FF"/>
      <name val="Arial"/>
      <family val="0"/>
      <charset val="1"/>
    </font>
    <font>
      <b val="true"/>
      <sz val="26"/>
      <color rgb="FFFFAA7D"/>
      <name val="Arial"/>
      <family val="0"/>
      <charset val="1"/>
    </font>
    <font>
      <sz val="7.5"/>
      <color rgb="FF9AAEBB"/>
      <name val="Arial"/>
      <family val="2"/>
    </font>
    <font>
      <b val="true"/>
      <sz val="18"/>
      <color rgb="FFEFF6F2"/>
      <name val="Arial"/>
      <family val="0"/>
      <charset val="1"/>
    </font>
    <font>
      <b val="true"/>
      <sz val="11"/>
      <color rgb="FF6DE5FA"/>
      <name val="Arial"/>
      <family val="0"/>
      <charset val="1"/>
    </font>
    <font>
      <sz val="11"/>
      <color rgb="FFEFF6F2"/>
      <name val="Calibri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070C12"/>
        <bgColor rgb="FF0D151E"/>
      </patternFill>
    </fill>
    <fill>
      <patternFill patternType="solid">
        <fgColor rgb="FFB6F64B"/>
        <bgColor rgb="FFB4F052"/>
      </patternFill>
    </fill>
    <fill>
      <patternFill patternType="solid">
        <fgColor rgb="FFB4F052"/>
        <bgColor rgb="FFB6F64B"/>
      </patternFill>
    </fill>
    <fill>
      <patternFill patternType="solid">
        <fgColor rgb="FFB2E959"/>
        <bgColor rgb="FFB0E360"/>
      </patternFill>
    </fill>
    <fill>
      <patternFill patternType="solid">
        <fgColor rgb="FFB0E360"/>
        <bgColor rgb="FFB2E959"/>
      </patternFill>
    </fill>
    <fill>
      <patternFill patternType="solid">
        <fgColor rgb="FFADDC67"/>
        <bgColor rgb="FFABD66E"/>
      </patternFill>
    </fill>
    <fill>
      <patternFill patternType="solid">
        <fgColor rgb="FFABD66E"/>
        <bgColor rgb="FFA9D075"/>
      </patternFill>
    </fill>
    <fill>
      <patternFill patternType="solid">
        <fgColor rgb="FFA9D075"/>
        <bgColor rgb="FFABD66E"/>
      </patternFill>
    </fill>
    <fill>
      <patternFill patternType="solid">
        <fgColor rgb="FFA7C97C"/>
        <bgColor rgb="FFA5C383"/>
      </patternFill>
    </fill>
    <fill>
      <patternFill patternType="solid">
        <fgColor rgb="FFA5C383"/>
        <bgColor rgb="FFA7C97C"/>
      </patternFill>
    </fill>
    <fill>
      <patternFill patternType="solid">
        <fgColor rgb="FFA3BC8A"/>
        <bgColor rgb="FFA1B691"/>
      </patternFill>
    </fill>
    <fill>
      <patternFill patternType="solid">
        <fgColor rgb="FFA1B691"/>
        <bgColor rgb="FFA3BC8A"/>
      </patternFill>
    </fill>
    <fill>
      <patternFill patternType="solid">
        <fgColor rgb="FF9FB098"/>
        <bgColor rgb="FFA1B691"/>
      </patternFill>
    </fill>
    <fill>
      <patternFill patternType="solid">
        <fgColor rgb="FF9CA99F"/>
        <bgColor rgb="FF9AA3A6"/>
      </patternFill>
    </fill>
    <fill>
      <patternFill patternType="solid">
        <fgColor rgb="FF9AA3A6"/>
        <bgColor rgb="FF9CA99F"/>
      </patternFill>
    </fill>
    <fill>
      <patternFill patternType="solid">
        <fgColor rgb="FF989DAD"/>
        <bgColor rgb="FF9AA3A6"/>
      </patternFill>
    </fill>
    <fill>
      <patternFill patternType="solid">
        <fgColor rgb="FF9696B4"/>
        <bgColor rgb="FF9490BB"/>
      </patternFill>
    </fill>
    <fill>
      <patternFill patternType="solid">
        <fgColor rgb="FF9490BB"/>
        <bgColor rgb="FF9696B4"/>
      </patternFill>
    </fill>
    <fill>
      <patternFill patternType="solid">
        <fgColor rgb="FF9289C2"/>
        <bgColor rgb="FF9083C9"/>
      </patternFill>
    </fill>
    <fill>
      <patternFill patternType="solid">
        <fgColor rgb="FF9083C9"/>
        <bgColor rgb="FF9289C2"/>
      </patternFill>
    </fill>
    <fill>
      <patternFill patternType="solid">
        <fgColor rgb="FF8E7DD0"/>
        <bgColor rgb="FF9083C9"/>
      </patternFill>
    </fill>
    <fill>
      <patternFill patternType="solid">
        <fgColor rgb="FF8B76D7"/>
        <bgColor rgb="FF8970DE"/>
      </patternFill>
    </fill>
    <fill>
      <patternFill patternType="solid">
        <fgColor rgb="FF8970DE"/>
        <bgColor rgb="FF8B76D7"/>
      </patternFill>
    </fill>
    <fill>
      <patternFill patternType="solid">
        <fgColor rgb="FF8769E5"/>
        <bgColor rgb="FF8563EC"/>
      </patternFill>
    </fill>
    <fill>
      <patternFill patternType="solid">
        <fgColor rgb="FF8563EC"/>
        <bgColor rgb="FF8769E5"/>
      </patternFill>
    </fill>
    <fill>
      <patternFill patternType="solid">
        <fgColor rgb="FF111C27"/>
        <bgColor rgb="FF0D151E"/>
      </patternFill>
    </fill>
    <fill>
      <patternFill patternType="solid">
        <fgColor rgb="FF132820"/>
        <bgColor rgb="FF111C27"/>
      </patternFill>
    </fill>
    <fill>
      <patternFill patternType="solid">
        <fgColor rgb="FF1C1930"/>
        <bgColor rgb="FF111C27"/>
      </patternFill>
    </fill>
    <fill>
      <patternFill patternType="solid">
        <fgColor rgb="FF0D151E"/>
        <bgColor rgb="FF111C2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83747"/>
      </bottom>
      <diagonal/>
    </border>
    <border diagonalUp="false" diagonalDown="false">
      <left/>
      <right/>
      <top/>
      <bottom style="thin">
        <color rgb="FF6DE5F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1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7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7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2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2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2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2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8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1" fillId="2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9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4" fillId="2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3">
    <dxf>
      <font>
        <b val="1"/>
        <color rgb="FFB23D23"/>
      </font>
    </dxf>
    <dxf>
      <font>
        <b val="1"/>
        <color rgb="FFFFAA7D"/>
      </font>
    </dxf>
    <dxf>
      <font>
        <color rgb="FFA6321D"/>
      </font>
      <fill>
        <patternFill>
          <bgColor rgb="FFFBE1D6"/>
        </patternFill>
      </fill>
    </dxf>
    <dxf>
      <fill>
        <patternFill patternType="solid">
          <fgColor rgb="FF070C12"/>
          <bgColor rgb="FF000000"/>
        </patternFill>
      </fill>
    </dxf>
    <dxf>
      <fill>
        <patternFill patternType="solid">
          <fgColor rgb="FF111C27"/>
          <bgColor rgb="FF000000"/>
        </patternFill>
      </fill>
    </dxf>
    <dxf>
      <fill>
        <patternFill patternType="solid">
          <fgColor rgb="FFEFF6F2"/>
          <bgColor rgb="FF000000"/>
        </patternFill>
      </fill>
    </dxf>
    <dxf>
      <font>
        <color rgb="FFFFFFFF"/>
      </font>
      <fill>
        <patternFill>
          <bgColor theme="6"/>
        </patternFill>
      </fill>
    </dxf>
    <dxf>
      <fill>
        <patternFill>
          <bgColor theme="6" tint="-0.25"/>
        </patternFill>
      </fill>
    </dxf>
    <dxf>
      <fill>
        <patternFill>
          <bgColor theme="6" tint="-0.25"/>
        </patternFill>
      </fill>
    </dxf>
    <dxf>
      <font>
        <b val="1"/>
        <color rgb="FFFFFFFF"/>
      </font>
      <fill>
        <patternFill>
          <bgColor theme="6" tint="-0.25"/>
        </patternFill>
      </fill>
      <border diagonalUp="false" diagonalDown="false">
        <left style="thin">
          <color theme="0"/>
        </left>
        <right/>
        <top/>
        <bottom/>
        <diagonal/>
      </border>
    </dxf>
    <dxf>
      <font>
        <b val="1"/>
        <color rgb="FFFFFFFF"/>
      </font>
      <fill>
        <patternFill>
          <bgColor theme="6" tint="-0.25"/>
        </patternFill>
      </fill>
      <border diagonalUp="false" diagonalDown="false">
        <left/>
        <right style="thin">
          <color theme="0"/>
        </right>
        <top/>
        <bottom/>
        <diagonal/>
      </border>
    </dxf>
    <dxf>
      <font>
        <b val="1"/>
        <color rgb="FFFFFFFF"/>
      </font>
      <fill>
        <patternFill>
          <bgColor theme="1"/>
        </patternFill>
      </fill>
      <border diagonalUp="false" diagonalDown="false">
        <left/>
        <right/>
        <top/>
        <bottom style="thin">
          <color theme="0"/>
        </bottom>
        <diagonal/>
      </border>
    </dxf>
    <dxf>
      <font>
        <b val="1"/>
        <color rgb="FFFFFFFF"/>
      </font>
      <fill>
        <patternFill>
          <bgColor theme="6" tint="-0.5"/>
        </patternFill>
      </fill>
      <border diagonalUp="false" diagonalDown="false">
        <left/>
        <right/>
        <top style="thin">
          <color theme="0"/>
        </top>
        <bottom/>
        <diagonal/>
      </border>
    </dxf>
  </dxfs>
  <tableStyles count="1">
    <tableStyle count="7" name="TableStyleDark4">
      <tableStyleElement dxfId="6" type="wholeTable"/>
      <tableStyleElement dxfId="7" type="firstColumnStripe"/>
      <tableStyleElement dxfId="8" type="firstRowStripe"/>
      <tableStyleElement dxfId="9" type="lastColumn"/>
      <tableStyleElement dxfId="10" type="firstColumn"/>
      <tableStyleElement dxfId="11" type="headerRow"/>
      <tableStyleElement dxfId="12" type="totalRow"/>
    </tableStyle>
  </tableStyles>
  <colors>
    <indexedColors>
      <rgbColor rgb="FF000000"/>
      <rgbColor rgb="FFFFFFFF"/>
      <rgbColor rgb="FFFF0000"/>
      <rgbColor rgb="FFA7C97C"/>
      <rgbColor rgb="FF0000FF"/>
      <rgbColor rgb="FFB6F64B"/>
      <rgbColor rgb="FFFF00FF"/>
      <rgbColor rgb="FFA5C383"/>
      <rgbColor rgb="FF800000"/>
      <rgbColor rgb="FF008000"/>
      <rgbColor rgb="FF0D151E"/>
      <rgbColor rgb="FF9AA3A6"/>
      <rgbColor rgb="FF800080"/>
      <rgbColor rgb="FF9083C9"/>
      <rgbColor rgb="FFB9ADC9"/>
      <rgbColor rgb="FF9289C2"/>
      <rgbColor rgb="FF9490BB"/>
      <rgbColor rgb="FFB23D23"/>
      <rgbColor rgb="FFEFF6F2"/>
      <rgbColor rgb="FFABD66E"/>
      <rgbColor rgb="FF660066"/>
      <rgbColor rgb="FF9CA99F"/>
      <rgbColor rgb="FF8E7DD0"/>
      <rgbColor rgb="FFD9D9D9"/>
      <rgbColor rgb="FF070C12"/>
      <rgbColor rgb="FFFF00FF"/>
      <rgbColor rgb="FFB2E959"/>
      <rgbColor rgb="FF00FFFF"/>
      <rgbColor rgb="FF800080"/>
      <rgbColor rgb="FF800000"/>
      <rgbColor rgb="FFA1B691"/>
      <rgbColor rgb="FF0000FF"/>
      <rgbColor rgb="FF9FBAA3"/>
      <rgbColor rgb="FFA9D075"/>
      <rgbColor rgb="FFBDDCB9"/>
      <rgbColor rgb="FFB4F052"/>
      <rgbColor rgb="FF6DE5FA"/>
      <rgbColor rgb="FFFFAA7D"/>
      <rgbColor rgb="FFC5A0FF"/>
      <rgbColor rgb="FFFBE1D6"/>
      <rgbColor rgb="FF8563EC"/>
      <rgbColor rgb="FF9AAEBB"/>
      <rgbColor rgb="FFADDC67"/>
      <rgbColor rgb="FFB0E360"/>
      <rgbColor rgb="FFA3BC8A"/>
      <rgbColor rgb="FF9FB098"/>
      <rgbColor rgb="FF8970DE"/>
      <rgbColor rgb="FF989DAD"/>
      <rgbColor rgb="FF111C27"/>
      <rgbColor rgb="FF9696B4"/>
      <rgbColor rgb="FF132820"/>
      <rgbColor rgb="FF1C1930"/>
      <rgbColor rgb="FFA6321D"/>
      <rgbColor rgb="FF8769E5"/>
      <rgbColor rgb="FF8B76D7"/>
      <rgbColor rgb="FF283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"Valor registrado"</c:f>
              <c:strCache>
                <c:ptCount val="1"/>
                <c:pt idx="0">
                  <c:v>Valor registrado</c:v>
                </c:pt>
              </c:strCache>
            </c:strRef>
          </c:tx>
          <c:spPr>
            <a:solidFill>
              <a:srgbClr val="6DE5FA"/>
            </a:solidFill>
            <a:ln w="28440">
              <a:solidFill>
                <a:srgbClr val="6DE5F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Calculos!$O$22:$O$33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Calculos!$P$22:$P$33</c:f>
              <c:numCache>
                <c:formatCode>"R$ "#,##0.00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217893"/>
        <c:axId val="42439239"/>
      </c:lineChart>
      <c:catAx>
        <c:axId val="272178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283747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9AAEBB"/>
                </a:solidFill>
                <a:uFillTx/>
                <a:latin typeface="Arial"/>
                <a:ea typeface="Arial"/>
              </a:defRPr>
            </a:pPr>
          </a:p>
        </c:txPr>
        <c:crossAx val="42439239"/>
        <c:crosses val="autoZero"/>
        <c:auto val="1"/>
        <c:lblAlgn val="ctr"/>
        <c:lblOffset val="100"/>
        <c:noMultiLvlLbl val="0"/>
      </c:catAx>
      <c:valAx>
        <c:axId val="42439239"/>
        <c:scaling>
          <c:orientation val="minMax"/>
        </c:scaling>
        <c:delete val="0"/>
        <c:axPos val="l"/>
        <c:majorGridlines>
          <c:spPr>
            <a:ln w="4680">
              <a:solidFill>
                <a:srgbClr val="28374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283747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9AAEBB"/>
                </a:solidFill>
                <a:uFillTx/>
                <a:latin typeface="Arial"/>
                <a:ea typeface="Arial"/>
              </a:defRPr>
            </a:pPr>
          </a:p>
        </c:txPr>
        <c:crossAx val="27217893"/>
        <c:crosses val="autoZero"/>
        <c:crossBetween val="between"/>
      </c:valAx>
      <c:spPr>
        <a:solidFill>
          <a:srgbClr val="111C27"/>
        </a:solidFill>
        <a:ln w="0">
          <a:noFill/>
        </a:ln>
      </c:spPr>
    </c:plotArea>
    <c:plotVisOnly val="1"/>
    <c:dispBlanksAs val="zero"/>
  </c:chart>
  <c:spPr>
    <a:solidFill>
      <a:srgbClr val="111C27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"Valor registrado"</c:f>
              <c:strCache>
                <c:ptCount val="1"/>
                <c:pt idx="0">
                  <c:v>Valor registrado</c:v>
                </c:pt>
              </c:strCache>
            </c:strRef>
          </c:tx>
          <c:spPr>
            <a:solidFill>
              <a:srgbClr val="B6F6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Calculos!$X$22:$X$24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Calculos!$Y$22:$Y$24</c:f>
              <c:numCache>
                <c:formatCode>General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</c:ser>
        <c:gapWidth val="150"/>
        <c:overlap val="0"/>
        <c:axId val="94983667"/>
        <c:axId val="44244995"/>
      </c:barChart>
      <c:catAx>
        <c:axId val="949836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283747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9AAEBB"/>
                </a:solidFill>
                <a:uFillTx/>
                <a:latin typeface="Arial"/>
                <a:ea typeface="Arial"/>
              </a:defRPr>
            </a:pPr>
          </a:p>
        </c:txPr>
        <c:crossAx val="44244995"/>
        <c:crosses val="autoZero"/>
        <c:auto val="1"/>
        <c:lblAlgn val="ctr"/>
        <c:lblOffset val="100"/>
        <c:noMultiLvlLbl val="0"/>
      </c:catAx>
      <c:valAx>
        <c:axId val="44244995"/>
        <c:scaling>
          <c:orientation val="minMax"/>
        </c:scaling>
        <c:delete val="0"/>
        <c:axPos val="l"/>
        <c:majorGridlines>
          <c:spPr>
            <a:ln w="4680">
              <a:solidFill>
                <a:srgbClr val="28374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283747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9AAEBB"/>
                </a:solidFill>
                <a:uFillTx/>
                <a:latin typeface="Arial"/>
                <a:ea typeface="Arial"/>
              </a:defRPr>
            </a:pPr>
          </a:p>
        </c:txPr>
        <c:crossAx val="94983667"/>
        <c:crosses val="autoZero"/>
        <c:crossBetween val="between"/>
      </c:valAx>
      <c:spPr>
        <a:solidFill>
          <a:srgbClr val="111C27"/>
        </a:solidFill>
        <a:ln w="0">
          <a:noFill/>
        </a:ln>
      </c:spPr>
    </c:plotArea>
    <c:plotVisOnly val="1"/>
    <c:dispBlanksAs val="zero"/>
  </c:chart>
  <c:spPr>
    <a:solidFill>
      <a:srgbClr val="111C27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"Bruto"</c:f>
              <c:strCache>
                <c:ptCount val="1"/>
                <c:pt idx="0">
                  <c:v>Bruto</c:v>
                </c:pt>
              </c:strCache>
            </c:strRef>
          </c:tx>
          <c:spPr>
            <a:solidFill>
              <a:srgbClr val="C5A0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Calculos!$T$29:$T$31</c:f>
              <c:strCache>
                <c:ptCount val="3"/>
                <c:pt idx="0">
                  <c:v>Planos</c:v>
                </c:pt>
                <c:pt idx="1">
                  <c:v>EA Play</c:v>
                </c:pt>
                <c:pt idx="2">
                  <c:v>Minecraft</c:v>
                </c:pt>
              </c:strCache>
            </c:strRef>
          </c:cat>
          <c:val>
            <c:numRef>
              <c:f>Calculos!$U$29:$U$31</c:f>
              <c:numCache>
                <c:formatCode>General</c:formatCode>
                <c:ptCount val="3"/>
                <c:pt idx="0">
                  <c:v>2935</c:v>
                </c:pt>
                <c:pt idx="1">
                  <c:v>2940</c:v>
                </c:pt>
                <c:pt idx="2">
                  <c:v>3880</c:v>
                </c:pt>
              </c:numCache>
            </c:numRef>
          </c:val>
        </c:ser>
        <c:gapWidth val="150"/>
        <c:overlap val="0"/>
        <c:axId val="36553094"/>
        <c:axId val="5835529"/>
      </c:barChart>
      <c:catAx>
        <c:axId val="365530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283747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9AAEBB"/>
                </a:solidFill>
                <a:uFillTx/>
                <a:latin typeface="Arial"/>
                <a:ea typeface="Arial"/>
              </a:defRPr>
            </a:pPr>
          </a:p>
        </c:txPr>
        <c:crossAx val="5835529"/>
        <c:crosses val="autoZero"/>
        <c:auto val="1"/>
        <c:lblAlgn val="ctr"/>
        <c:lblOffset val="100"/>
        <c:noMultiLvlLbl val="0"/>
      </c:catAx>
      <c:valAx>
        <c:axId val="5835529"/>
        <c:scaling>
          <c:orientation val="minMax"/>
        </c:scaling>
        <c:delete val="0"/>
        <c:axPos val="l"/>
        <c:majorGridlines>
          <c:spPr>
            <a:ln w="4680">
              <a:solidFill>
                <a:srgbClr val="28374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283747"/>
            </a:solidFill>
            <a:round/>
          </a:ln>
        </c:spPr>
        <c:txPr>
          <a:bodyPr/>
          <a:lstStyle/>
          <a:p>
            <a:pPr>
              <a:defRPr sz="750" b="0" u="none" strike="noStrike">
                <a:solidFill>
                  <a:srgbClr val="9AAEBB"/>
                </a:solidFill>
                <a:uFillTx/>
                <a:latin typeface="Arial"/>
                <a:ea typeface="Arial"/>
              </a:defRPr>
            </a:pPr>
          </a:p>
        </c:txPr>
        <c:crossAx val="36553094"/>
        <c:crosses val="autoZero"/>
        <c:crossBetween val="between"/>
      </c:valAx>
      <c:spPr>
        <a:solidFill>
          <a:srgbClr val="111C27"/>
        </a:solidFill>
        <a:ln w="0">
          <a:noFill/>
        </a:ln>
      </c:spPr>
    </c:plotArea>
    <c:plotVisOnly val="1"/>
    <c:dispBlanksAs val="zero"/>
  </c:chart>
  <c:spPr>
    <a:solidFill>
      <a:srgbClr val="111C27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5.png"/><Relationship Id="rId9" Type="http://schemas.openxmlformats.org/officeDocument/2006/relationships/image" Target="../media/image6.png"/><Relationship Id="rId10" Type="http://schemas.openxmlformats.org/officeDocument/2006/relationships/image" Target="../media/image7.png"/><Relationship Id="rId11" Type="http://schemas.openxmlformats.org/officeDocument/2006/relationships/image" Target="../media/image8.png"/><Relationship Id="rId12" Type="http://schemas.openxmlformats.org/officeDocument/2006/relationships/image" Target="../media/image9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20</xdr:row>
      <xdr:rowOff>0</xdr:rowOff>
    </xdr:from>
    <xdr:to>
      <xdr:col>16</xdr:col>
      <xdr:colOff>430200</xdr:colOff>
      <xdr:row>33</xdr:row>
      <xdr:rowOff>209160</xdr:rowOff>
    </xdr:to>
    <xdr:graphicFrame>
      <xdr:nvGraphicFramePr>
        <xdr:cNvPr id="1" name="Chart"/>
        <xdr:cNvGraphicFramePr/>
      </xdr:nvGraphicFramePr>
      <xdr:xfrm>
        <a:off x="4078440" y="4029120"/>
        <a:ext cx="301356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430200</xdr:colOff>
      <xdr:row>43</xdr:row>
      <xdr:rowOff>209160</xdr:rowOff>
    </xdr:to>
    <xdr:graphicFrame>
      <xdr:nvGraphicFramePr>
        <xdr:cNvPr id="2" name="Chart"/>
        <xdr:cNvGraphicFramePr/>
      </xdr:nvGraphicFramePr>
      <xdr:xfrm>
        <a:off x="203760" y="6124680"/>
        <a:ext cx="3444120" cy="29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37</xdr:row>
      <xdr:rowOff>0</xdr:rowOff>
    </xdr:from>
    <xdr:to>
      <xdr:col>16</xdr:col>
      <xdr:colOff>430200</xdr:colOff>
      <xdr:row>49</xdr:row>
      <xdr:rowOff>209160</xdr:rowOff>
    </xdr:to>
    <xdr:graphicFrame>
      <xdr:nvGraphicFramePr>
        <xdr:cNvPr id="3" name="Chart"/>
        <xdr:cNvGraphicFramePr/>
      </xdr:nvGraphicFramePr>
      <xdr:xfrm>
        <a:off x="4078440" y="7591320"/>
        <a:ext cx="3013560" cy="272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264240</xdr:colOff>
      <xdr:row>4</xdr:row>
      <xdr:rowOff>65880</xdr:rowOff>
    </xdr:to>
    <xdr:pic>
      <xdr:nvPicPr>
        <xdr:cNvPr id="4" name="56815d5e-b3cc-4fb3-b200-37e375aceb39"/>
        <xdr:cNvPicPr/>
      </xdr:nvPicPr>
      <xdr:blipFill>
        <a:blip r:embed="rId4"/>
        <a:stretch/>
      </xdr:blipFill>
      <xdr:spPr>
        <a:xfrm>
          <a:off x="203760" y="47520"/>
          <a:ext cx="694800" cy="69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22</xdr:col>
      <xdr:colOff>319680</xdr:colOff>
      <xdr:row>4</xdr:row>
      <xdr:rowOff>180360</xdr:rowOff>
    </xdr:to>
    <xdr:pic>
      <xdr:nvPicPr>
        <xdr:cNvPr id="5" name="751eb873-b33e-4b7a-80f9-3430a2c421a8"/>
        <xdr:cNvPicPr/>
      </xdr:nvPicPr>
      <xdr:blipFill>
        <a:blip r:embed="rId5"/>
        <a:stretch/>
      </xdr:blipFill>
      <xdr:spPr>
        <a:xfrm>
          <a:off x="6231240" y="47520"/>
          <a:ext cx="333324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304560</xdr:colOff>
      <xdr:row>14</xdr:row>
      <xdr:rowOff>95040</xdr:rowOff>
    </xdr:to>
    <xdr:pic>
      <xdr:nvPicPr>
        <xdr:cNvPr id="6" name="b9ff32f4-bb35-45c2-af7b-fa3730e48719"/>
        <xdr:cNvPicPr/>
      </xdr:nvPicPr>
      <xdr:blipFill>
        <a:blip r:embed="rId6"/>
        <a:stretch/>
      </xdr:blipFill>
      <xdr:spPr>
        <a:xfrm>
          <a:off x="634320" y="2562120"/>
          <a:ext cx="304560" cy="30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256680</xdr:colOff>
      <xdr:row>13</xdr:row>
      <xdr:rowOff>47160</xdr:rowOff>
    </xdr:to>
    <xdr:pic>
      <xdr:nvPicPr>
        <xdr:cNvPr id="7" name="ad1190b0-34e2-414b-82d5-d96a18bdca3b"/>
        <xdr:cNvPicPr/>
      </xdr:nvPicPr>
      <xdr:blipFill>
        <a:blip r:embed="rId7"/>
        <a:stretch/>
      </xdr:blipFill>
      <xdr:spPr>
        <a:xfrm>
          <a:off x="4509000" y="2352600"/>
          <a:ext cx="256680" cy="256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256680</xdr:colOff>
      <xdr:row>13</xdr:row>
      <xdr:rowOff>47160</xdr:rowOff>
    </xdr:to>
    <xdr:pic>
      <xdr:nvPicPr>
        <xdr:cNvPr id="8" name="ec1340e3-ace4-44bc-bbf9-3d354dfbf946"/>
        <xdr:cNvPicPr/>
      </xdr:nvPicPr>
      <xdr:blipFill>
        <a:blip r:embed="rId8"/>
        <a:stretch/>
      </xdr:blipFill>
      <xdr:spPr>
        <a:xfrm>
          <a:off x="7953480" y="2352600"/>
          <a:ext cx="256680" cy="256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266400</xdr:colOff>
      <xdr:row>29</xdr:row>
      <xdr:rowOff>56880</xdr:rowOff>
    </xdr:to>
    <xdr:pic>
      <xdr:nvPicPr>
        <xdr:cNvPr id="9" name="8e2b4b39-558f-4389-b888-0655cd083bf1"/>
        <xdr:cNvPicPr/>
      </xdr:nvPicPr>
      <xdr:blipFill>
        <a:blip r:embed="rId9"/>
        <a:stretch/>
      </xdr:blipFill>
      <xdr:spPr>
        <a:xfrm>
          <a:off x="203760" y="5705640"/>
          <a:ext cx="26640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285480</xdr:colOff>
      <xdr:row>22</xdr:row>
      <xdr:rowOff>75960</xdr:rowOff>
    </xdr:to>
    <xdr:pic>
      <xdr:nvPicPr>
        <xdr:cNvPr id="10" name="44421b9a-f699-4d71-bc50-49bc395bf7d2"/>
        <xdr:cNvPicPr/>
      </xdr:nvPicPr>
      <xdr:blipFill>
        <a:blip r:embed="rId10"/>
        <a:stretch/>
      </xdr:blipFill>
      <xdr:spPr>
        <a:xfrm>
          <a:off x="7953480" y="4238640"/>
          <a:ext cx="285480" cy="285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266400</xdr:colOff>
      <xdr:row>39</xdr:row>
      <xdr:rowOff>56880</xdr:rowOff>
    </xdr:to>
    <xdr:pic>
      <xdr:nvPicPr>
        <xdr:cNvPr id="11" name="c2f7e51d-1756-4802-9593-2daa36c956ae"/>
        <xdr:cNvPicPr/>
      </xdr:nvPicPr>
      <xdr:blipFill>
        <a:blip r:embed="rId11"/>
        <a:stretch/>
      </xdr:blipFill>
      <xdr:spPr>
        <a:xfrm>
          <a:off x="7953480" y="7800840"/>
          <a:ext cx="26640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380520</xdr:colOff>
      <xdr:row>47</xdr:row>
      <xdr:rowOff>171000</xdr:rowOff>
    </xdr:to>
    <xdr:pic>
      <xdr:nvPicPr>
        <xdr:cNvPr id="12" name="f7edfbee-7e50-4105-a87f-8ddd9fd71de1"/>
        <xdr:cNvPicPr/>
      </xdr:nvPicPr>
      <xdr:blipFill>
        <a:blip r:embed="rId12"/>
        <a:stretch/>
      </xdr:blipFill>
      <xdr:spPr>
        <a:xfrm>
          <a:off x="634320" y="9477360"/>
          <a:ext cx="380520" cy="380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0</xdr:row>
      <xdr:rowOff>0</xdr:rowOff>
    </xdr:from>
    <xdr:to>
      <xdr:col>12</xdr:col>
      <xdr:colOff>418680</xdr:colOff>
      <xdr:row>1</xdr:row>
      <xdr:rowOff>126720</xdr:rowOff>
    </xdr:to>
    <xdr:pic>
      <xdr:nvPicPr>
        <xdr:cNvPr id="13" name="1c726417-70ef-4dcb-a21f-b4e3ab6a5ba8"/>
        <xdr:cNvPicPr/>
      </xdr:nvPicPr>
      <xdr:blipFill>
        <a:blip r:embed="rId1"/>
        <a:stretch/>
      </xdr:blipFill>
      <xdr:spPr>
        <a:xfrm>
          <a:off x="14379120" y="0"/>
          <a:ext cx="418680" cy="418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0</xdr:row>
      <xdr:rowOff>0</xdr:rowOff>
    </xdr:from>
    <xdr:to>
      <xdr:col>12</xdr:col>
      <xdr:colOff>418680</xdr:colOff>
      <xdr:row>1</xdr:row>
      <xdr:rowOff>126720</xdr:rowOff>
    </xdr:to>
    <xdr:pic>
      <xdr:nvPicPr>
        <xdr:cNvPr id="14" name="9b1b4fb7-a279-4e05-84c2-c90cd55f96be"/>
        <xdr:cNvPicPr/>
      </xdr:nvPicPr>
      <xdr:blipFill>
        <a:blip r:embed="rId1"/>
        <a:stretch/>
      </xdr:blipFill>
      <xdr:spPr>
        <a:xfrm>
          <a:off x="18114480" y="0"/>
          <a:ext cx="418680" cy="418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Assinaturas" displayName="Assinaturas" ref="A6:M301" headerRowCount="1" totalsRowCount="0" totalsRowShown="0">
  <autoFilter ref="A6:M301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 Price"/>
    <tableColumn id="10" name="Minecraft Season Pass"/>
    <tableColumn id="11" name="Minecraft Season Pass Price"/>
    <tableColumn id="12" name="Coupon Value"/>
    <tableColumn id="13" name="Total Value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6F64B"/>
    <pageSetUpPr fitToPage="false"/>
  </sheetPr>
  <dimension ref="A1:Z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89"/>
    <col collapsed="false" customWidth="true" hidden="false" outlineLevel="0" max="25" min="2" style="0" width="6.11"/>
    <col collapsed="false" customWidth="true" hidden="false" outlineLevel="0" max="26" min="26" style="0" width="2.89"/>
  </cols>
  <sheetData>
    <row r="1" customFormat="false" ht="3.75" hidden="false" customHeight="true" outlineLevel="0" collapsed="false">
      <c r="A1" s="1"/>
      <c r="B1" s="2"/>
      <c r="C1" s="3"/>
      <c r="D1" s="4"/>
      <c r="E1" s="5"/>
      <c r="F1" s="6"/>
      <c r="G1" s="7"/>
      <c r="H1" s="8"/>
      <c r="I1" s="9"/>
      <c r="J1" s="10"/>
      <c r="K1" s="11"/>
      <c r="L1" s="12"/>
      <c r="M1" s="13"/>
      <c r="N1" s="14"/>
      <c r="O1" s="15"/>
      <c r="P1" s="16"/>
      <c r="Q1" s="17"/>
      <c r="R1" s="18"/>
      <c r="S1" s="19"/>
      <c r="T1" s="20"/>
      <c r="U1" s="21"/>
      <c r="V1" s="22"/>
      <c r="W1" s="23"/>
      <c r="X1" s="24"/>
      <c r="Y1" s="25"/>
      <c r="Z1" s="1"/>
    </row>
    <row r="2" customFormat="false" ht="16.5" hidden="false" customHeight="true" outlineLevel="0" collapsed="false">
      <c r="A2" s="1"/>
      <c r="B2" s="1"/>
      <c r="C2" s="1"/>
      <c r="D2" s="26" t="s">
        <v>0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1"/>
      <c r="P2" s="1"/>
      <c r="Q2" s="1"/>
      <c r="R2" s="1"/>
      <c r="S2" s="1"/>
      <c r="T2" s="1"/>
      <c r="U2" s="1"/>
      <c r="V2" s="27" t="s">
        <v>1</v>
      </c>
      <c r="W2" s="27"/>
      <c r="X2" s="27"/>
      <c r="Y2" s="27"/>
      <c r="Z2" s="1"/>
    </row>
    <row r="3" customFormat="false" ht="16.5" hidden="false" customHeight="true" outlineLevel="0" collapsed="false">
      <c r="A3" s="1"/>
      <c r="B3" s="1"/>
      <c r="C3" s="1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1"/>
      <c r="P3" s="1"/>
      <c r="Q3" s="1"/>
      <c r="R3" s="1"/>
      <c r="S3" s="1"/>
      <c r="T3" s="1"/>
      <c r="U3" s="1"/>
      <c r="V3" s="27"/>
      <c r="W3" s="27"/>
      <c r="X3" s="27"/>
      <c r="Y3" s="27"/>
      <c r="Z3" s="1"/>
    </row>
    <row r="4" customFormat="false" ht="16.5" hidden="false" customHeight="true" outlineLevel="0" collapsed="false">
      <c r="A4" s="1"/>
      <c r="B4" s="1"/>
      <c r="C4" s="1"/>
      <c r="D4" s="28" t="s">
        <v>2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6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6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29" t="str">
        <f aca="false">HYPERLINK("#'Calculos'!A1","Cálculos")</f>
        <v>Cálculos</v>
      </c>
      <c r="T6" s="29"/>
      <c r="U6" s="29"/>
      <c r="V6" s="1"/>
      <c r="W6" s="29" t="str">
        <f aca="false">HYPERLINK("#'Base'!A1","Ver base")</f>
        <v>Ver base</v>
      </c>
      <c r="X6" s="29"/>
      <c r="Y6" s="29"/>
      <c r="Z6" s="1"/>
    </row>
    <row r="7" customFormat="false" ht="16.5" hidden="false" customHeight="true" outlineLevel="0" collapsed="false">
      <c r="A7" s="1"/>
      <c r="B7" s="30" t="s">
        <v>3</v>
      </c>
      <c r="C7" s="30"/>
      <c r="D7" s="30"/>
      <c r="E7" s="30"/>
      <c r="F7" s="1"/>
      <c r="G7" s="30" t="s">
        <v>4</v>
      </c>
      <c r="H7" s="30"/>
      <c r="I7" s="30"/>
      <c r="J7" s="30"/>
      <c r="K7" s="1"/>
      <c r="L7" s="30" t="s">
        <v>5</v>
      </c>
      <c r="M7" s="30"/>
      <c r="N7" s="30"/>
      <c r="O7" s="30"/>
      <c r="P7" s="1"/>
      <c r="Q7" s="30" t="s">
        <v>6</v>
      </c>
      <c r="R7" s="30"/>
      <c r="S7" s="30"/>
      <c r="T7" s="30"/>
      <c r="U7" s="1"/>
      <c r="V7" s="30" t="s">
        <v>7</v>
      </c>
      <c r="W7" s="30"/>
      <c r="X7" s="30"/>
      <c r="Y7" s="30"/>
      <c r="Z7" s="1"/>
    </row>
    <row r="8" customFormat="false" ht="16.5" hidden="false" customHeight="true" outlineLevel="0" collapsed="false">
      <c r="A8" s="1"/>
      <c r="B8" s="31" t="n">
        <v>45292</v>
      </c>
      <c r="C8" s="31"/>
      <c r="D8" s="31"/>
      <c r="E8" s="31"/>
      <c r="F8" s="1"/>
      <c r="G8" s="31" t="n">
        <v>45657</v>
      </c>
      <c r="H8" s="31"/>
      <c r="I8" s="31"/>
      <c r="J8" s="31"/>
      <c r="K8" s="1"/>
      <c r="L8" s="32" t="s">
        <v>8</v>
      </c>
      <c r="M8" s="32"/>
      <c r="N8" s="32"/>
      <c r="O8" s="32"/>
      <c r="P8" s="1"/>
      <c r="Q8" s="32" t="s">
        <v>8</v>
      </c>
      <c r="R8" s="32"/>
      <c r="S8" s="32"/>
      <c r="T8" s="32"/>
      <c r="U8" s="1"/>
      <c r="V8" s="32" t="s">
        <v>9</v>
      </c>
      <c r="W8" s="32"/>
      <c r="X8" s="32"/>
      <c r="Y8" s="32"/>
      <c r="Z8" s="1"/>
    </row>
    <row r="9" customFormat="false" ht="16.5" hidden="false" customHeight="true" outlineLevel="0" collapsed="false">
      <c r="A9" s="1"/>
      <c r="B9" s="31"/>
      <c r="C9" s="31"/>
      <c r="D9" s="31"/>
      <c r="E9" s="31"/>
      <c r="F9" s="1"/>
      <c r="G9" s="31"/>
      <c r="H9" s="31"/>
      <c r="I9" s="31"/>
      <c r="J9" s="31"/>
      <c r="K9" s="1"/>
      <c r="L9" s="32"/>
      <c r="M9" s="32"/>
      <c r="N9" s="32"/>
      <c r="O9" s="32"/>
      <c r="P9" s="1"/>
      <c r="Q9" s="32"/>
      <c r="R9" s="32"/>
      <c r="S9" s="32"/>
      <c r="T9" s="32"/>
      <c r="U9" s="1"/>
      <c r="V9" s="32"/>
      <c r="W9" s="32"/>
      <c r="X9" s="32"/>
      <c r="Y9" s="32"/>
      <c r="Z9" s="1"/>
    </row>
    <row r="10" customFormat="false" ht="16.5" hidden="false" customHeight="true" outlineLevel="0" collapsed="false">
      <c r="A10" s="1"/>
      <c r="B10" s="30" t="str">
        <f aca="false">IF(Calculos!P3=0,"Revise as datas e as opções dos filtros.",IF(Calculos!P6=0,"Nenhuma assinatura encontrada neste recorte.","Dados de 2024. Altere os campos acima para explorar o recorte. Yes = habilitada; No = desabilitada."))</f>
        <v>Dados de 2024. Altere os campos acima para explorar o recorte. Yes = habilitada; No = desabilitada.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1"/>
    </row>
    <row r="11" customFormat="false" ht="16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6.5" hidden="false" customHeight="true" outlineLevel="0" collapsed="false">
      <c r="A12" s="1"/>
      <c r="B12" s="2"/>
      <c r="C12" s="2"/>
      <c r="D12" s="2"/>
      <c r="E12" s="2"/>
      <c r="F12" s="2"/>
      <c r="G12" s="2"/>
      <c r="H12" s="2"/>
      <c r="I12" s="2"/>
      <c r="J12" s="1"/>
      <c r="K12" s="33"/>
      <c r="L12" s="33"/>
      <c r="M12" s="33"/>
      <c r="N12" s="33"/>
      <c r="O12" s="33"/>
      <c r="P12" s="33"/>
      <c r="Q12" s="33"/>
      <c r="R12" s="1"/>
      <c r="S12" s="33"/>
      <c r="T12" s="33"/>
      <c r="U12" s="33"/>
      <c r="V12" s="33"/>
      <c r="W12" s="33"/>
      <c r="X12" s="33"/>
      <c r="Y12" s="33"/>
      <c r="Z12" s="1"/>
    </row>
    <row r="13" customFormat="false" ht="16.5" hidden="false" customHeight="true" outlineLevel="0" collapsed="false">
      <c r="A13" s="1"/>
      <c r="B13" s="34"/>
      <c r="C13" s="34"/>
      <c r="D13" s="34"/>
      <c r="E13" s="34"/>
      <c r="F13" s="34"/>
      <c r="G13" s="34"/>
      <c r="H13" s="34"/>
      <c r="I13" s="34"/>
      <c r="J13" s="1"/>
      <c r="K13" s="33"/>
      <c r="L13" s="33"/>
      <c r="M13" s="35" t="s">
        <v>10</v>
      </c>
      <c r="N13" s="35"/>
      <c r="O13" s="35"/>
      <c r="P13" s="35"/>
      <c r="Q13" s="35"/>
      <c r="R13" s="1"/>
      <c r="S13" s="33"/>
      <c r="T13" s="33"/>
      <c r="U13" s="35" t="s">
        <v>11</v>
      </c>
      <c r="V13" s="35"/>
      <c r="W13" s="35"/>
      <c r="X13" s="35"/>
      <c r="Y13" s="35"/>
      <c r="Z13" s="1"/>
    </row>
    <row r="14" customFormat="false" ht="16.5" hidden="false" customHeight="true" outlineLevel="0" collapsed="false">
      <c r="A14" s="1"/>
      <c r="B14" s="34"/>
      <c r="C14" s="34"/>
      <c r="D14" s="36" t="s">
        <v>12</v>
      </c>
      <c r="E14" s="36"/>
      <c r="F14" s="36"/>
      <c r="G14" s="36"/>
      <c r="H14" s="36"/>
      <c r="I14" s="34"/>
      <c r="J14" s="1"/>
      <c r="K14" s="33"/>
      <c r="L14" s="33"/>
      <c r="M14" s="33"/>
      <c r="N14" s="33"/>
      <c r="O14" s="33"/>
      <c r="P14" s="33"/>
      <c r="Q14" s="33"/>
      <c r="R14" s="1"/>
      <c r="S14" s="33"/>
      <c r="T14" s="33"/>
      <c r="U14" s="33"/>
      <c r="V14" s="33"/>
      <c r="W14" s="33"/>
      <c r="X14" s="33"/>
      <c r="Y14" s="33"/>
      <c r="Z14" s="1"/>
    </row>
    <row r="15" customFormat="false" ht="16.5" hidden="false" customHeight="true" outlineLevel="0" collapsed="false">
      <c r="A15" s="1"/>
      <c r="B15" s="34"/>
      <c r="C15" s="34"/>
      <c r="D15" s="36"/>
      <c r="E15" s="36"/>
      <c r="F15" s="36"/>
      <c r="G15" s="36"/>
      <c r="H15" s="36"/>
      <c r="I15" s="34"/>
      <c r="J15" s="1"/>
      <c r="K15" s="33"/>
      <c r="L15" s="37" t="n">
        <f aca="false">Calculos!P9</f>
        <v>0.501694915254237</v>
      </c>
      <c r="M15" s="37"/>
      <c r="N15" s="37"/>
      <c r="O15" s="37"/>
      <c r="P15" s="37"/>
      <c r="Q15" s="33"/>
      <c r="R15" s="1"/>
      <c r="S15" s="33"/>
      <c r="T15" s="38" t="n">
        <f aca="false">Calculos!P14</f>
        <v>2122</v>
      </c>
      <c r="U15" s="38"/>
      <c r="V15" s="38"/>
      <c r="W15" s="38"/>
      <c r="X15" s="38"/>
      <c r="Y15" s="33"/>
      <c r="Z15" s="1"/>
    </row>
    <row r="16" customFormat="false" ht="16.5" hidden="false" customHeight="true" outlineLevel="0" collapsed="false">
      <c r="A16" s="1"/>
      <c r="B16" s="34"/>
      <c r="C16" s="34"/>
      <c r="D16" s="34"/>
      <c r="E16" s="34"/>
      <c r="F16" s="34"/>
      <c r="G16" s="34"/>
      <c r="H16" s="34"/>
      <c r="I16" s="34"/>
      <c r="J16" s="1"/>
      <c r="K16" s="33"/>
      <c r="L16" s="37"/>
      <c r="M16" s="37"/>
      <c r="N16" s="37"/>
      <c r="O16" s="37"/>
      <c r="P16" s="37"/>
      <c r="Q16" s="33"/>
      <c r="R16" s="1"/>
      <c r="S16" s="33"/>
      <c r="T16" s="38"/>
      <c r="U16" s="38"/>
      <c r="V16" s="38"/>
      <c r="W16" s="38"/>
      <c r="X16" s="38"/>
      <c r="Y16" s="33"/>
      <c r="Z16" s="1"/>
    </row>
    <row r="17" customFormat="false" ht="16.5" hidden="false" customHeight="true" outlineLevel="0" collapsed="false">
      <c r="A17" s="1"/>
      <c r="B17" s="34"/>
      <c r="C17" s="39" t="n">
        <f aca="false">Calculos!P7</f>
        <v>7633</v>
      </c>
      <c r="D17" s="39"/>
      <c r="E17" s="39"/>
      <c r="F17" s="39"/>
      <c r="G17" s="39"/>
      <c r="H17" s="39"/>
      <c r="I17" s="34"/>
      <c r="J17" s="1"/>
      <c r="K17" s="33"/>
      <c r="L17" s="37"/>
      <c r="M17" s="37"/>
      <c r="N17" s="37"/>
      <c r="O17" s="37"/>
      <c r="P17" s="37"/>
      <c r="Q17" s="33"/>
      <c r="R17" s="1"/>
      <c r="S17" s="33"/>
      <c r="T17" s="38"/>
      <c r="U17" s="38"/>
      <c r="V17" s="38"/>
      <c r="W17" s="38"/>
      <c r="X17" s="38"/>
      <c r="Y17" s="33"/>
      <c r="Z17" s="1"/>
    </row>
    <row r="18" customFormat="false" ht="16.5" hidden="false" customHeight="true" outlineLevel="0" collapsed="false">
      <c r="A18" s="1"/>
      <c r="B18" s="34"/>
      <c r="C18" s="39"/>
      <c r="D18" s="39"/>
      <c r="E18" s="39"/>
      <c r="F18" s="39"/>
      <c r="G18" s="39"/>
      <c r="H18" s="39"/>
      <c r="I18" s="34"/>
      <c r="J18" s="1"/>
      <c r="K18" s="33"/>
      <c r="L18" s="33"/>
      <c r="M18" s="33"/>
      <c r="N18" s="33"/>
      <c r="O18" s="33"/>
      <c r="P18" s="33"/>
      <c r="Q18" s="33"/>
      <c r="R18" s="1"/>
      <c r="S18" s="33"/>
      <c r="T18" s="33"/>
      <c r="U18" s="33"/>
      <c r="V18" s="33"/>
      <c r="W18" s="33"/>
      <c r="X18" s="33"/>
      <c r="Y18" s="33"/>
      <c r="Z18" s="1"/>
    </row>
    <row r="19" customFormat="false" ht="16.5" hidden="false" customHeight="true" outlineLevel="0" collapsed="false">
      <c r="A19" s="1"/>
      <c r="B19" s="34"/>
      <c r="C19" s="39"/>
      <c r="D19" s="39"/>
      <c r="E19" s="39"/>
      <c r="F19" s="39"/>
      <c r="G19" s="39"/>
      <c r="H19" s="39"/>
      <c r="I19" s="3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6.5" hidden="false" customHeight="true" outlineLevel="0" collapsed="false">
      <c r="A20" s="1"/>
      <c r="B20" s="34"/>
      <c r="C20" s="39"/>
      <c r="D20" s="39"/>
      <c r="E20" s="39"/>
      <c r="F20" s="39"/>
      <c r="G20" s="39"/>
      <c r="H20" s="39"/>
      <c r="I20" s="34"/>
      <c r="J20" s="1"/>
      <c r="K20" s="40" t="s">
        <v>13</v>
      </c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1"/>
    </row>
    <row r="21" customFormat="false" ht="16.5" hidden="false" customHeight="true" outlineLevel="0" collapsed="false">
      <c r="A21" s="1"/>
      <c r="B21" s="34"/>
      <c r="C21" s="34"/>
      <c r="D21" s="34"/>
      <c r="E21" s="34"/>
      <c r="F21" s="34"/>
      <c r="G21" s="34"/>
      <c r="H21" s="34"/>
      <c r="I21" s="34"/>
      <c r="J21" s="1"/>
      <c r="K21" s="33"/>
      <c r="L21" s="33"/>
      <c r="M21" s="33"/>
      <c r="N21" s="33"/>
      <c r="O21" s="33"/>
      <c r="P21" s="33"/>
      <c r="Q21" s="33"/>
      <c r="R21" s="33"/>
      <c r="S21" s="41"/>
      <c r="T21" s="41"/>
      <c r="U21" s="41"/>
      <c r="V21" s="41"/>
      <c r="W21" s="41"/>
      <c r="X21" s="41"/>
      <c r="Y21" s="41"/>
      <c r="Z21" s="1"/>
    </row>
    <row r="22" customFormat="false" ht="16.5" hidden="false" customHeight="true" outlineLevel="0" collapsed="false">
      <c r="A22" s="1"/>
      <c r="B22" s="34"/>
      <c r="C22" s="42" t="s">
        <v>14</v>
      </c>
      <c r="D22" s="42"/>
      <c r="E22" s="42"/>
      <c r="F22" s="34"/>
      <c r="G22" s="42" t="s">
        <v>15</v>
      </c>
      <c r="H22" s="42"/>
      <c r="I22" s="42"/>
      <c r="J22" s="1"/>
      <c r="K22" s="33"/>
      <c r="L22" s="33"/>
      <c r="M22" s="33"/>
      <c r="N22" s="33"/>
      <c r="O22" s="33"/>
      <c r="P22" s="33"/>
      <c r="Q22" s="33"/>
      <c r="R22" s="33"/>
      <c r="S22" s="41"/>
      <c r="T22" s="41"/>
      <c r="U22" s="43" t="s">
        <v>16</v>
      </c>
      <c r="V22" s="43"/>
      <c r="W22" s="43"/>
      <c r="X22" s="43"/>
      <c r="Y22" s="43"/>
      <c r="Z22" s="1"/>
    </row>
    <row r="23" customFormat="false" ht="16.5" hidden="false" customHeight="true" outlineLevel="0" collapsed="false">
      <c r="A23" s="1"/>
      <c r="B23" s="34"/>
      <c r="C23" s="44" t="n">
        <f aca="false">Calculos!P6</f>
        <v>295</v>
      </c>
      <c r="D23" s="44"/>
      <c r="E23" s="44"/>
      <c r="F23" s="34"/>
      <c r="G23" s="45" t="n">
        <f aca="false">Calculos!P8</f>
        <v>25.8745762711864</v>
      </c>
      <c r="H23" s="45"/>
      <c r="I23" s="45"/>
      <c r="J23" s="1"/>
      <c r="K23" s="33"/>
      <c r="L23" s="33"/>
      <c r="M23" s="33"/>
      <c r="N23" s="33"/>
      <c r="O23" s="33"/>
      <c r="P23" s="33"/>
      <c r="Q23" s="33"/>
      <c r="R23" s="33"/>
      <c r="S23" s="41"/>
      <c r="T23" s="41"/>
      <c r="U23" s="43"/>
      <c r="V23" s="43"/>
      <c r="W23" s="43"/>
      <c r="X23" s="43"/>
      <c r="Y23" s="43"/>
      <c r="Z23" s="1"/>
    </row>
    <row r="24" customFormat="false" ht="16.5" hidden="false" customHeight="true" outlineLevel="0" collapsed="false">
      <c r="A24" s="1"/>
      <c r="B24" s="34"/>
      <c r="C24" s="44"/>
      <c r="D24" s="44"/>
      <c r="E24" s="44"/>
      <c r="F24" s="34"/>
      <c r="G24" s="45"/>
      <c r="H24" s="45"/>
      <c r="I24" s="45"/>
      <c r="J24" s="1"/>
      <c r="K24" s="33"/>
      <c r="L24" s="33"/>
      <c r="M24" s="33"/>
      <c r="N24" s="33"/>
      <c r="O24" s="33"/>
      <c r="P24" s="33"/>
      <c r="Q24" s="33"/>
      <c r="R24" s="33"/>
      <c r="S24" s="41"/>
      <c r="T24" s="41"/>
      <c r="U24" s="41"/>
      <c r="V24" s="41"/>
      <c r="W24" s="41"/>
      <c r="X24" s="41"/>
      <c r="Y24" s="41"/>
      <c r="Z24" s="1"/>
    </row>
    <row r="25" customFormat="false" ht="16.5" hidden="false" customHeight="true" outlineLevel="0" collapsed="false">
      <c r="A25" s="1"/>
      <c r="B25" s="34"/>
      <c r="C25" s="34"/>
      <c r="D25" s="34"/>
      <c r="E25" s="34"/>
      <c r="F25" s="34"/>
      <c r="G25" s="34"/>
      <c r="H25" s="34"/>
      <c r="I25" s="34"/>
      <c r="J25" s="1"/>
      <c r="K25" s="33"/>
      <c r="L25" s="33"/>
      <c r="M25" s="33"/>
      <c r="N25" s="33"/>
      <c r="O25" s="33"/>
      <c r="P25" s="33"/>
      <c r="Q25" s="33"/>
      <c r="R25" s="33"/>
      <c r="S25" s="41"/>
      <c r="T25" s="46" t="s">
        <v>17</v>
      </c>
      <c r="U25" s="46"/>
      <c r="V25" s="46"/>
      <c r="W25" s="46"/>
      <c r="X25" s="46"/>
      <c r="Y25" s="41"/>
      <c r="Z25" s="1"/>
    </row>
    <row r="26" customFormat="false" ht="16.5" hidden="false" customHeight="true" outlineLevel="0" collapsed="false">
      <c r="A26" s="1"/>
      <c r="B26" s="34"/>
      <c r="C26" s="47" t="s">
        <v>18</v>
      </c>
      <c r="D26" s="47"/>
      <c r="E26" s="47"/>
      <c r="F26" s="47"/>
      <c r="G26" s="47"/>
      <c r="H26" s="47"/>
      <c r="I26" s="34"/>
      <c r="J26" s="1"/>
      <c r="K26" s="33"/>
      <c r="L26" s="33"/>
      <c r="M26" s="33"/>
      <c r="N26" s="33"/>
      <c r="O26" s="33"/>
      <c r="P26" s="33"/>
      <c r="Q26" s="33"/>
      <c r="R26" s="33"/>
      <c r="S26" s="41"/>
      <c r="T26" s="48" t="n">
        <f aca="false">Calculos!P12</f>
        <v>2940</v>
      </c>
      <c r="U26" s="48"/>
      <c r="V26" s="48"/>
      <c r="W26" s="48"/>
      <c r="X26" s="48"/>
      <c r="Y26" s="41"/>
      <c r="Z26" s="1"/>
    </row>
    <row r="27" customFormat="false" ht="16.5" hidden="false" customHeight="true" outlineLevel="0" collapsed="false">
      <c r="A27" s="1"/>
      <c r="B27" s="34"/>
      <c r="C27" s="34"/>
      <c r="D27" s="34"/>
      <c r="E27" s="34"/>
      <c r="F27" s="34"/>
      <c r="G27" s="34"/>
      <c r="H27" s="34"/>
      <c r="I27" s="34"/>
      <c r="J27" s="1"/>
      <c r="K27" s="33"/>
      <c r="L27" s="33"/>
      <c r="M27" s="33"/>
      <c r="N27" s="33"/>
      <c r="O27" s="33"/>
      <c r="P27" s="33"/>
      <c r="Q27" s="33"/>
      <c r="R27" s="33"/>
      <c r="S27" s="41"/>
      <c r="T27" s="48"/>
      <c r="U27" s="48"/>
      <c r="V27" s="48"/>
      <c r="W27" s="48"/>
      <c r="X27" s="48"/>
      <c r="Y27" s="41"/>
      <c r="Z27" s="1"/>
    </row>
    <row r="28" customFormat="false" ht="16.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33"/>
      <c r="L28" s="33"/>
      <c r="M28" s="33"/>
      <c r="N28" s="33"/>
      <c r="O28" s="33"/>
      <c r="P28" s="33"/>
      <c r="Q28" s="33"/>
      <c r="R28" s="33"/>
      <c r="S28" s="41"/>
      <c r="T28" s="41"/>
      <c r="U28" s="41"/>
      <c r="V28" s="41"/>
      <c r="W28" s="41"/>
      <c r="X28" s="41"/>
      <c r="Y28" s="41"/>
      <c r="Z28" s="1"/>
    </row>
    <row r="29" customFormat="false" ht="16.5" hidden="false" customHeight="true" outlineLevel="0" collapsed="false">
      <c r="A29" s="1"/>
      <c r="B29" s="1"/>
      <c r="C29" s="49" t="s">
        <v>19</v>
      </c>
      <c r="D29" s="49"/>
      <c r="E29" s="49"/>
      <c r="F29" s="49"/>
      <c r="G29" s="49"/>
      <c r="H29" s="49"/>
      <c r="I29" s="49"/>
      <c r="J29" s="1"/>
      <c r="K29" s="33"/>
      <c r="L29" s="33"/>
      <c r="M29" s="33"/>
      <c r="N29" s="33"/>
      <c r="O29" s="33"/>
      <c r="P29" s="33"/>
      <c r="Q29" s="33"/>
      <c r="R29" s="33"/>
      <c r="S29" s="41"/>
      <c r="T29" s="46" t="s">
        <v>20</v>
      </c>
      <c r="U29" s="46"/>
      <c r="V29" s="46"/>
      <c r="W29" s="46"/>
      <c r="X29" s="46"/>
      <c r="Y29" s="41"/>
      <c r="Z29" s="1"/>
    </row>
    <row r="30" customFormat="false" ht="16.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33"/>
      <c r="L30" s="33"/>
      <c r="M30" s="33"/>
      <c r="N30" s="33"/>
      <c r="O30" s="33"/>
      <c r="P30" s="33"/>
      <c r="Q30" s="33"/>
      <c r="R30" s="33"/>
      <c r="S30" s="41"/>
      <c r="T30" s="48" t="n">
        <f aca="false">Calculos!P13</f>
        <v>3880</v>
      </c>
      <c r="U30" s="48"/>
      <c r="V30" s="48"/>
      <c r="W30" s="48"/>
      <c r="X30" s="48"/>
      <c r="Y30" s="41"/>
      <c r="Z30" s="1"/>
    </row>
    <row r="31" customFormat="false" ht="16.5" hidden="false" customHeight="true" outlineLevel="0" collapsed="false">
      <c r="A31" s="1"/>
      <c r="B31" s="33"/>
      <c r="C31" s="33"/>
      <c r="D31" s="33"/>
      <c r="E31" s="33"/>
      <c r="F31" s="33"/>
      <c r="G31" s="33"/>
      <c r="H31" s="33"/>
      <c r="I31" s="33"/>
      <c r="J31" s="1"/>
      <c r="K31" s="33"/>
      <c r="L31" s="33"/>
      <c r="M31" s="33"/>
      <c r="N31" s="33"/>
      <c r="O31" s="33"/>
      <c r="P31" s="33"/>
      <c r="Q31" s="33"/>
      <c r="R31" s="33"/>
      <c r="S31" s="41"/>
      <c r="T31" s="48"/>
      <c r="U31" s="48"/>
      <c r="V31" s="48"/>
      <c r="W31" s="48"/>
      <c r="X31" s="48"/>
      <c r="Y31" s="41"/>
      <c r="Z31" s="1"/>
    </row>
    <row r="32" customFormat="false" ht="16.5" hidden="false" customHeight="true" outlineLevel="0" collapsed="false">
      <c r="A32" s="1"/>
      <c r="B32" s="33"/>
      <c r="C32" s="33"/>
      <c r="D32" s="33"/>
      <c r="E32" s="33"/>
      <c r="F32" s="33"/>
      <c r="G32" s="33"/>
      <c r="H32" s="33"/>
      <c r="I32" s="33"/>
      <c r="J32" s="1"/>
      <c r="K32" s="33"/>
      <c r="L32" s="33"/>
      <c r="M32" s="33"/>
      <c r="N32" s="33"/>
      <c r="O32" s="33"/>
      <c r="P32" s="33"/>
      <c r="Q32" s="33"/>
      <c r="R32" s="33"/>
      <c r="S32" s="41"/>
      <c r="T32" s="41"/>
      <c r="U32" s="41"/>
      <c r="V32" s="41"/>
      <c r="W32" s="41"/>
      <c r="X32" s="41"/>
      <c r="Y32" s="41"/>
      <c r="Z32" s="1"/>
    </row>
    <row r="33" customFormat="false" ht="16.5" hidden="false" customHeight="true" outlineLevel="0" collapsed="false">
      <c r="A33" s="1"/>
      <c r="B33" s="33"/>
      <c r="C33" s="33"/>
      <c r="D33" s="33"/>
      <c r="E33" s="33"/>
      <c r="F33" s="33"/>
      <c r="G33" s="33"/>
      <c r="H33" s="33"/>
      <c r="I33" s="33"/>
      <c r="J33" s="1"/>
      <c r="K33" s="33"/>
      <c r="L33" s="33"/>
      <c r="M33" s="33"/>
      <c r="N33" s="33"/>
      <c r="O33" s="33"/>
      <c r="P33" s="33"/>
      <c r="Q33" s="33"/>
      <c r="R33" s="33"/>
      <c r="S33" s="41"/>
      <c r="T33" s="50" t="str">
        <f aca="false">IF(Calculos!P3=0,"n.a.",IF(Calculos!P10=0,"n.a.",TEXT(Calculos!P16,"0.0%")&amp;" do bruto"))</f>
        <v>69.9% do bruto</v>
      </c>
      <c r="U33" s="50"/>
      <c r="V33" s="50"/>
      <c r="W33" s="50"/>
      <c r="X33" s="50"/>
      <c r="Y33" s="50"/>
      <c r="Z33" s="1"/>
    </row>
    <row r="34" customFormat="false" ht="16.5" hidden="false" customHeight="true" outlineLevel="0" collapsed="false">
      <c r="A34" s="1"/>
      <c r="B34" s="33"/>
      <c r="C34" s="33"/>
      <c r="D34" s="33"/>
      <c r="E34" s="33"/>
      <c r="F34" s="33"/>
      <c r="G34" s="33"/>
      <c r="H34" s="33"/>
      <c r="I34" s="33"/>
      <c r="J34" s="1"/>
      <c r="K34" s="33"/>
      <c r="L34" s="33"/>
      <c r="M34" s="33"/>
      <c r="N34" s="33"/>
      <c r="O34" s="33"/>
      <c r="P34" s="33"/>
      <c r="Q34" s="33"/>
      <c r="R34" s="33"/>
      <c r="S34" s="41"/>
      <c r="T34" s="41"/>
      <c r="U34" s="41"/>
      <c r="V34" s="41"/>
      <c r="W34" s="41"/>
      <c r="X34" s="41"/>
      <c r="Y34" s="41"/>
      <c r="Z34" s="1"/>
    </row>
    <row r="35" customFormat="false" ht="16.5" hidden="false" customHeight="true" outlineLevel="0" collapsed="false">
      <c r="A35" s="1"/>
      <c r="B35" s="33"/>
      <c r="C35" s="33"/>
      <c r="D35" s="33"/>
      <c r="E35" s="33"/>
      <c r="F35" s="33"/>
      <c r="G35" s="33"/>
      <c r="H35" s="33"/>
      <c r="I35" s="3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6.5" hidden="false" customHeight="true" outlineLevel="0" collapsed="false">
      <c r="A36" s="1"/>
      <c r="B36" s="33"/>
      <c r="C36" s="33"/>
      <c r="D36" s="33"/>
      <c r="E36" s="33"/>
      <c r="F36" s="33"/>
      <c r="G36" s="33"/>
      <c r="H36" s="33"/>
      <c r="I36" s="33"/>
      <c r="J36" s="1"/>
      <c r="K36" s="49" t="s">
        <v>21</v>
      </c>
      <c r="L36" s="49"/>
      <c r="M36" s="49"/>
      <c r="N36" s="49"/>
      <c r="O36" s="49"/>
      <c r="P36" s="49"/>
      <c r="Q36" s="49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6.5" hidden="false" customHeight="true" outlineLevel="0" collapsed="false">
      <c r="A37" s="1"/>
      <c r="B37" s="33"/>
      <c r="C37" s="33"/>
      <c r="D37" s="33"/>
      <c r="E37" s="33"/>
      <c r="F37" s="33"/>
      <c r="G37" s="33"/>
      <c r="H37" s="33"/>
      <c r="I37" s="33"/>
      <c r="J37" s="1"/>
      <c r="K37" s="49"/>
      <c r="L37" s="49"/>
      <c r="M37" s="49"/>
      <c r="N37" s="49"/>
      <c r="O37" s="49"/>
      <c r="P37" s="49"/>
      <c r="Q37" s="49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6.5" hidden="false" customHeight="true" outlineLevel="0" collapsed="false">
      <c r="A38" s="1"/>
      <c r="B38" s="33"/>
      <c r="C38" s="33"/>
      <c r="D38" s="33"/>
      <c r="E38" s="33"/>
      <c r="F38" s="33"/>
      <c r="G38" s="33"/>
      <c r="H38" s="33"/>
      <c r="I38" s="33"/>
      <c r="J38" s="1"/>
      <c r="K38" s="33"/>
      <c r="L38" s="33"/>
      <c r="M38" s="33"/>
      <c r="N38" s="33"/>
      <c r="O38" s="33"/>
      <c r="P38" s="33"/>
      <c r="Q38" s="33"/>
      <c r="R38" s="1"/>
      <c r="S38" s="33"/>
      <c r="T38" s="33"/>
      <c r="U38" s="33"/>
      <c r="V38" s="33"/>
      <c r="W38" s="33"/>
      <c r="X38" s="33"/>
      <c r="Y38" s="33"/>
      <c r="Z38" s="1"/>
    </row>
    <row r="39" customFormat="false" ht="16.5" hidden="false" customHeight="true" outlineLevel="0" collapsed="false">
      <c r="A39" s="1"/>
      <c r="B39" s="33"/>
      <c r="C39" s="33"/>
      <c r="D39" s="33"/>
      <c r="E39" s="33"/>
      <c r="F39" s="33"/>
      <c r="G39" s="33"/>
      <c r="H39" s="33"/>
      <c r="I39" s="33"/>
      <c r="J39" s="1"/>
      <c r="K39" s="33"/>
      <c r="L39" s="33"/>
      <c r="M39" s="33"/>
      <c r="N39" s="33"/>
      <c r="O39" s="33"/>
      <c r="P39" s="33"/>
      <c r="Q39" s="33"/>
      <c r="R39" s="1"/>
      <c r="S39" s="33"/>
      <c r="T39" s="33"/>
      <c r="U39" s="51" t="s">
        <v>22</v>
      </c>
      <c r="V39" s="51"/>
      <c r="W39" s="51"/>
      <c r="X39" s="51"/>
      <c r="Y39" s="51"/>
      <c r="Z39" s="1"/>
    </row>
    <row r="40" customFormat="false" ht="16.5" hidden="false" customHeight="true" outlineLevel="0" collapsed="false">
      <c r="A40" s="1"/>
      <c r="B40" s="33"/>
      <c r="C40" s="33"/>
      <c r="D40" s="33"/>
      <c r="E40" s="33"/>
      <c r="F40" s="33"/>
      <c r="G40" s="33"/>
      <c r="H40" s="33"/>
      <c r="I40" s="33"/>
      <c r="J40" s="1"/>
      <c r="K40" s="33"/>
      <c r="L40" s="33"/>
      <c r="M40" s="33"/>
      <c r="N40" s="33"/>
      <c r="O40" s="33"/>
      <c r="P40" s="33"/>
      <c r="Q40" s="33"/>
      <c r="R40" s="1"/>
      <c r="S40" s="33"/>
      <c r="T40" s="33"/>
      <c r="U40" s="51"/>
      <c r="V40" s="51"/>
      <c r="W40" s="51"/>
      <c r="X40" s="51"/>
      <c r="Y40" s="51"/>
      <c r="Z40" s="1"/>
    </row>
    <row r="41" customFormat="false" ht="16.5" hidden="false" customHeight="true" outlineLevel="0" collapsed="false">
      <c r="A41" s="1"/>
      <c r="B41" s="33"/>
      <c r="C41" s="33"/>
      <c r="D41" s="33"/>
      <c r="E41" s="33"/>
      <c r="F41" s="33"/>
      <c r="G41" s="33"/>
      <c r="H41" s="33"/>
      <c r="I41" s="33"/>
      <c r="J41" s="1"/>
      <c r="K41" s="33"/>
      <c r="L41" s="33"/>
      <c r="M41" s="33"/>
      <c r="N41" s="33"/>
      <c r="O41" s="33"/>
      <c r="P41" s="33"/>
      <c r="Q41" s="33"/>
      <c r="R41" s="1"/>
      <c r="S41" s="33"/>
      <c r="T41" s="33"/>
      <c r="U41" s="33"/>
      <c r="V41" s="33"/>
      <c r="W41" s="33"/>
      <c r="X41" s="33"/>
      <c r="Y41" s="33"/>
      <c r="Z41" s="1"/>
    </row>
    <row r="42" customFormat="false" ht="16.5" hidden="false" customHeight="true" outlineLevel="0" collapsed="false">
      <c r="A42" s="1"/>
      <c r="B42" s="33"/>
      <c r="C42" s="33"/>
      <c r="D42" s="33"/>
      <c r="E42" s="33"/>
      <c r="F42" s="33"/>
      <c r="G42" s="33"/>
      <c r="H42" s="33"/>
      <c r="I42" s="33"/>
      <c r="J42" s="1"/>
      <c r="K42" s="33"/>
      <c r="L42" s="33"/>
      <c r="M42" s="33"/>
      <c r="N42" s="33"/>
      <c r="O42" s="33"/>
      <c r="P42" s="33"/>
      <c r="Q42" s="33"/>
      <c r="R42" s="1"/>
      <c r="S42" s="33"/>
      <c r="T42" s="52" t="n">
        <f aca="false">Calculos!P17</f>
        <v>0.827118644067797</v>
      </c>
      <c r="U42" s="52"/>
      <c r="V42" s="52"/>
      <c r="W42" s="52"/>
      <c r="X42" s="52"/>
      <c r="Y42" s="33"/>
      <c r="Z42" s="1"/>
    </row>
    <row r="43" customFormat="false" ht="16.5" hidden="false" customHeight="true" outlineLevel="0" collapsed="false">
      <c r="A43" s="1"/>
      <c r="B43" s="33"/>
      <c r="C43" s="33"/>
      <c r="D43" s="33"/>
      <c r="E43" s="33"/>
      <c r="F43" s="33"/>
      <c r="G43" s="33"/>
      <c r="H43" s="33"/>
      <c r="I43" s="33"/>
      <c r="J43" s="1"/>
      <c r="K43" s="33"/>
      <c r="L43" s="33"/>
      <c r="M43" s="33"/>
      <c r="N43" s="33"/>
      <c r="O43" s="33"/>
      <c r="P43" s="33"/>
      <c r="Q43" s="33"/>
      <c r="R43" s="1"/>
      <c r="S43" s="33"/>
      <c r="T43" s="52"/>
      <c r="U43" s="52"/>
      <c r="V43" s="52"/>
      <c r="W43" s="52"/>
      <c r="X43" s="52"/>
      <c r="Y43" s="33"/>
      <c r="Z43" s="1"/>
    </row>
    <row r="44" customFormat="false" ht="16.5" hidden="false" customHeight="true" outlineLevel="0" collapsed="false">
      <c r="A44" s="1"/>
      <c r="B44" s="33"/>
      <c r="C44" s="33"/>
      <c r="D44" s="33"/>
      <c r="E44" s="33"/>
      <c r="F44" s="33"/>
      <c r="G44" s="33"/>
      <c r="H44" s="33"/>
      <c r="I44" s="33"/>
      <c r="J44" s="1"/>
      <c r="K44" s="33"/>
      <c r="L44" s="33"/>
      <c r="M44" s="33"/>
      <c r="N44" s="33"/>
      <c r="O44" s="33"/>
      <c r="P44" s="33"/>
      <c r="Q44" s="33"/>
      <c r="R44" s="1"/>
      <c r="S44" s="33"/>
      <c r="T44" s="52"/>
      <c r="U44" s="52"/>
      <c r="V44" s="52"/>
      <c r="W44" s="52"/>
      <c r="X44" s="52"/>
      <c r="Y44" s="33"/>
      <c r="Z44" s="1"/>
    </row>
    <row r="45" customFormat="false" ht="16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33"/>
      <c r="L45" s="33"/>
      <c r="M45" s="33"/>
      <c r="N45" s="33"/>
      <c r="O45" s="33"/>
      <c r="P45" s="33"/>
      <c r="Q45" s="33"/>
      <c r="R45" s="1"/>
      <c r="S45" s="33"/>
      <c r="T45" s="33"/>
      <c r="U45" s="33"/>
      <c r="V45" s="33"/>
      <c r="W45" s="33"/>
      <c r="X45" s="33"/>
      <c r="Y45" s="33"/>
      <c r="Z45" s="1"/>
    </row>
    <row r="46" customFormat="false" ht="16.5" hidden="false" customHeight="true" outlineLevel="0" collapsed="false">
      <c r="A46" s="1"/>
      <c r="B46" s="53"/>
      <c r="C46" s="53"/>
      <c r="D46" s="53"/>
      <c r="E46" s="53"/>
      <c r="F46" s="53"/>
      <c r="G46" s="53"/>
      <c r="H46" s="53"/>
      <c r="I46" s="53"/>
      <c r="J46" s="1"/>
      <c r="K46" s="33"/>
      <c r="L46" s="33"/>
      <c r="M46" s="33"/>
      <c r="N46" s="33"/>
      <c r="O46" s="33"/>
      <c r="P46" s="33"/>
      <c r="Q46" s="33"/>
      <c r="R46" s="1"/>
      <c r="S46" s="33"/>
      <c r="T46" s="54" t="s">
        <v>23</v>
      </c>
      <c r="U46" s="54"/>
      <c r="V46" s="54"/>
      <c r="W46" s="54"/>
      <c r="X46" s="54"/>
      <c r="Y46" s="33"/>
      <c r="Z46" s="1"/>
    </row>
    <row r="47" customFormat="false" ht="16.5" hidden="false" customHeight="true" outlineLevel="0" collapsed="false">
      <c r="A47" s="1"/>
      <c r="B47" s="53"/>
      <c r="C47" s="53"/>
      <c r="D47" s="55" t="s">
        <v>24</v>
      </c>
      <c r="E47" s="55"/>
      <c r="F47" s="55"/>
      <c r="G47" s="55"/>
      <c r="H47" s="55"/>
      <c r="I47" s="53"/>
      <c r="J47" s="1"/>
      <c r="K47" s="33"/>
      <c r="L47" s="33"/>
      <c r="M47" s="33"/>
      <c r="N47" s="33"/>
      <c r="O47" s="33"/>
      <c r="P47" s="33"/>
      <c r="Q47" s="33"/>
      <c r="R47" s="1"/>
      <c r="S47" s="33"/>
      <c r="T47" s="54"/>
      <c r="U47" s="54"/>
      <c r="V47" s="54"/>
      <c r="W47" s="54"/>
      <c r="X47" s="54"/>
      <c r="Y47" s="33"/>
      <c r="Z47" s="1"/>
    </row>
    <row r="48" customFormat="false" ht="16.5" hidden="false" customHeight="true" outlineLevel="0" collapsed="false">
      <c r="A48" s="1"/>
      <c r="B48" s="53"/>
      <c r="C48" s="53"/>
      <c r="D48" s="55"/>
      <c r="E48" s="55"/>
      <c r="F48" s="55"/>
      <c r="G48" s="55"/>
      <c r="H48" s="55"/>
      <c r="I48" s="53"/>
      <c r="J48" s="1"/>
      <c r="K48" s="33"/>
      <c r="L48" s="33"/>
      <c r="M48" s="33"/>
      <c r="N48" s="33"/>
      <c r="O48" s="33"/>
      <c r="P48" s="33"/>
      <c r="Q48" s="33"/>
      <c r="R48" s="1"/>
      <c r="S48" s="33"/>
      <c r="T48" s="54"/>
      <c r="U48" s="54"/>
      <c r="V48" s="54"/>
      <c r="W48" s="54"/>
      <c r="X48" s="54"/>
      <c r="Y48" s="33"/>
      <c r="Z48" s="1"/>
    </row>
    <row r="49" customFormat="false" ht="16.5" hidden="false" customHeight="true" outlineLevel="0" collapsed="false">
      <c r="A49" s="1"/>
      <c r="B49" s="53"/>
      <c r="C49" s="53"/>
      <c r="D49" s="55"/>
      <c r="E49" s="55"/>
      <c r="F49" s="55"/>
      <c r="G49" s="55"/>
      <c r="H49" s="55"/>
      <c r="I49" s="53"/>
      <c r="J49" s="1"/>
      <c r="K49" s="33"/>
      <c r="L49" s="33"/>
      <c r="M49" s="33"/>
      <c r="N49" s="33"/>
      <c r="O49" s="33"/>
      <c r="P49" s="33"/>
      <c r="Q49" s="33"/>
      <c r="R49" s="1"/>
      <c r="S49" s="33"/>
      <c r="T49" s="54"/>
      <c r="U49" s="54"/>
      <c r="V49" s="54"/>
      <c r="W49" s="54"/>
      <c r="X49" s="54"/>
      <c r="Y49" s="33"/>
      <c r="Z49" s="1"/>
    </row>
    <row r="50" customFormat="false" ht="16.5" hidden="false" customHeight="true" outlineLevel="0" collapsed="false">
      <c r="A50" s="1"/>
      <c r="B50" s="53"/>
      <c r="C50" s="53"/>
      <c r="D50" s="53"/>
      <c r="E50" s="53"/>
      <c r="F50" s="53"/>
      <c r="G50" s="53"/>
      <c r="H50" s="53"/>
      <c r="I50" s="53"/>
      <c r="J50" s="1"/>
      <c r="K50" s="33"/>
      <c r="L50" s="33"/>
      <c r="M50" s="33"/>
      <c r="N50" s="33"/>
      <c r="O50" s="33"/>
      <c r="P50" s="33"/>
      <c r="Q50" s="33"/>
      <c r="R50" s="1"/>
      <c r="S50" s="33"/>
      <c r="T50" s="33"/>
      <c r="U50" s="33"/>
      <c r="V50" s="33"/>
      <c r="W50" s="33"/>
      <c r="X50" s="33"/>
      <c r="Y50" s="33"/>
      <c r="Z50" s="1"/>
    </row>
    <row r="51" customFormat="false" ht="16.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6.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6.5" hidden="false" customHeight="true" outlineLevel="0" collapsed="false">
      <c r="A53" s="1"/>
      <c r="B53" s="56" t="s">
        <v>25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1"/>
    </row>
    <row r="54" customFormat="false" ht="16.5" hidden="false" customHeight="true" outlineLevel="0" collapsed="false">
      <c r="A54" s="1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1"/>
    </row>
  </sheetData>
  <mergeCells count="41">
    <mergeCell ref="D2:N3"/>
    <mergeCell ref="V2:Y3"/>
    <mergeCell ref="D4:N4"/>
    <mergeCell ref="S6:U6"/>
    <mergeCell ref="W6:Y6"/>
    <mergeCell ref="B7:E7"/>
    <mergeCell ref="G7:J7"/>
    <mergeCell ref="L7:O7"/>
    <mergeCell ref="Q7:T7"/>
    <mergeCell ref="V7:Y7"/>
    <mergeCell ref="B8:E9"/>
    <mergeCell ref="G8:J9"/>
    <mergeCell ref="L8:O9"/>
    <mergeCell ref="Q8:T9"/>
    <mergeCell ref="V8:Y9"/>
    <mergeCell ref="B10:Y10"/>
    <mergeCell ref="M13:Q13"/>
    <mergeCell ref="U13:Y13"/>
    <mergeCell ref="D14:H15"/>
    <mergeCell ref="L15:P17"/>
    <mergeCell ref="T15:X17"/>
    <mergeCell ref="C17:H20"/>
    <mergeCell ref="K20:Y20"/>
    <mergeCell ref="C22:E22"/>
    <mergeCell ref="G22:I22"/>
    <mergeCell ref="U22:Y23"/>
    <mergeCell ref="C23:E24"/>
    <mergeCell ref="G23:I24"/>
    <mergeCell ref="T25:X25"/>
    <mergeCell ref="C26:H26"/>
    <mergeCell ref="T26:X27"/>
    <mergeCell ref="C29:I29"/>
    <mergeCell ref="T29:X29"/>
    <mergeCell ref="T30:X31"/>
    <mergeCell ref="T33:Y33"/>
    <mergeCell ref="K36:Q37"/>
    <mergeCell ref="U39:Y40"/>
    <mergeCell ref="T42:X44"/>
    <mergeCell ref="T46:X49"/>
    <mergeCell ref="D47:H49"/>
    <mergeCell ref="B53:Y54"/>
  </mergeCells>
  <conditionalFormatting sqref="B10:Y10">
    <cfRule type="containsText" priority="2" operator="containsText" aboveAverage="0" equalAverage="0" bottom="0" percent="0" rank="0" text="Revise" dxfId="0">
      <formula>NOT(ISERROR(SEARCH("Revise",B10)))</formula>
    </cfRule>
    <cfRule type="containsText" priority="3" operator="containsText" aboveAverage="0" equalAverage="0" bottom="0" percent="0" rank="0" text="Revise" dxfId="1">
      <formula>NOT(ISERROR(SEARCH("Revise",B10)))</formula>
    </cfRule>
  </conditionalFormatting>
  <dataValidations count="5">
    <dataValidation allowBlank="false" errorStyle="stop" operator="between" showDropDown="false" showErrorMessage="false" showInputMessage="false" sqref="B8" type="date">
      <formula1>DATE(2000,1,1)</formula1>
      <formula2>DATE(2100,12,31)</formula2>
    </dataValidation>
    <dataValidation allowBlank="false" errorStyle="stop" operator="between" showDropDown="false" showErrorMessage="false" showInputMessage="false" sqref="G8" type="date">
      <formula1>DATE(2000,1,1)</formula1>
      <formula2>DATE(2100,12,31)</formula2>
    </dataValidation>
    <dataValidation allowBlank="false" errorStyle="stop" operator="between" showDropDown="false" showErrorMessage="false" showInputMessage="false" sqref="L8" type="list">
      <formula1>"Todos,Core,Standard,Ultimate"</formula1>
      <formula2>0</formula2>
    </dataValidation>
    <dataValidation allowBlank="false" errorStyle="stop" operator="between" showDropDown="false" showErrorMessage="false" showInputMessage="false" sqref="Q8" type="list">
      <formula1>"Todos,Monthly,Quarterly,Annual"</formula1>
      <formula2>0</formula2>
    </dataValidation>
    <dataValidation allowBlank="false" errorStyle="stop" operator="between" showDropDown="false" showErrorMessage="false" showInputMessage="false" sqref="V8" type="list">
      <formula1>"Todas,Yes,No"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E5FA"/>
    <pageSetUpPr fitToPage="false"/>
  </sheetPr>
  <dimension ref="A1:AF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17"/>
    <col collapsed="false" customWidth="true" hidden="false" outlineLevel="0" max="15" min="15" style="0" width="34"/>
    <col collapsed="false" customWidth="true" hidden="false" outlineLevel="0" max="21" min="16" style="0" width="19"/>
    <col collapsed="false" customWidth="true" hidden="false" outlineLevel="0" max="32" min="23" style="0" width="18"/>
  </cols>
  <sheetData>
    <row r="1" customFormat="false" ht="23" hidden="false" customHeight="true" outlineLevel="0" collapsed="false">
      <c r="A1" s="57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23" hidden="false" customHeight="true" outlineLevel="0" collapsed="false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23" hidden="false" customHeight="true" outlineLevel="0" collapsed="false">
      <c r="A3" s="58" t="str">
        <f aca="false">HYPERLINK("#'Painel'!B3","Voltar ao painel")</f>
        <v>Voltar ao painel</v>
      </c>
      <c r="B3" s="58"/>
      <c r="C3" s="58"/>
      <c r="D3" s="28"/>
      <c r="E3" s="28"/>
      <c r="F3" s="28"/>
      <c r="G3" s="28"/>
      <c r="H3" s="28"/>
      <c r="I3" s="28"/>
      <c r="J3" s="28"/>
      <c r="K3" s="28"/>
      <c r="L3" s="28"/>
      <c r="M3" s="28"/>
      <c r="N3" s="1"/>
      <c r="O3" s="1" t="s">
        <v>27</v>
      </c>
      <c r="P3" s="1" t="n">
        <f aca="false">IF(AND(ISNUMBER(Painel!B8),ISNUMBER(Painel!G8),Painel!B8&lt;=Painel!G8,OR(Painel!L8="Todos",Painel!L8="Core",Painel!L8="Standard",Painel!L8="Ultimate"),OR(Painel!Q8="Todos",Painel!Q8="Monthly",Painel!Q8="Quarterly",Painel!Q8="Annual"),OR(Painel!V8="Todas",Painel!V8="Yes",Painel!V8="No")),1,0)</f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23" hidden="false" customHeight="true" outlineLevel="0" collapsed="false">
      <c r="A4" s="30" t="s">
        <v>28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23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customFormat="false" ht="38" hidden="false" customHeight="true" outlineLevel="0" collapsed="false">
      <c r="A6" s="59" t="s">
        <v>29</v>
      </c>
      <c r="B6" s="59" t="s">
        <v>30</v>
      </c>
      <c r="C6" s="59" t="s">
        <v>5</v>
      </c>
      <c r="D6" s="59" t="s">
        <v>31</v>
      </c>
      <c r="E6" s="59" t="s">
        <v>32</v>
      </c>
      <c r="F6" s="59" t="s">
        <v>33</v>
      </c>
      <c r="G6" s="59" t="s">
        <v>34</v>
      </c>
      <c r="H6" s="59" t="s">
        <v>35</v>
      </c>
      <c r="I6" s="59" t="s">
        <v>36</v>
      </c>
      <c r="J6" s="59" t="s">
        <v>37</v>
      </c>
      <c r="K6" s="59" t="s">
        <v>38</v>
      </c>
      <c r="L6" s="59" t="s">
        <v>39</v>
      </c>
      <c r="M6" s="59" t="s">
        <v>40</v>
      </c>
      <c r="N6" s="59" t="s">
        <v>41</v>
      </c>
      <c r="O6" s="1" t="s">
        <v>14</v>
      </c>
      <c r="P6" s="1" t="n">
        <f aca="false">IF($P$3=0,"n.a.",SUM(K7:K1006))</f>
        <v>295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customFormat="false" ht="23" hidden="false" customHeight="true" outlineLevel="0" collapsed="false">
      <c r="A7" s="1" t="n">
        <f aca="false">IF(LEN(Base!A7&amp;"")=0,"",Base!A7)</f>
        <v>3231</v>
      </c>
      <c r="B7" s="60" t="n">
        <f aca="false">IF(LEN(A7&amp;"")=0,"",Base!D7)</f>
        <v>45292</v>
      </c>
      <c r="C7" s="1" t="str">
        <f aca="false">IF(LEN(A7&amp;"")=0,"",Base!C7)</f>
        <v>Ultimate</v>
      </c>
      <c r="D7" s="1" t="str">
        <f aca="false">IF(LEN(A7&amp;"")=0,"",Base!G7)</f>
        <v>Monthly</v>
      </c>
      <c r="E7" s="1" t="str">
        <f aca="false">IF(LEN(A7&amp;"")=0,"",Base!E7)</f>
        <v>Yes</v>
      </c>
      <c r="F7" s="61" t="n">
        <f aca="false">IF(LEN(A7&amp;"")=0,"",IF(Base!I7="-",0,Base!I7))</f>
        <v>30</v>
      </c>
      <c r="G7" s="61" t="n">
        <f aca="false">IF(LEN(A7&amp;"")=0,"",SUM(Base!F7,F7,Base!K7))</f>
        <v>65</v>
      </c>
      <c r="H7" s="61" t="n">
        <f aca="false">IF(LEN(A7&amp;"")=0,"",Base!L7)</f>
        <v>5</v>
      </c>
      <c r="I7" s="61" t="n">
        <f aca="false">IF(LEN(A7&amp;"")=0,"",G7-H7)</f>
        <v>60</v>
      </c>
      <c r="J7" s="61" t="n">
        <f aca="false">IF(LEN(A7&amp;"")=0,"",Base!M7)</f>
        <v>60</v>
      </c>
      <c r="K7" s="1" t="n">
        <f aca="false">IF(OR(LEN(A7&amp;"")=0,$P$3=0),0,IF(AND(B7&gt;=Painel!$B$8,B7&lt;=Painel!$G$8,OR(Painel!$L$8="Todos",C7=Painel!$L$8),OR(Painel!$Q$8="Todos",D7=Painel!$Q$8),OR(Painel!$V$8="Todas",E7=Painel!$V$8)),1,0))</f>
        <v>1</v>
      </c>
      <c r="L7" s="61" t="n">
        <f aca="false">IF(LEN(A7&amp;"")=0,"",J7-I7)</f>
        <v>0</v>
      </c>
      <c r="M7" s="1" t="n">
        <f aca="false">IF(LEN(A7&amp;"")=0,0,IF(COUNTIFS(Base!$A$7:$A$1006,A7)&gt;1,1,0))</f>
        <v>0</v>
      </c>
      <c r="N7" s="1" t="n">
        <f aca="false">IF(LEN(A7&amp;"")=0,0,IF(ABS(L7)&gt;0.005,1,0))</f>
        <v>0</v>
      </c>
      <c r="O7" s="1" t="s">
        <v>12</v>
      </c>
      <c r="P7" s="61" t="n">
        <f aca="false">IF($P$3=0,"n.a.",SUMIFS(J7:J1006,K7:K1006,1))</f>
        <v>7633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customFormat="false" ht="23" hidden="false" customHeight="true" outlineLevel="0" collapsed="false">
      <c r="A8" s="1" t="n">
        <f aca="false">IF(LEN(Base!A8&amp;"")=0,"",Base!A8)</f>
        <v>3232</v>
      </c>
      <c r="B8" s="60" t="n">
        <f aca="false">IF(LEN(A8&amp;"")=0,"",Base!D8)</f>
        <v>45306</v>
      </c>
      <c r="C8" s="1" t="str">
        <f aca="false">IF(LEN(A8&amp;"")=0,"",Base!C8)</f>
        <v>Core</v>
      </c>
      <c r="D8" s="1" t="str">
        <f aca="false">IF(LEN(A8&amp;"")=0,"",Base!G8)</f>
        <v>Annual</v>
      </c>
      <c r="E8" s="1" t="str">
        <f aca="false">IF(LEN(A8&amp;"")=0,"",Base!E8)</f>
        <v>No</v>
      </c>
      <c r="F8" s="61" t="n">
        <f aca="false">IF(LEN(A8&amp;"")=0,"",IF(Base!I8="-",0,Base!I8))</f>
        <v>0</v>
      </c>
      <c r="G8" s="61" t="n">
        <f aca="false">IF(LEN(A8&amp;"")=0,"",SUM(Base!F8,F8,Base!K8))</f>
        <v>5</v>
      </c>
      <c r="H8" s="61" t="n">
        <f aca="false">IF(LEN(A8&amp;"")=0,"",Base!L8)</f>
        <v>0</v>
      </c>
      <c r="I8" s="61" t="n">
        <f aca="false">IF(LEN(A8&amp;"")=0,"",G8-H8)</f>
        <v>5</v>
      </c>
      <c r="J8" s="61" t="n">
        <f aca="false">IF(LEN(A8&amp;"")=0,"",Base!M8)</f>
        <v>5</v>
      </c>
      <c r="K8" s="1" t="n">
        <f aca="false">IF(OR(LEN(A8&amp;"")=0,$P$3=0),0,IF(AND(B8&gt;=Painel!$B$8,B8&lt;=Painel!$G$8,OR(Painel!$L$8="Todos",C8=Painel!$L$8),OR(Painel!$Q$8="Todos",D8=Painel!$Q$8),OR(Painel!$V$8="Todas",E8=Painel!$V$8)),1,0))</f>
        <v>1</v>
      </c>
      <c r="L8" s="61" t="n">
        <f aca="false">IF(LEN(A8&amp;"")=0,"",J8-I8)</f>
        <v>0</v>
      </c>
      <c r="M8" s="1" t="n">
        <f aca="false">IF(LEN(A8&amp;"")=0,0,IF(COUNTIFS(Base!$A$7:$A$1006,A8)&gt;1,1,0))</f>
        <v>0</v>
      </c>
      <c r="N8" s="1" t="n">
        <f aca="false">IF(LEN(A8&amp;"")=0,0,IF(ABS(L8)&gt;0.005,1,0))</f>
        <v>0</v>
      </c>
      <c r="O8" s="1" t="s">
        <v>15</v>
      </c>
      <c r="P8" s="61" t="n">
        <f aca="false">IF($P$3=0,"n.a.",IF(P6=0,"n.a.",P7/P6))</f>
        <v>25.8745762711864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customFormat="false" ht="23" hidden="false" customHeight="true" outlineLevel="0" collapsed="false">
      <c r="A9" s="1" t="n">
        <f aca="false">IF(LEN(Base!A9&amp;"")=0,"",Base!A9)</f>
        <v>3233</v>
      </c>
      <c r="B9" s="60" t="n">
        <f aca="false">IF(LEN(A9&amp;"")=0,"",Base!D9)</f>
        <v>45332</v>
      </c>
      <c r="C9" s="1" t="str">
        <f aca="false">IF(LEN(A9&amp;"")=0,"",Base!C9)</f>
        <v>Standard</v>
      </c>
      <c r="D9" s="1" t="str">
        <f aca="false">IF(LEN(A9&amp;"")=0,"",Base!G9)</f>
        <v>Quarterly</v>
      </c>
      <c r="E9" s="1" t="str">
        <f aca="false">IF(LEN(A9&amp;"")=0,"",Base!E9)</f>
        <v>Yes</v>
      </c>
      <c r="F9" s="61" t="n">
        <f aca="false">IF(LEN(A9&amp;"")=0,"",IF(Base!I9="-",0,Base!I9))</f>
        <v>0</v>
      </c>
      <c r="G9" s="61" t="n">
        <f aca="false">IF(LEN(A9&amp;"")=0,"",SUM(Base!F9,F9,Base!K9))</f>
        <v>30</v>
      </c>
      <c r="H9" s="61" t="n">
        <f aca="false">IF(LEN(A9&amp;"")=0,"",Base!L9)</f>
        <v>10</v>
      </c>
      <c r="I9" s="61" t="n">
        <f aca="false">IF(LEN(A9&amp;"")=0,"",G9-H9)</f>
        <v>20</v>
      </c>
      <c r="J9" s="61" t="n">
        <f aca="false">IF(LEN(A9&amp;"")=0,"",Base!M9)</f>
        <v>20</v>
      </c>
      <c r="K9" s="1" t="n">
        <f aca="false">IF(OR(LEN(A9&amp;"")=0,$P$3=0),0,IF(AND(B9&gt;=Painel!$B$8,B9&lt;=Painel!$G$8,OR(Painel!$L$8="Todos",C9=Painel!$L$8),OR(Painel!$Q$8="Todos",D9=Painel!$Q$8),OR(Painel!$V$8="Todas",E9=Painel!$V$8)),1,0))</f>
        <v>1</v>
      </c>
      <c r="L9" s="61" t="n">
        <f aca="false">IF(LEN(A9&amp;"")=0,"",J9-I9)</f>
        <v>0</v>
      </c>
      <c r="M9" s="1" t="n">
        <f aca="false">IF(LEN(A9&amp;"")=0,0,IF(COUNTIFS(Base!$A$7:$A$1006,A9)&gt;1,1,0))</f>
        <v>0</v>
      </c>
      <c r="N9" s="1" t="n">
        <f aca="false">IF(LEN(A9&amp;"")=0,0,IF(ABS(L9)&gt;0.005,1,0))</f>
        <v>0</v>
      </c>
      <c r="O9" s="1" t="s">
        <v>7</v>
      </c>
      <c r="P9" s="62" t="n">
        <f aca="false">IF($P$3=0,"n.a.",IF(P6=0,"n.a.",COUNTIFS(K7:K1006,1,E7:E1006,"Yes")/P6))</f>
        <v>0.501694915254237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customFormat="false" ht="23" hidden="false" customHeight="true" outlineLevel="0" collapsed="false">
      <c r="A10" s="1" t="n">
        <f aca="false">IF(LEN(Base!A10&amp;"")=0,"",Base!A10)</f>
        <v>3234</v>
      </c>
      <c r="B10" s="60" t="n">
        <f aca="false">IF(LEN(A10&amp;"")=0,"",Base!D10)</f>
        <v>45342</v>
      </c>
      <c r="C10" s="1" t="str">
        <f aca="false">IF(LEN(A10&amp;"")=0,"",Base!C10)</f>
        <v>Ultimate</v>
      </c>
      <c r="D10" s="1" t="str">
        <f aca="false">IF(LEN(A10&amp;"")=0,"",Base!G10)</f>
        <v>Monthly</v>
      </c>
      <c r="E10" s="1" t="str">
        <f aca="false">IF(LEN(A10&amp;"")=0,"",Base!E10)</f>
        <v>No</v>
      </c>
      <c r="F10" s="61" t="n">
        <f aca="false">IF(LEN(A10&amp;"")=0,"",IF(Base!I10="-",0,Base!I10))</f>
        <v>30</v>
      </c>
      <c r="G10" s="61" t="n">
        <f aca="false">IF(LEN(A10&amp;"")=0,"",SUM(Base!F10,F10,Base!K10))</f>
        <v>65</v>
      </c>
      <c r="H10" s="61" t="n">
        <f aca="false">IF(LEN(A10&amp;"")=0,"",Base!L10)</f>
        <v>3</v>
      </c>
      <c r="I10" s="61" t="n">
        <f aca="false">IF(LEN(A10&amp;"")=0,"",G10-H10)</f>
        <v>62</v>
      </c>
      <c r="J10" s="61" t="n">
        <f aca="false">IF(LEN(A10&amp;"")=0,"",Base!M10)</f>
        <v>62</v>
      </c>
      <c r="K10" s="1" t="n">
        <f aca="false">IF(OR(LEN(A10&amp;"")=0,$P$3=0),0,IF(AND(B10&gt;=Painel!$B$8,B10&lt;=Painel!$G$8,OR(Painel!$L$8="Todos",C10=Painel!$L$8),OR(Painel!$Q$8="Todos",D10=Painel!$Q$8),OR(Painel!$V$8="Todas",E10=Painel!$V$8)),1,0))</f>
        <v>1</v>
      </c>
      <c r="L10" s="61" t="n">
        <f aca="false">IF(LEN(A10&amp;"")=0,"",J10-I10)</f>
        <v>0</v>
      </c>
      <c r="M10" s="1" t="n">
        <f aca="false">IF(LEN(A10&amp;"")=0,0,IF(COUNTIFS(Base!$A$7:$A$1006,A10)&gt;1,1,0))</f>
        <v>0</v>
      </c>
      <c r="N10" s="1" t="n">
        <f aca="false">IF(LEN(A10&amp;"")=0,0,IF(ABS(L10)&gt;0.005,1,0))</f>
        <v>0</v>
      </c>
      <c r="O10" s="1" t="s">
        <v>34</v>
      </c>
      <c r="P10" s="61" t="n">
        <f aca="false">IF($P$3=0,"n.a.",SUMIFS(G7:G1006,K7:K1006,1))</f>
        <v>9755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customFormat="false" ht="23" hidden="false" customHeight="true" outlineLevel="0" collapsed="false">
      <c r="A11" s="1" t="n">
        <f aca="false">IF(LEN(Base!A11&amp;"")=0,"",Base!A11)</f>
        <v>3235</v>
      </c>
      <c r="B11" s="60" t="n">
        <f aca="false">IF(LEN(A11&amp;"")=0,"",Base!D11)</f>
        <v>45356</v>
      </c>
      <c r="C11" s="1" t="str">
        <f aca="false">IF(LEN(A11&amp;"")=0,"",Base!C11)</f>
        <v>Core</v>
      </c>
      <c r="D11" s="1" t="str">
        <f aca="false">IF(LEN(A11&amp;"")=0,"",Base!G11)</f>
        <v>Monthly</v>
      </c>
      <c r="E11" s="1" t="str">
        <f aca="false">IF(LEN(A11&amp;"")=0,"",Base!E11)</f>
        <v>Yes</v>
      </c>
      <c r="F11" s="61" t="n">
        <f aca="false">IF(LEN(A11&amp;"")=0,"",IF(Base!I11="-",0,Base!I11))</f>
        <v>0</v>
      </c>
      <c r="G11" s="61" t="n">
        <f aca="false">IF(LEN(A11&amp;"")=0,"",SUM(Base!F11,F11,Base!K11))</f>
        <v>5</v>
      </c>
      <c r="H11" s="61" t="n">
        <f aca="false">IF(LEN(A11&amp;"")=0,"",Base!L11)</f>
        <v>1</v>
      </c>
      <c r="I11" s="61" t="n">
        <f aca="false">IF(LEN(A11&amp;"")=0,"",G11-H11)</f>
        <v>4</v>
      </c>
      <c r="J11" s="61" t="n">
        <f aca="false">IF(LEN(A11&amp;"")=0,"",Base!M11)</f>
        <v>4</v>
      </c>
      <c r="K11" s="1" t="n">
        <f aca="false">IF(OR(LEN(A11&amp;"")=0,$P$3=0),0,IF(AND(B11&gt;=Painel!$B$8,B11&lt;=Painel!$G$8,OR(Painel!$L$8="Todos",C11=Painel!$L$8),OR(Painel!$Q$8="Todos",D11=Painel!$Q$8),OR(Painel!$V$8="Todas",E11=Painel!$V$8)),1,0))</f>
        <v>1</v>
      </c>
      <c r="L11" s="61" t="n">
        <f aca="false">IF(LEN(A11&amp;"")=0,"",J11-I11)</f>
        <v>0</v>
      </c>
      <c r="M11" s="1" t="n">
        <f aca="false">IF(LEN(A11&amp;"")=0,0,IF(COUNTIFS(Base!$A$7:$A$1006,A11)&gt;1,1,0))</f>
        <v>0</v>
      </c>
      <c r="N11" s="1" t="n">
        <f aca="false">IF(LEN(A11&amp;"")=0,0,IF(ABS(L11)&gt;0.005,1,0))</f>
        <v>0</v>
      </c>
      <c r="O11" s="1" t="s">
        <v>42</v>
      </c>
      <c r="P11" s="61" t="n">
        <f aca="false">IF($P$3=0,"n.a.",SUMIFS(Base!F7:F1006,K7:K1006,1))</f>
        <v>2935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customFormat="false" ht="23" hidden="false" customHeight="true" outlineLevel="0" collapsed="false">
      <c r="A12" s="1" t="n">
        <f aca="false">IF(LEN(Base!A12&amp;"")=0,"",Base!A12)</f>
        <v>3236</v>
      </c>
      <c r="B12" s="60" t="n">
        <f aca="false">IF(LEN(A12&amp;"")=0,"",Base!D12)</f>
        <v>45353</v>
      </c>
      <c r="C12" s="1" t="str">
        <f aca="false">IF(LEN(A12&amp;"")=0,"",Base!C12)</f>
        <v>Standard</v>
      </c>
      <c r="D12" s="1" t="str">
        <f aca="false">IF(LEN(A12&amp;"")=0,"",Base!G12)</f>
        <v>Monthly</v>
      </c>
      <c r="E12" s="1" t="str">
        <f aca="false">IF(LEN(A12&amp;"")=0,"",Base!E12)</f>
        <v>No</v>
      </c>
      <c r="F12" s="61" t="n">
        <f aca="false">IF(LEN(A12&amp;"")=0,"",IF(Base!I12="-",0,Base!I12))</f>
        <v>0</v>
      </c>
      <c r="G12" s="61" t="n">
        <f aca="false">IF(LEN(A12&amp;"")=0,"",SUM(Base!F12,F12,Base!K12))</f>
        <v>30</v>
      </c>
      <c r="H12" s="61" t="n">
        <f aca="false">IF(LEN(A12&amp;"")=0,"",Base!L12)</f>
        <v>2</v>
      </c>
      <c r="I12" s="61" t="n">
        <f aca="false">IF(LEN(A12&amp;"")=0,"",G12-H12)</f>
        <v>28</v>
      </c>
      <c r="J12" s="61" t="n">
        <f aca="false">IF(LEN(A12&amp;"")=0,"",Base!M12)</f>
        <v>28</v>
      </c>
      <c r="K12" s="1" t="n">
        <f aca="false">IF(OR(LEN(A12&amp;"")=0,$P$3=0),0,IF(AND(B12&gt;=Painel!$B$8,B12&lt;=Painel!$G$8,OR(Painel!$L$8="Todos",C12=Painel!$L$8),OR(Painel!$Q$8="Todos",D12=Painel!$Q$8),OR(Painel!$V$8="Todas",E12=Painel!$V$8)),1,0))</f>
        <v>1</v>
      </c>
      <c r="L12" s="61" t="n">
        <f aca="false">IF(LEN(A12&amp;"")=0,"",J12-I12)</f>
        <v>0</v>
      </c>
      <c r="M12" s="1" t="n">
        <f aca="false">IF(LEN(A12&amp;"")=0,0,IF(COUNTIFS(Base!$A$7:$A$1006,A12)&gt;1,1,0))</f>
        <v>0</v>
      </c>
      <c r="N12" s="1" t="n">
        <f aca="false">IF(LEN(A12&amp;"")=0,0,IF(ABS(L12)&gt;0.005,1,0))</f>
        <v>0</v>
      </c>
      <c r="O12" s="1" t="s">
        <v>17</v>
      </c>
      <c r="P12" s="61" t="n">
        <f aca="false">IF($P$3=0,"n.a.",SUMIFS(F7:F1006,K7:K1006,1))</f>
        <v>2940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customFormat="false" ht="23" hidden="false" customHeight="true" outlineLevel="0" collapsed="false">
      <c r="A13" s="1" t="n">
        <f aca="false">IF(LEN(Base!A13&amp;"")=0,"",Base!A13)</f>
        <v>3237</v>
      </c>
      <c r="B13" s="60" t="n">
        <f aca="false">IF(LEN(A13&amp;"")=0,"",Base!D13)</f>
        <v>45354</v>
      </c>
      <c r="C13" s="1" t="str">
        <f aca="false">IF(LEN(A13&amp;"")=0,"",Base!C13)</f>
        <v>Ultimate</v>
      </c>
      <c r="D13" s="1" t="str">
        <f aca="false">IF(LEN(A13&amp;"")=0,"",Base!G13)</f>
        <v>Quarterly</v>
      </c>
      <c r="E13" s="1" t="str">
        <f aca="false">IF(LEN(A13&amp;"")=0,"",Base!E13)</f>
        <v>Yes</v>
      </c>
      <c r="F13" s="61" t="n">
        <f aca="false">IF(LEN(A13&amp;"")=0,"",IF(Base!I13="-",0,Base!I13))</f>
        <v>30</v>
      </c>
      <c r="G13" s="61" t="n">
        <f aca="false">IF(LEN(A13&amp;"")=0,"",SUM(Base!F13,F13,Base!K13))</f>
        <v>65</v>
      </c>
      <c r="H13" s="61" t="n">
        <f aca="false">IF(LEN(A13&amp;"")=0,"",Base!L13)</f>
        <v>10</v>
      </c>
      <c r="I13" s="61" t="n">
        <f aca="false">IF(LEN(A13&amp;"")=0,"",G13-H13)</f>
        <v>55</v>
      </c>
      <c r="J13" s="61" t="n">
        <f aca="false">IF(LEN(A13&amp;"")=0,"",Base!M13)</f>
        <v>55</v>
      </c>
      <c r="K13" s="1" t="n">
        <f aca="false">IF(OR(LEN(A13&amp;"")=0,$P$3=0),0,IF(AND(B13&gt;=Painel!$B$8,B13&lt;=Painel!$G$8,OR(Painel!$L$8="Todos",C13=Painel!$L$8),OR(Painel!$Q$8="Todos",D13=Painel!$Q$8),OR(Painel!$V$8="Todas",E13=Painel!$V$8)),1,0))</f>
        <v>1</v>
      </c>
      <c r="L13" s="61" t="n">
        <f aca="false">IF(LEN(A13&amp;"")=0,"",J13-I13)</f>
        <v>0</v>
      </c>
      <c r="M13" s="1" t="n">
        <f aca="false">IF(LEN(A13&amp;"")=0,0,IF(COUNTIFS(Base!$A$7:$A$1006,A13)&gt;1,1,0))</f>
        <v>0</v>
      </c>
      <c r="N13" s="1" t="n">
        <f aca="false">IF(LEN(A13&amp;"")=0,0,IF(ABS(L13)&gt;0.005,1,0))</f>
        <v>0</v>
      </c>
      <c r="O13" s="1" t="s">
        <v>20</v>
      </c>
      <c r="P13" s="61" t="n">
        <f aca="false">IF($P$3=0,"n.a.",SUMIFS(Base!K7:K1006,K7:K1006,1))</f>
        <v>3880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customFormat="false" ht="23" hidden="false" customHeight="true" outlineLevel="0" collapsed="false">
      <c r="A14" s="1" t="n">
        <f aca="false">IF(LEN(Base!A14&amp;"")=0,"",Base!A14)</f>
        <v>3238</v>
      </c>
      <c r="B14" s="60" t="n">
        <f aca="false">IF(LEN(A14&amp;"")=0,"",Base!D14)</f>
        <v>45355</v>
      </c>
      <c r="C14" s="1" t="str">
        <f aca="false">IF(LEN(A14&amp;"")=0,"",Base!C14)</f>
        <v>Core</v>
      </c>
      <c r="D14" s="1" t="str">
        <f aca="false">IF(LEN(A14&amp;"")=0,"",Base!G14)</f>
        <v>Annual</v>
      </c>
      <c r="E14" s="1" t="str">
        <f aca="false">IF(LEN(A14&amp;"")=0,"",Base!E14)</f>
        <v>Yes</v>
      </c>
      <c r="F14" s="61" t="n">
        <f aca="false">IF(LEN(A14&amp;"")=0,"",IF(Base!I14="-",0,Base!I14))</f>
        <v>0</v>
      </c>
      <c r="G14" s="61" t="n">
        <f aca="false">IF(LEN(A14&amp;"")=0,"",SUM(Base!F14,F14,Base!K14))</f>
        <v>5</v>
      </c>
      <c r="H14" s="61" t="n">
        <f aca="false">IF(LEN(A14&amp;"")=0,"",Base!L14)</f>
        <v>0</v>
      </c>
      <c r="I14" s="61" t="n">
        <f aca="false">IF(LEN(A14&amp;"")=0,"",G14-H14)</f>
        <v>5</v>
      </c>
      <c r="J14" s="61" t="n">
        <f aca="false">IF(LEN(A14&amp;"")=0,"",Base!M14)</f>
        <v>5</v>
      </c>
      <c r="K14" s="1" t="n">
        <f aca="false">IF(OR(LEN(A14&amp;"")=0,$P$3=0),0,IF(AND(B14&gt;=Painel!$B$8,B14&lt;=Painel!$G$8,OR(Painel!$L$8="Todos",C14=Painel!$L$8),OR(Painel!$Q$8="Todos",D14=Painel!$Q$8),OR(Painel!$V$8="Todas",E14=Painel!$V$8)),1,0))</f>
        <v>1</v>
      </c>
      <c r="L14" s="61" t="n">
        <f aca="false">IF(LEN(A14&amp;"")=0,"",J14-I14)</f>
        <v>0</v>
      </c>
      <c r="M14" s="1" t="n">
        <f aca="false">IF(LEN(A14&amp;"")=0,0,IF(COUNTIFS(Base!$A$7:$A$1006,A14)&gt;1,1,0))</f>
        <v>0</v>
      </c>
      <c r="N14" s="1" t="n">
        <f aca="false">IF(LEN(A14&amp;"")=0,0,IF(ABS(L14)&gt;0.005,1,0))</f>
        <v>0</v>
      </c>
      <c r="O14" s="1" t="s">
        <v>35</v>
      </c>
      <c r="P14" s="61" t="n">
        <f aca="false">IF($P$3=0,"n.a.",SUMIFS(H7:H1006,K7:K1006,1))</f>
        <v>2122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customFormat="false" ht="23" hidden="false" customHeight="true" outlineLevel="0" collapsed="false">
      <c r="A15" s="1" t="n">
        <f aca="false">IF(LEN(Base!A15&amp;"")=0,"",Base!A15)</f>
        <v>3239</v>
      </c>
      <c r="B15" s="60" t="n">
        <f aca="false">IF(LEN(A15&amp;"")=0,"",Base!D15)</f>
        <v>45356</v>
      </c>
      <c r="C15" s="1" t="str">
        <f aca="false">IF(LEN(A15&amp;"")=0,"",Base!C15)</f>
        <v>Ultimate</v>
      </c>
      <c r="D15" s="1" t="str">
        <f aca="false">IF(LEN(A15&amp;"")=0,"",Base!G15)</f>
        <v>Monthly</v>
      </c>
      <c r="E15" s="1" t="str">
        <f aca="false">IF(LEN(A15&amp;"")=0,"",Base!E15)</f>
        <v>No</v>
      </c>
      <c r="F15" s="61" t="n">
        <f aca="false">IF(LEN(A15&amp;"")=0,"",IF(Base!I15="-",0,Base!I15))</f>
        <v>30</v>
      </c>
      <c r="G15" s="61" t="n">
        <f aca="false">IF(LEN(A15&amp;"")=0,"",SUM(Base!F15,F15,Base!K15))</f>
        <v>65</v>
      </c>
      <c r="H15" s="61" t="n">
        <f aca="false">IF(LEN(A15&amp;"")=0,"",Base!L15)</f>
        <v>5</v>
      </c>
      <c r="I15" s="61" t="n">
        <f aca="false">IF(LEN(A15&amp;"")=0,"",G15-H15)</f>
        <v>60</v>
      </c>
      <c r="J15" s="61" t="n">
        <f aca="false">IF(LEN(A15&amp;"")=0,"",Base!M15)</f>
        <v>60</v>
      </c>
      <c r="K15" s="1" t="n">
        <f aca="false">IF(OR(LEN(A15&amp;"")=0,$P$3=0),0,IF(AND(B15&gt;=Painel!$B$8,B15&lt;=Painel!$G$8,OR(Painel!$L$8="Todos",C15=Painel!$L$8),OR(Painel!$Q$8="Todos",D15=Painel!$Q$8),OR(Painel!$V$8="Todas",E15=Painel!$V$8)),1,0))</f>
        <v>1</v>
      </c>
      <c r="L15" s="61" t="n">
        <f aca="false">IF(LEN(A15&amp;"")=0,"",J15-I15)</f>
        <v>0</v>
      </c>
      <c r="M15" s="1" t="n">
        <f aca="false">IF(LEN(A15&amp;"")=0,0,IF(COUNTIFS(Base!$A$7:$A$1006,A15)&gt;1,1,0))</f>
        <v>0</v>
      </c>
      <c r="N15" s="1" t="n">
        <f aca="false">IF(LEN(A15&amp;"")=0,0,IF(ABS(L15)&gt;0.005,1,0))</f>
        <v>0</v>
      </c>
      <c r="O15" s="1" t="s">
        <v>16</v>
      </c>
      <c r="P15" s="61" t="n">
        <f aca="false">IF($P$3=0,"n.a.",SUM(P12:P13))</f>
        <v>6820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customFormat="false" ht="23" hidden="false" customHeight="true" outlineLevel="0" collapsed="false">
      <c r="A16" s="1" t="n">
        <f aca="false">IF(LEN(Base!A16&amp;"")=0,"",Base!A16)</f>
        <v>3240</v>
      </c>
      <c r="B16" s="60" t="n">
        <f aca="false">IF(LEN(A16&amp;"")=0,"",Base!D16)</f>
        <v>45357</v>
      </c>
      <c r="C16" s="1" t="str">
        <f aca="false">IF(LEN(A16&amp;"")=0,"",Base!C16)</f>
        <v>Standard</v>
      </c>
      <c r="D16" s="1" t="str">
        <f aca="false">IF(LEN(A16&amp;"")=0,"",Base!G16)</f>
        <v>Quarterly</v>
      </c>
      <c r="E16" s="1" t="str">
        <f aca="false">IF(LEN(A16&amp;"")=0,"",Base!E16)</f>
        <v>Yes</v>
      </c>
      <c r="F16" s="61" t="n">
        <f aca="false">IF(LEN(A16&amp;"")=0,"",IF(Base!I16="-",0,Base!I16))</f>
        <v>0</v>
      </c>
      <c r="G16" s="61" t="n">
        <f aca="false">IF(LEN(A16&amp;"")=0,"",SUM(Base!F16,F16,Base!K16))</f>
        <v>30</v>
      </c>
      <c r="H16" s="61" t="n">
        <f aca="false">IF(LEN(A16&amp;"")=0,"",Base!L16)</f>
        <v>15</v>
      </c>
      <c r="I16" s="61" t="n">
        <f aca="false">IF(LEN(A16&amp;"")=0,"",G16-H16)</f>
        <v>15</v>
      </c>
      <c r="J16" s="61" t="n">
        <f aca="false">IF(LEN(A16&amp;"")=0,"",Base!M16)</f>
        <v>15</v>
      </c>
      <c r="K16" s="1" t="n">
        <f aca="false">IF(OR(LEN(A16&amp;"")=0,$P$3=0),0,IF(AND(B16&gt;=Painel!$B$8,B16&lt;=Painel!$G$8,OR(Painel!$L$8="Todos",C16=Painel!$L$8),OR(Painel!$Q$8="Todos",D16=Painel!$Q$8),OR(Painel!$V$8="Todas",E16=Painel!$V$8)),1,0))</f>
        <v>1</v>
      </c>
      <c r="L16" s="61" t="n">
        <f aca="false">IF(LEN(A16&amp;"")=0,"",J16-I16)</f>
        <v>0</v>
      </c>
      <c r="M16" s="1" t="n">
        <f aca="false">IF(LEN(A16&amp;"")=0,0,IF(COUNTIFS(Base!$A$7:$A$1006,A16)&gt;1,1,0))</f>
        <v>0</v>
      </c>
      <c r="N16" s="1" t="n">
        <f aca="false">IF(LEN(A16&amp;"")=0,0,IF(ABS(L16)&gt;0.005,1,0))</f>
        <v>0</v>
      </c>
      <c r="O16" s="1" t="s">
        <v>43</v>
      </c>
      <c r="P16" s="62" t="n">
        <f aca="false">IF($P$3=0,"n.a.",IF(P10=0,"n.a.",P15/P10))</f>
        <v>0.699128651973347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customFormat="false" ht="23" hidden="false" customHeight="true" outlineLevel="0" collapsed="false">
      <c r="A17" s="1" t="n">
        <f aca="false">IF(LEN(Base!A17&amp;"")=0,"",Base!A17)</f>
        <v>3241</v>
      </c>
      <c r="B17" s="60" t="n">
        <f aca="false">IF(LEN(A17&amp;"")=0,"",Base!D17)</f>
        <v>45358</v>
      </c>
      <c r="C17" s="1" t="str">
        <f aca="false">IF(LEN(A17&amp;"")=0,"",Base!C17)</f>
        <v>Core</v>
      </c>
      <c r="D17" s="1" t="str">
        <f aca="false">IF(LEN(A17&amp;"")=0,"",Base!G17)</f>
        <v>Monthly</v>
      </c>
      <c r="E17" s="1" t="str">
        <f aca="false">IF(LEN(A17&amp;"")=0,"",Base!E17)</f>
        <v>No</v>
      </c>
      <c r="F17" s="61" t="n">
        <f aca="false">IF(LEN(A17&amp;"")=0,"",IF(Base!I17="-",0,Base!I17))</f>
        <v>0</v>
      </c>
      <c r="G17" s="61" t="n">
        <f aca="false">IF(LEN(A17&amp;"")=0,"",SUM(Base!F17,F17,Base!K17))</f>
        <v>5</v>
      </c>
      <c r="H17" s="61" t="n">
        <f aca="false">IF(LEN(A17&amp;"")=0,"",Base!L17)</f>
        <v>1</v>
      </c>
      <c r="I17" s="61" t="n">
        <f aca="false">IF(LEN(A17&amp;"")=0,"",G17-H17)</f>
        <v>4</v>
      </c>
      <c r="J17" s="61" t="n">
        <f aca="false">IF(LEN(A17&amp;"")=0,"",Base!M17)</f>
        <v>4</v>
      </c>
      <c r="K17" s="1" t="n">
        <f aca="false">IF(OR(LEN(A17&amp;"")=0,$P$3=0),0,IF(AND(B17&gt;=Painel!$B$8,B17&lt;=Painel!$G$8,OR(Painel!$L$8="Todos",C17=Painel!$L$8),OR(Painel!$Q$8="Todos",D17=Painel!$Q$8),OR(Painel!$V$8="Todas",E17=Painel!$V$8)),1,0))</f>
        <v>1</v>
      </c>
      <c r="L17" s="61" t="n">
        <f aca="false">IF(LEN(A17&amp;"")=0,"",J17-I17)</f>
        <v>0</v>
      </c>
      <c r="M17" s="1" t="n">
        <f aca="false">IF(LEN(A17&amp;"")=0,0,IF(COUNTIFS(Base!$A$7:$A$1006,A17)&gt;1,1,0))</f>
        <v>0</v>
      </c>
      <c r="N17" s="1" t="n">
        <f aca="false">IF(LEN(A17&amp;"")=0,0,IF(ABS(L17)&gt;0.005,1,0))</f>
        <v>0</v>
      </c>
      <c r="O17" s="1" t="s">
        <v>44</v>
      </c>
      <c r="P17" s="62" t="n">
        <f aca="false">IF($P$3=0,"n.a.",IF(P6=0,"n.a.",COUNTIFS(K7:K1006,1,H7:H1006,"&gt;0")/P6))</f>
        <v>0.827118644067797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customFormat="false" ht="23" hidden="false" customHeight="true" outlineLevel="0" collapsed="false">
      <c r="A18" s="1" t="n">
        <f aca="false">IF(LEN(Base!A18&amp;"")=0,"",Base!A18)</f>
        <v>3242</v>
      </c>
      <c r="B18" s="60" t="n">
        <f aca="false">IF(LEN(A18&amp;"")=0,"",Base!D18)</f>
        <v>45359</v>
      </c>
      <c r="C18" s="1" t="str">
        <f aca="false">IF(LEN(A18&amp;"")=0,"",Base!C18)</f>
        <v>Ultimate</v>
      </c>
      <c r="D18" s="1" t="str">
        <f aca="false">IF(LEN(A18&amp;"")=0,"",Base!G18)</f>
        <v>Annual</v>
      </c>
      <c r="E18" s="1" t="str">
        <f aca="false">IF(LEN(A18&amp;"")=0,"",Base!E18)</f>
        <v>Yes</v>
      </c>
      <c r="F18" s="61" t="n">
        <f aca="false">IF(LEN(A18&amp;"")=0,"",IF(Base!I18="-",0,Base!I18))</f>
        <v>30</v>
      </c>
      <c r="G18" s="61" t="n">
        <f aca="false">IF(LEN(A18&amp;"")=0,"",SUM(Base!F18,F18,Base!K18))</f>
        <v>65</v>
      </c>
      <c r="H18" s="61" t="n">
        <f aca="false">IF(LEN(A18&amp;"")=0,"",Base!L18)</f>
        <v>20</v>
      </c>
      <c r="I18" s="61" t="n">
        <f aca="false">IF(LEN(A18&amp;"")=0,"",G18-H18)</f>
        <v>45</v>
      </c>
      <c r="J18" s="61" t="n">
        <f aca="false">IF(LEN(A18&amp;"")=0,"",Base!M18)</f>
        <v>45</v>
      </c>
      <c r="K18" s="1" t="n">
        <f aca="false">IF(OR(LEN(A18&amp;"")=0,$P$3=0),0,IF(AND(B18&gt;=Painel!$B$8,B18&lt;=Painel!$G$8,OR(Painel!$L$8="Todos",C18=Painel!$L$8),OR(Painel!$Q$8="Todos",D18=Painel!$Q$8),OR(Painel!$V$8="Todas",E18=Painel!$V$8)),1,0))</f>
        <v>1</v>
      </c>
      <c r="L18" s="61" t="n">
        <f aca="false">IF(LEN(A18&amp;"")=0,"",J18-I18)</f>
        <v>0</v>
      </c>
      <c r="M18" s="1" t="n">
        <f aca="false">IF(LEN(A18&amp;"")=0,0,IF(COUNTIFS(Base!$A$7:$A$1006,A18)&gt;1,1,0))</f>
        <v>0</v>
      </c>
      <c r="N18" s="1" t="n">
        <f aca="false">IF(LEN(A18&amp;"")=0,0,IF(ABS(L18)&gt;0.005,1,0))</f>
        <v>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customFormat="false" ht="23" hidden="false" customHeight="true" outlineLevel="0" collapsed="false">
      <c r="A19" s="1" t="n">
        <f aca="false">IF(LEN(Base!A19&amp;"")=0,"",Base!A19)</f>
        <v>3243</v>
      </c>
      <c r="B19" s="60" t="n">
        <f aca="false">IF(LEN(A19&amp;"")=0,"",Base!D19)</f>
        <v>45360</v>
      </c>
      <c r="C19" s="1" t="str">
        <f aca="false">IF(LEN(A19&amp;"")=0,"",Base!C19)</f>
        <v>Standard</v>
      </c>
      <c r="D19" s="1" t="str">
        <f aca="false">IF(LEN(A19&amp;"")=0,"",Base!G19)</f>
        <v>Monthly</v>
      </c>
      <c r="E19" s="1" t="str">
        <f aca="false">IF(LEN(A19&amp;"")=0,"",Base!E19)</f>
        <v>No</v>
      </c>
      <c r="F19" s="61" t="n">
        <f aca="false">IF(LEN(A19&amp;"")=0,"",IF(Base!I19="-",0,Base!I19))</f>
        <v>0</v>
      </c>
      <c r="G19" s="61" t="n">
        <f aca="false">IF(LEN(A19&amp;"")=0,"",SUM(Base!F19,F19,Base!K19))</f>
        <v>30</v>
      </c>
      <c r="H19" s="61" t="n">
        <f aca="false">IF(LEN(A19&amp;"")=0,"",Base!L19)</f>
        <v>10</v>
      </c>
      <c r="I19" s="61" t="n">
        <f aca="false">IF(LEN(A19&amp;"")=0,"",G19-H19)</f>
        <v>20</v>
      </c>
      <c r="J19" s="61" t="n">
        <f aca="false">IF(LEN(A19&amp;"")=0,"",Base!M19)</f>
        <v>20</v>
      </c>
      <c r="K19" s="1" t="n">
        <f aca="false">IF(OR(LEN(A19&amp;"")=0,$P$3=0),0,IF(AND(B19&gt;=Painel!$B$8,B19&lt;=Painel!$G$8,OR(Painel!$L$8="Todos",C19=Painel!$L$8),OR(Painel!$Q$8="Todos",D19=Painel!$Q$8),OR(Painel!$V$8="Todas",E19=Painel!$V$8)),1,0))</f>
        <v>1</v>
      </c>
      <c r="L19" s="61" t="n">
        <f aca="false">IF(LEN(A19&amp;"")=0,"",J19-I19)</f>
        <v>0</v>
      </c>
      <c r="M19" s="1" t="n">
        <f aca="false">IF(LEN(A19&amp;"")=0,0,IF(COUNTIFS(Base!$A$7:$A$1006,A19)&gt;1,1,0))</f>
        <v>0</v>
      </c>
      <c r="N19" s="1" t="n">
        <f aca="false">IF(LEN(A19&amp;"")=0,0,IF(ABS(L19)&gt;0.005,1,0))</f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customFormat="false" ht="23" hidden="false" customHeight="true" outlineLevel="0" collapsed="false">
      <c r="A20" s="1" t="n">
        <f aca="false">IF(LEN(Base!A20&amp;"")=0,"",Base!A20)</f>
        <v>3244</v>
      </c>
      <c r="B20" s="60" t="n">
        <f aca="false">IF(LEN(A20&amp;"")=0,"",Base!D20)</f>
        <v>45361</v>
      </c>
      <c r="C20" s="1" t="str">
        <f aca="false">IF(LEN(A20&amp;"")=0,"",Base!C20)</f>
        <v>Core</v>
      </c>
      <c r="D20" s="1" t="str">
        <f aca="false">IF(LEN(A20&amp;"")=0,"",Base!G20)</f>
        <v>Quarterly</v>
      </c>
      <c r="E20" s="1" t="str">
        <f aca="false">IF(LEN(A20&amp;"")=0,"",Base!E20)</f>
        <v>Yes</v>
      </c>
      <c r="F20" s="61" t="n">
        <f aca="false">IF(LEN(A20&amp;"")=0,"",IF(Base!I20="-",0,Base!I20))</f>
        <v>0</v>
      </c>
      <c r="G20" s="61" t="n">
        <f aca="false">IF(LEN(A20&amp;"")=0,"",SUM(Base!F20,F20,Base!K20))</f>
        <v>5</v>
      </c>
      <c r="H20" s="61" t="n">
        <f aca="false">IF(LEN(A20&amp;"")=0,"",Base!L20)</f>
        <v>0</v>
      </c>
      <c r="I20" s="61" t="n">
        <f aca="false">IF(LEN(A20&amp;"")=0,"",G20-H20)</f>
        <v>5</v>
      </c>
      <c r="J20" s="61" t="n">
        <f aca="false">IF(LEN(A20&amp;"")=0,"",Base!M20)</f>
        <v>5</v>
      </c>
      <c r="K20" s="1" t="n">
        <f aca="false">IF(OR(LEN(A20&amp;"")=0,$P$3=0),0,IF(AND(B20&gt;=Painel!$B$8,B20&lt;=Painel!$G$8,OR(Painel!$L$8="Todos",C20=Painel!$L$8),OR(Painel!$Q$8="Todos",D20=Painel!$Q$8),OR(Painel!$V$8="Todas",E20=Painel!$V$8)),1,0))</f>
        <v>1</v>
      </c>
      <c r="L20" s="61" t="n">
        <f aca="false">IF(LEN(A20&amp;"")=0,"",J20-I20)</f>
        <v>0</v>
      </c>
      <c r="M20" s="1" t="n">
        <f aca="false">IF(LEN(A20&amp;"")=0,0,IF(COUNTIFS(Base!$A$7:$A$1006,A20)&gt;1,1,0))</f>
        <v>0</v>
      </c>
      <c r="N20" s="1" t="n">
        <f aca="false">IF(LEN(A20&amp;"")=0,0,IF(ABS(L20)&gt;0.005,1,0))</f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customFormat="false" ht="30" hidden="false" customHeight="true" outlineLevel="0" collapsed="false">
      <c r="A21" s="1" t="n">
        <f aca="false">IF(LEN(Base!A21&amp;"")=0,"",Base!A21)</f>
        <v>3245</v>
      </c>
      <c r="B21" s="60" t="n">
        <f aca="false">IF(LEN(A21&amp;"")=0,"",Base!D21)</f>
        <v>45362</v>
      </c>
      <c r="C21" s="1" t="str">
        <f aca="false">IF(LEN(A21&amp;"")=0,"",Base!C21)</f>
        <v>Ultimate</v>
      </c>
      <c r="D21" s="1" t="str">
        <f aca="false">IF(LEN(A21&amp;"")=0,"",Base!G21)</f>
        <v>Monthly</v>
      </c>
      <c r="E21" s="1" t="str">
        <f aca="false">IF(LEN(A21&amp;"")=0,"",Base!E21)</f>
        <v>No</v>
      </c>
      <c r="F21" s="61" t="n">
        <f aca="false">IF(LEN(A21&amp;"")=0,"",IF(Base!I21="-",0,Base!I21))</f>
        <v>30</v>
      </c>
      <c r="G21" s="61" t="n">
        <f aca="false">IF(LEN(A21&amp;"")=0,"",SUM(Base!F21,F21,Base!K21))</f>
        <v>65</v>
      </c>
      <c r="H21" s="61" t="n">
        <f aca="false">IF(LEN(A21&amp;"")=0,"",Base!L21)</f>
        <v>8</v>
      </c>
      <c r="I21" s="61" t="n">
        <f aca="false">IF(LEN(A21&amp;"")=0,"",G21-H21)</f>
        <v>57</v>
      </c>
      <c r="J21" s="61" t="n">
        <f aca="false">IF(LEN(A21&amp;"")=0,"",Base!M21)</f>
        <v>57</v>
      </c>
      <c r="K21" s="1" t="n">
        <f aca="false">IF(OR(LEN(A21&amp;"")=0,$P$3=0),0,IF(AND(B21&gt;=Painel!$B$8,B21&lt;=Painel!$G$8,OR(Painel!$L$8="Todos",C21=Painel!$L$8),OR(Painel!$Q$8="Todos",D21=Painel!$Q$8),OR(Painel!$V$8="Todas",E21=Painel!$V$8)),1,0))</f>
        <v>1</v>
      </c>
      <c r="L21" s="61" t="n">
        <f aca="false">IF(LEN(A21&amp;"")=0,"",J21-I21)</f>
        <v>0</v>
      </c>
      <c r="M21" s="1" t="n">
        <f aca="false">IF(LEN(A21&amp;"")=0,0,IF(COUNTIFS(Base!$A$7:$A$1006,A21)&gt;1,1,0))</f>
        <v>0</v>
      </c>
      <c r="N21" s="1" t="n">
        <f aca="false">IF(LEN(A21&amp;"")=0,0,IF(ABS(L21)&gt;0.005,1,0))</f>
        <v>0</v>
      </c>
      <c r="O21" s="51" t="s">
        <v>45</v>
      </c>
      <c r="P21" s="51" t="s">
        <v>46</v>
      </c>
      <c r="Q21" s="51" t="s">
        <v>14</v>
      </c>
      <c r="R21" s="1"/>
      <c r="S21" s="1"/>
      <c r="T21" s="51" t="s">
        <v>5</v>
      </c>
      <c r="U21" s="51" t="s">
        <v>46</v>
      </c>
      <c r="V21" s="51" t="s">
        <v>47</v>
      </c>
      <c r="W21" s="1"/>
      <c r="X21" s="51" t="s">
        <v>5</v>
      </c>
      <c r="Y21" s="51" t="s">
        <v>46</v>
      </c>
      <c r="Z21" s="1"/>
      <c r="AA21" s="1"/>
      <c r="AB21" s="1"/>
      <c r="AC21" s="1"/>
      <c r="AD21" s="1"/>
      <c r="AE21" s="1"/>
      <c r="AF21" s="1"/>
    </row>
    <row r="22" customFormat="false" ht="23" hidden="false" customHeight="true" outlineLevel="0" collapsed="false">
      <c r="A22" s="1" t="n">
        <f aca="false">IF(LEN(Base!A22&amp;"")=0,"",Base!A22)</f>
        <v>3246</v>
      </c>
      <c r="B22" s="60" t="n">
        <f aca="false">IF(LEN(A22&amp;"")=0,"",Base!D22)</f>
        <v>45363</v>
      </c>
      <c r="C22" s="1" t="str">
        <f aca="false">IF(LEN(A22&amp;"")=0,"",Base!C22)</f>
        <v>Standard</v>
      </c>
      <c r="D22" s="1" t="str">
        <f aca="false">IF(LEN(A22&amp;"")=0,"",Base!G22)</f>
        <v>Annual</v>
      </c>
      <c r="E22" s="1" t="str">
        <f aca="false">IF(LEN(A22&amp;"")=0,"",Base!E22)</f>
        <v>Yes</v>
      </c>
      <c r="F22" s="61" t="n">
        <f aca="false">IF(LEN(A22&amp;"")=0,"",IF(Base!I22="-",0,Base!I22))</f>
        <v>0</v>
      </c>
      <c r="G22" s="61" t="n">
        <f aca="false">IF(LEN(A22&amp;"")=0,"",SUM(Base!F22,F22,Base!K22))</f>
        <v>30</v>
      </c>
      <c r="H22" s="61" t="n">
        <f aca="false">IF(LEN(A22&amp;"")=0,"",Base!L22)</f>
        <v>12</v>
      </c>
      <c r="I22" s="61" t="n">
        <f aca="false">IF(LEN(A22&amp;"")=0,"",G22-H22)</f>
        <v>18</v>
      </c>
      <c r="J22" s="61" t="n">
        <f aca="false">IF(LEN(A22&amp;"")=0,"",Base!M22)</f>
        <v>18</v>
      </c>
      <c r="K22" s="1" t="n">
        <f aca="false">IF(OR(LEN(A22&amp;"")=0,$P$3=0),0,IF(AND(B22&gt;=Painel!$B$8,B22&lt;=Painel!$G$8,OR(Painel!$L$8="Todos",C22=Painel!$L$8),OR(Painel!$Q$8="Todos",D22=Painel!$Q$8),OR(Painel!$V$8="Todas",E22=Painel!$V$8)),1,0))</f>
        <v>1</v>
      </c>
      <c r="L22" s="61" t="n">
        <f aca="false">IF(LEN(A22&amp;"")=0,"",J22-I22)</f>
        <v>0</v>
      </c>
      <c r="M22" s="1" t="n">
        <f aca="false">IF(LEN(A22&amp;"")=0,0,IF(COUNTIFS(Base!$A$7:$A$1006,A22)&gt;1,1,0))</f>
        <v>0</v>
      </c>
      <c r="N22" s="1" t="n">
        <f aca="false">IF(LEN(A22&amp;"")=0,0,IF(ABS(L22)&gt;0.005,1,0))</f>
        <v>0</v>
      </c>
      <c r="O22" s="1" t="s">
        <v>48</v>
      </c>
      <c r="P22" s="61" t="n">
        <f aca="false">IF($P$3=0,NA(),SUMIFS($J$7:$J$1006,$K$7:$K$1006,1,$B$7:$B$1006,"&gt;="&amp;R22,$B$7:$B$1006,"&lt;"&amp;DATE(YEAR(R22),MONTH(R22)+1,1)))</f>
        <v>65</v>
      </c>
      <c r="Q22" s="1" t="n">
        <f aca="false">COUNTIFS($K$7:$K$1006,1,$B$7:$B$1006,"&gt;="&amp;R22,$B$7:$B$1006,"&lt;"&amp;DATE(YEAR(R22),MONTH(R22)+1,1))</f>
        <v>2</v>
      </c>
      <c r="R22" s="63" t="n">
        <v>45292</v>
      </c>
      <c r="S22" s="1"/>
      <c r="T22" s="1" t="s">
        <v>49</v>
      </c>
      <c r="U22" s="1" t="n">
        <f aca="false">SUMIFS($J$7:$J$1006,$K$7:$K$1006,1,$C$7:$C$1006,T22)</f>
        <v>444</v>
      </c>
      <c r="V22" s="1" t="n">
        <f aca="false">COUNTIFS($U$22:$U$24,"&gt;"&amp;U22)+COUNTIFS($U$22:U22,U22)</f>
        <v>3</v>
      </c>
      <c r="W22" s="1"/>
      <c r="X22" s="1" t="str">
        <f aca="false">INDEX($T$22:$T$24,MATCH(1,$V$22:$V$24,0))</f>
        <v>Ultimate</v>
      </c>
      <c r="Y22" s="1" t="n">
        <f aca="false">IF($P$3=0,NA(),INDEX($U$22:$U$24,MATCH(1,$V$22:$V$24,0)))</f>
        <v>5388</v>
      </c>
      <c r="Z22" s="1"/>
      <c r="AA22" s="1"/>
      <c r="AB22" s="1"/>
      <c r="AC22" s="1"/>
      <c r="AD22" s="1"/>
      <c r="AE22" s="1"/>
      <c r="AF22" s="1"/>
    </row>
    <row r="23" customFormat="false" ht="23" hidden="false" customHeight="true" outlineLevel="0" collapsed="false">
      <c r="A23" s="1" t="n">
        <f aca="false">IF(LEN(Base!A23&amp;"")=0,"",Base!A23)</f>
        <v>3247</v>
      </c>
      <c r="B23" s="60" t="n">
        <f aca="false">IF(LEN(A23&amp;"")=0,"",Base!D23)</f>
        <v>45364</v>
      </c>
      <c r="C23" s="1" t="str">
        <f aca="false">IF(LEN(A23&amp;"")=0,"",Base!C23)</f>
        <v>Core</v>
      </c>
      <c r="D23" s="1" t="str">
        <f aca="false">IF(LEN(A23&amp;"")=0,"",Base!G23)</f>
        <v>Monthly</v>
      </c>
      <c r="E23" s="1" t="str">
        <f aca="false">IF(LEN(A23&amp;"")=0,"",Base!E23)</f>
        <v>No</v>
      </c>
      <c r="F23" s="61" t="n">
        <f aca="false">IF(LEN(A23&amp;"")=0,"",IF(Base!I23="-",0,Base!I23))</f>
        <v>0</v>
      </c>
      <c r="G23" s="61" t="n">
        <f aca="false">IF(LEN(A23&amp;"")=0,"",SUM(Base!F23,F23,Base!K23))</f>
        <v>5</v>
      </c>
      <c r="H23" s="61" t="n">
        <f aca="false">IF(LEN(A23&amp;"")=0,"",Base!L23)</f>
        <v>2</v>
      </c>
      <c r="I23" s="61" t="n">
        <f aca="false">IF(LEN(A23&amp;"")=0,"",G23-H23)</f>
        <v>3</v>
      </c>
      <c r="J23" s="61" t="n">
        <f aca="false">IF(LEN(A23&amp;"")=0,"",Base!M23)</f>
        <v>3</v>
      </c>
      <c r="K23" s="1" t="n">
        <f aca="false">IF(OR(LEN(A23&amp;"")=0,$P$3=0),0,IF(AND(B23&gt;=Painel!$B$8,B23&lt;=Painel!$G$8,OR(Painel!$L$8="Todos",C23=Painel!$L$8),OR(Painel!$Q$8="Todos",D23=Painel!$Q$8),OR(Painel!$V$8="Todas",E23=Painel!$V$8)),1,0))</f>
        <v>1</v>
      </c>
      <c r="L23" s="61" t="n">
        <f aca="false">IF(LEN(A23&amp;"")=0,"",J23-I23)</f>
        <v>0</v>
      </c>
      <c r="M23" s="1" t="n">
        <f aca="false">IF(LEN(A23&amp;"")=0,0,IF(COUNTIFS(Base!$A$7:$A$1006,A23)&gt;1,1,0))</f>
        <v>0</v>
      </c>
      <c r="N23" s="1" t="n">
        <f aca="false">IF(LEN(A23&amp;"")=0,0,IF(ABS(L23)&gt;0.005,1,0))</f>
        <v>0</v>
      </c>
      <c r="O23" s="1" t="s">
        <v>50</v>
      </c>
      <c r="P23" s="61" t="n">
        <f aca="false">IF($P$3=0,NA(),SUMIFS($J$7:$J$1006,$K$7:$K$1006,1,$B$7:$B$1006,"&gt;="&amp;R23,$B$7:$B$1006,"&lt;"&amp;DATE(YEAR(R23),MONTH(R23)+1,1)))</f>
        <v>82</v>
      </c>
      <c r="Q23" s="1" t="n">
        <f aca="false">COUNTIFS($K$7:$K$1006,1,$B$7:$B$1006,"&gt;="&amp;R23,$B$7:$B$1006,"&lt;"&amp;DATE(YEAR(R23),MONTH(R23)+1,1))</f>
        <v>2</v>
      </c>
      <c r="R23" s="63" t="n">
        <v>45323</v>
      </c>
      <c r="S23" s="1"/>
      <c r="T23" s="1" t="s">
        <v>51</v>
      </c>
      <c r="U23" s="1" t="n">
        <f aca="false">SUMIFS($J$7:$J$1006,$K$7:$K$1006,1,$C$7:$C$1006,T23)</f>
        <v>1801</v>
      </c>
      <c r="V23" s="1" t="n">
        <f aca="false">COUNTIFS($U$22:$U$24,"&gt;"&amp;U23)+COUNTIFS($U$22:U23,U23)</f>
        <v>2</v>
      </c>
      <c r="W23" s="1"/>
      <c r="X23" s="1" t="str">
        <f aca="false">INDEX($T$22:$T$24,MATCH(2,$V$22:$V$24,0))</f>
        <v>Standard</v>
      </c>
      <c r="Y23" s="1" t="n">
        <f aca="false">IF($P$3=0,NA(),INDEX($U$22:$U$24,MATCH(2,$V$22:$V$24,0)))</f>
        <v>1801</v>
      </c>
      <c r="Z23" s="1"/>
      <c r="AA23" s="1"/>
      <c r="AB23" s="1"/>
      <c r="AC23" s="1"/>
      <c r="AD23" s="1"/>
      <c r="AE23" s="1"/>
      <c r="AF23" s="1"/>
    </row>
    <row r="24" customFormat="false" ht="23" hidden="false" customHeight="true" outlineLevel="0" collapsed="false">
      <c r="A24" s="1" t="n">
        <f aca="false">IF(LEN(Base!A24&amp;"")=0,"",Base!A24)</f>
        <v>3248</v>
      </c>
      <c r="B24" s="60" t="n">
        <f aca="false">IF(LEN(A24&amp;"")=0,"",Base!D24)</f>
        <v>45365</v>
      </c>
      <c r="C24" s="1" t="str">
        <f aca="false">IF(LEN(A24&amp;"")=0,"",Base!C24)</f>
        <v>Ultimate</v>
      </c>
      <c r="D24" s="1" t="str">
        <f aca="false">IF(LEN(A24&amp;"")=0,"",Base!G24)</f>
        <v>Quarterly</v>
      </c>
      <c r="E24" s="1" t="str">
        <f aca="false">IF(LEN(A24&amp;"")=0,"",Base!E24)</f>
        <v>Yes</v>
      </c>
      <c r="F24" s="61" t="n">
        <f aca="false">IF(LEN(A24&amp;"")=0,"",IF(Base!I24="-",0,Base!I24))</f>
        <v>30</v>
      </c>
      <c r="G24" s="61" t="n">
        <f aca="false">IF(LEN(A24&amp;"")=0,"",SUM(Base!F24,F24,Base!K24))</f>
        <v>65</v>
      </c>
      <c r="H24" s="61" t="n">
        <f aca="false">IF(LEN(A24&amp;"")=0,"",Base!L24)</f>
        <v>7</v>
      </c>
      <c r="I24" s="61" t="n">
        <f aca="false">IF(LEN(A24&amp;"")=0,"",G24-H24)</f>
        <v>58</v>
      </c>
      <c r="J24" s="61" t="n">
        <f aca="false">IF(LEN(A24&amp;"")=0,"",Base!M24)</f>
        <v>58</v>
      </c>
      <c r="K24" s="1" t="n">
        <f aca="false">IF(OR(LEN(A24&amp;"")=0,$P$3=0),0,IF(AND(B24&gt;=Painel!$B$8,B24&lt;=Painel!$G$8,OR(Painel!$L$8="Todos",C24=Painel!$L$8),OR(Painel!$Q$8="Todos",D24=Painel!$Q$8),OR(Painel!$V$8="Todas",E24=Painel!$V$8)),1,0))</f>
        <v>1</v>
      </c>
      <c r="L24" s="61" t="n">
        <f aca="false">IF(LEN(A24&amp;"")=0,"",J24-I24)</f>
        <v>0</v>
      </c>
      <c r="M24" s="1" t="n">
        <f aca="false">IF(LEN(A24&amp;"")=0,0,IF(COUNTIFS(Base!$A$7:$A$1006,A24)&gt;1,1,0))</f>
        <v>0</v>
      </c>
      <c r="N24" s="1" t="n">
        <f aca="false">IF(LEN(A24&amp;"")=0,0,IF(ABS(L24)&gt;0.005,1,0))</f>
        <v>0</v>
      </c>
      <c r="O24" s="1" t="s">
        <v>52</v>
      </c>
      <c r="P24" s="61" t="n">
        <f aca="false">IF($P$3=0,NA(),SUMIFS($J$7:$J$1006,$K$7:$K$1006,1,$B$7:$B$1006,"&gt;="&amp;R24,$B$7:$B$1006,"&lt;"&amp;DATE(YEAR(R24),MONTH(R24)+1,1)))</f>
        <v>801</v>
      </c>
      <c r="Q24" s="1" t="n">
        <f aca="false">COUNTIFS($K$7:$K$1006,1,$B$7:$B$1006,"&gt;="&amp;R24,$B$7:$B$1006,"&lt;"&amp;DATE(YEAR(R24),MONTH(R24)+1,1))</f>
        <v>31</v>
      </c>
      <c r="R24" s="63" t="n">
        <v>45352</v>
      </c>
      <c r="S24" s="1"/>
      <c r="T24" s="1" t="s">
        <v>53</v>
      </c>
      <c r="U24" s="1" t="n">
        <f aca="false">SUMIFS($J$7:$J$1006,$K$7:$K$1006,1,$C$7:$C$1006,T24)</f>
        <v>5388</v>
      </c>
      <c r="V24" s="1" t="n">
        <f aca="false">COUNTIFS($U$22:$U$24,"&gt;"&amp;U24)+COUNTIFS($U$22:U24,U24)</f>
        <v>1</v>
      </c>
      <c r="W24" s="1"/>
      <c r="X24" s="1" t="str">
        <f aca="false">INDEX($T$22:$T$24,MATCH(3,$V$22:$V$24,0))</f>
        <v>Core</v>
      </c>
      <c r="Y24" s="1" t="n">
        <f aca="false">IF($P$3=0,NA(),INDEX($U$22:$U$24,MATCH(3,$V$22:$V$24,0)))</f>
        <v>444</v>
      </c>
      <c r="Z24" s="1"/>
      <c r="AA24" s="1"/>
      <c r="AB24" s="1"/>
      <c r="AC24" s="1"/>
      <c r="AD24" s="1"/>
      <c r="AE24" s="1"/>
      <c r="AF24" s="1"/>
    </row>
    <row r="25" customFormat="false" ht="23" hidden="false" customHeight="true" outlineLevel="0" collapsed="false">
      <c r="A25" s="1" t="n">
        <f aca="false">IF(LEN(Base!A25&amp;"")=0,"",Base!A25)</f>
        <v>3249</v>
      </c>
      <c r="B25" s="60" t="n">
        <f aca="false">IF(LEN(A25&amp;"")=0,"",Base!D25)</f>
        <v>45366</v>
      </c>
      <c r="C25" s="1" t="str">
        <f aca="false">IF(LEN(A25&amp;"")=0,"",Base!C25)</f>
        <v>Standard</v>
      </c>
      <c r="D25" s="1" t="str">
        <f aca="false">IF(LEN(A25&amp;"")=0,"",Base!G25)</f>
        <v>Monthly</v>
      </c>
      <c r="E25" s="1" t="str">
        <f aca="false">IF(LEN(A25&amp;"")=0,"",Base!E25)</f>
        <v>No</v>
      </c>
      <c r="F25" s="61" t="n">
        <f aca="false">IF(LEN(A25&amp;"")=0,"",IF(Base!I25="-",0,Base!I25))</f>
        <v>0</v>
      </c>
      <c r="G25" s="61" t="n">
        <f aca="false">IF(LEN(A25&amp;"")=0,"",SUM(Base!F25,F25,Base!K25))</f>
        <v>30</v>
      </c>
      <c r="H25" s="61" t="n">
        <f aca="false">IF(LEN(A25&amp;"")=0,"",Base!L25)</f>
        <v>5</v>
      </c>
      <c r="I25" s="61" t="n">
        <f aca="false">IF(LEN(A25&amp;"")=0,"",G25-H25)</f>
        <v>25</v>
      </c>
      <c r="J25" s="61" t="n">
        <f aca="false">IF(LEN(A25&amp;"")=0,"",Base!M25)</f>
        <v>25</v>
      </c>
      <c r="K25" s="1" t="n">
        <f aca="false">IF(OR(LEN(A25&amp;"")=0,$P$3=0),0,IF(AND(B25&gt;=Painel!$B$8,B25&lt;=Painel!$G$8,OR(Painel!$L$8="Todos",C25=Painel!$L$8),OR(Painel!$Q$8="Todos",D25=Painel!$Q$8),OR(Painel!$V$8="Todas",E25=Painel!$V$8)),1,0))</f>
        <v>1</v>
      </c>
      <c r="L25" s="61" t="n">
        <f aca="false">IF(LEN(A25&amp;"")=0,"",J25-I25)</f>
        <v>0</v>
      </c>
      <c r="M25" s="1" t="n">
        <f aca="false">IF(LEN(A25&amp;"")=0,0,IF(COUNTIFS(Base!$A$7:$A$1006,A25)&gt;1,1,0))</f>
        <v>0</v>
      </c>
      <c r="N25" s="1" t="n">
        <f aca="false">IF(LEN(A25&amp;"")=0,0,IF(ABS(L25)&gt;0.005,1,0))</f>
        <v>0</v>
      </c>
      <c r="O25" s="1" t="s">
        <v>54</v>
      </c>
      <c r="P25" s="61" t="n">
        <f aca="false">IF($P$3=0,NA(),SUMIFS($J$7:$J$1006,$K$7:$K$1006,1,$B$7:$B$1006,"&gt;="&amp;R25,$B$7:$B$1006,"&lt;"&amp;DATE(YEAR(R25),MONTH(R25)+1,1)))</f>
        <v>782</v>
      </c>
      <c r="Q25" s="1" t="n">
        <f aca="false">COUNTIFS($K$7:$K$1006,1,$B$7:$B$1006,"&gt;="&amp;R25,$B$7:$B$1006,"&lt;"&amp;DATE(YEAR(R25),MONTH(R25)+1,1))</f>
        <v>30</v>
      </c>
      <c r="R25" s="63" t="n">
        <v>45383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customFormat="false" ht="23" hidden="false" customHeight="true" outlineLevel="0" collapsed="false">
      <c r="A26" s="1" t="n">
        <f aca="false">IF(LEN(Base!A26&amp;"")=0,"",Base!A26)</f>
        <v>3250</v>
      </c>
      <c r="B26" s="60" t="n">
        <f aca="false">IF(LEN(A26&amp;"")=0,"",Base!D26)</f>
        <v>45367</v>
      </c>
      <c r="C26" s="1" t="str">
        <f aca="false">IF(LEN(A26&amp;"")=0,"",Base!C26)</f>
        <v>Core</v>
      </c>
      <c r="D26" s="1" t="str">
        <f aca="false">IF(LEN(A26&amp;"")=0,"",Base!G26)</f>
        <v>Annual</v>
      </c>
      <c r="E26" s="1" t="str">
        <f aca="false">IF(LEN(A26&amp;"")=0,"",Base!E26)</f>
        <v>Yes</v>
      </c>
      <c r="F26" s="61" t="n">
        <f aca="false">IF(LEN(A26&amp;"")=0,"",IF(Base!I26="-",0,Base!I26))</f>
        <v>0</v>
      </c>
      <c r="G26" s="61" t="n">
        <f aca="false">IF(LEN(A26&amp;"")=0,"",SUM(Base!F26,F26,Base!K26))</f>
        <v>5</v>
      </c>
      <c r="H26" s="61" t="n">
        <f aca="false">IF(LEN(A26&amp;"")=0,"",Base!L26)</f>
        <v>0</v>
      </c>
      <c r="I26" s="61" t="n">
        <f aca="false">IF(LEN(A26&amp;"")=0,"",G26-H26)</f>
        <v>5</v>
      </c>
      <c r="J26" s="61" t="n">
        <f aca="false">IF(LEN(A26&amp;"")=0,"",Base!M26)</f>
        <v>5</v>
      </c>
      <c r="K26" s="1" t="n">
        <f aca="false">IF(OR(LEN(A26&amp;"")=0,$P$3=0),0,IF(AND(B26&gt;=Painel!$B$8,B26&lt;=Painel!$G$8,OR(Painel!$L$8="Todos",C26=Painel!$L$8),OR(Painel!$Q$8="Todos",D26=Painel!$Q$8),OR(Painel!$V$8="Todas",E26=Painel!$V$8)),1,0))</f>
        <v>1</v>
      </c>
      <c r="L26" s="61" t="n">
        <f aca="false">IF(LEN(A26&amp;"")=0,"",J26-I26)</f>
        <v>0</v>
      </c>
      <c r="M26" s="1" t="n">
        <f aca="false">IF(LEN(A26&amp;"")=0,0,IF(COUNTIFS(Base!$A$7:$A$1006,A26)&gt;1,1,0))</f>
        <v>0</v>
      </c>
      <c r="N26" s="1" t="n">
        <f aca="false">IF(LEN(A26&amp;"")=0,0,IF(ABS(L26)&gt;0.005,1,0))</f>
        <v>0</v>
      </c>
      <c r="O26" s="1" t="s">
        <v>55</v>
      </c>
      <c r="P26" s="61" t="n">
        <f aca="false">IF($P$3=0,NA(),SUMIFS($J$7:$J$1006,$K$7:$K$1006,1,$B$7:$B$1006,"&gt;="&amp;R26,$B$7:$B$1006,"&lt;"&amp;DATE(YEAR(R26),MONTH(R26)+1,1)))</f>
        <v>777</v>
      </c>
      <c r="Q26" s="1" t="n">
        <f aca="false">COUNTIFS($K$7:$K$1006,1,$B$7:$B$1006,"&gt;="&amp;R26,$B$7:$B$1006,"&lt;"&amp;DATE(YEAR(R26),MONTH(R26)+1,1))</f>
        <v>31</v>
      </c>
      <c r="R26" s="63" t="n">
        <v>45413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customFormat="false" ht="23" hidden="false" customHeight="true" outlineLevel="0" collapsed="false">
      <c r="A27" s="1" t="n">
        <f aca="false">IF(LEN(Base!A27&amp;"")=0,"",Base!A27)</f>
        <v>3251</v>
      </c>
      <c r="B27" s="60" t="n">
        <f aca="false">IF(LEN(A27&amp;"")=0,"",Base!D27)</f>
        <v>45368</v>
      </c>
      <c r="C27" s="1" t="str">
        <f aca="false">IF(LEN(A27&amp;"")=0,"",Base!C27)</f>
        <v>Ultimate</v>
      </c>
      <c r="D27" s="1" t="str">
        <f aca="false">IF(LEN(A27&amp;"")=0,"",Base!G27)</f>
        <v>Monthly</v>
      </c>
      <c r="E27" s="1" t="str">
        <f aca="false">IF(LEN(A27&amp;"")=0,"",Base!E27)</f>
        <v>No</v>
      </c>
      <c r="F27" s="61" t="n">
        <f aca="false">IF(LEN(A27&amp;"")=0,"",IF(Base!I27="-",0,Base!I27))</f>
        <v>30</v>
      </c>
      <c r="G27" s="61" t="n">
        <f aca="false">IF(LEN(A27&amp;"")=0,"",SUM(Base!F27,F27,Base!K27))</f>
        <v>65</v>
      </c>
      <c r="H27" s="61" t="n">
        <f aca="false">IF(LEN(A27&amp;"")=0,"",Base!L27)</f>
        <v>3</v>
      </c>
      <c r="I27" s="61" t="n">
        <f aca="false">IF(LEN(A27&amp;"")=0,"",G27-H27)</f>
        <v>62</v>
      </c>
      <c r="J27" s="61" t="n">
        <f aca="false">IF(LEN(A27&amp;"")=0,"",Base!M27)</f>
        <v>62</v>
      </c>
      <c r="K27" s="1" t="n">
        <f aca="false">IF(OR(LEN(A27&amp;"")=0,$P$3=0),0,IF(AND(B27&gt;=Painel!$B$8,B27&lt;=Painel!$G$8,OR(Painel!$L$8="Todos",C27=Painel!$L$8),OR(Painel!$Q$8="Todos",D27=Painel!$Q$8),OR(Painel!$V$8="Todas",E27=Painel!$V$8)),1,0))</f>
        <v>1</v>
      </c>
      <c r="L27" s="61" t="n">
        <f aca="false">IF(LEN(A27&amp;"")=0,"",J27-I27)</f>
        <v>0</v>
      </c>
      <c r="M27" s="1" t="n">
        <f aca="false">IF(LEN(A27&amp;"")=0,0,IF(COUNTIFS(Base!$A$7:$A$1006,A27)&gt;1,1,0))</f>
        <v>0</v>
      </c>
      <c r="N27" s="1" t="n">
        <f aca="false">IF(LEN(A27&amp;"")=0,0,IF(ABS(L27)&gt;0.005,1,0))</f>
        <v>0</v>
      </c>
      <c r="O27" s="1" t="s">
        <v>56</v>
      </c>
      <c r="P27" s="61" t="n">
        <f aca="false">IF($P$3=0,NA(),SUMIFS($J$7:$J$1006,$K$7:$K$1006,1,$B$7:$B$1006,"&gt;="&amp;R27,$B$7:$B$1006,"&lt;"&amp;DATE(YEAR(R27),MONTH(R27)+1,1)))</f>
        <v>770</v>
      </c>
      <c r="Q27" s="1" t="n">
        <f aca="false">COUNTIFS($K$7:$K$1006,1,$B$7:$B$1006,"&gt;="&amp;R27,$B$7:$B$1006,"&lt;"&amp;DATE(YEAR(R27),MONTH(R27)+1,1))</f>
        <v>30</v>
      </c>
      <c r="R27" s="63" t="n">
        <v>45444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customFormat="false" ht="30" hidden="false" customHeight="true" outlineLevel="0" collapsed="false">
      <c r="A28" s="1" t="n">
        <f aca="false">IF(LEN(Base!A28&amp;"")=0,"",Base!A28)</f>
        <v>3252</v>
      </c>
      <c r="B28" s="60" t="n">
        <f aca="false">IF(LEN(A28&amp;"")=0,"",Base!D28)</f>
        <v>45369</v>
      </c>
      <c r="C28" s="1" t="str">
        <f aca="false">IF(LEN(A28&amp;"")=0,"",Base!C28)</f>
        <v>Standard</v>
      </c>
      <c r="D28" s="1" t="str">
        <f aca="false">IF(LEN(A28&amp;"")=0,"",Base!G28)</f>
        <v>Quarterly</v>
      </c>
      <c r="E28" s="1" t="str">
        <f aca="false">IF(LEN(A28&amp;"")=0,"",Base!E28)</f>
        <v>Yes</v>
      </c>
      <c r="F28" s="61" t="n">
        <f aca="false">IF(LEN(A28&amp;"")=0,"",IF(Base!I28="-",0,Base!I28))</f>
        <v>0</v>
      </c>
      <c r="G28" s="61" t="n">
        <f aca="false">IF(LEN(A28&amp;"")=0,"",SUM(Base!F28,F28,Base!K28))</f>
        <v>30</v>
      </c>
      <c r="H28" s="61" t="n">
        <f aca="false">IF(LEN(A28&amp;"")=0,"",Base!L28)</f>
        <v>15</v>
      </c>
      <c r="I28" s="61" t="n">
        <f aca="false">IF(LEN(A28&amp;"")=0,"",G28-H28)</f>
        <v>15</v>
      </c>
      <c r="J28" s="61" t="n">
        <f aca="false">IF(LEN(A28&amp;"")=0,"",Base!M28)</f>
        <v>15</v>
      </c>
      <c r="K28" s="1" t="n">
        <f aca="false">IF(OR(LEN(A28&amp;"")=0,$P$3=0),0,IF(AND(B28&gt;=Painel!$B$8,B28&lt;=Painel!$G$8,OR(Painel!$L$8="Todos",C28=Painel!$L$8),OR(Painel!$Q$8="Todos",D28=Painel!$Q$8),OR(Painel!$V$8="Todas",E28=Painel!$V$8)),1,0))</f>
        <v>1</v>
      </c>
      <c r="L28" s="61" t="n">
        <f aca="false">IF(LEN(A28&amp;"")=0,"",J28-I28)</f>
        <v>0</v>
      </c>
      <c r="M28" s="1" t="n">
        <f aca="false">IF(LEN(A28&amp;"")=0,0,IF(COUNTIFS(Base!$A$7:$A$1006,A28)&gt;1,1,0))</f>
        <v>0</v>
      </c>
      <c r="N28" s="1" t="n">
        <f aca="false">IF(LEN(A28&amp;"")=0,0,IF(ABS(L28)&gt;0.005,1,0))</f>
        <v>0</v>
      </c>
      <c r="O28" s="1" t="s">
        <v>57</v>
      </c>
      <c r="P28" s="61" t="n">
        <f aca="false">IF($P$3=0,NA(),SUMIFS($J$7:$J$1006,$K$7:$K$1006,1,$B$7:$B$1006,"&gt;="&amp;R28,$B$7:$B$1006,"&lt;"&amp;DATE(YEAR(R28),MONTH(R28)+1,1)))</f>
        <v>784</v>
      </c>
      <c r="Q28" s="1" t="n">
        <f aca="false">COUNTIFS($K$7:$K$1006,1,$B$7:$B$1006,"&gt;="&amp;R28,$B$7:$B$1006,"&lt;"&amp;DATE(YEAR(R28),MONTH(R28)+1,1))</f>
        <v>31</v>
      </c>
      <c r="R28" s="63" t="n">
        <v>45474</v>
      </c>
      <c r="S28" s="1"/>
      <c r="T28" s="51" t="s">
        <v>58</v>
      </c>
      <c r="U28" s="51" t="s">
        <v>34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customFormat="false" ht="23" hidden="false" customHeight="true" outlineLevel="0" collapsed="false">
      <c r="A29" s="1" t="n">
        <f aca="false">IF(LEN(Base!A29&amp;"")=0,"",Base!A29)</f>
        <v>3253</v>
      </c>
      <c r="B29" s="60" t="n">
        <f aca="false">IF(LEN(A29&amp;"")=0,"",Base!D29)</f>
        <v>45370</v>
      </c>
      <c r="C29" s="1" t="str">
        <f aca="false">IF(LEN(A29&amp;"")=0,"",Base!C29)</f>
        <v>Core</v>
      </c>
      <c r="D29" s="1" t="str">
        <f aca="false">IF(LEN(A29&amp;"")=0,"",Base!G29)</f>
        <v>Monthly</v>
      </c>
      <c r="E29" s="1" t="str">
        <f aca="false">IF(LEN(A29&amp;"")=0,"",Base!E29)</f>
        <v>No</v>
      </c>
      <c r="F29" s="61" t="n">
        <f aca="false">IF(LEN(A29&amp;"")=0,"",IF(Base!I29="-",0,Base!I29))</f>
        <v>0</v>
      </c>
      <c r="G29" s="61" t="n">
        <f aca="false">IF(LEN(A29&amp;"")=0,"",SUM(Base!F29,F29,Base!K29))</f>
        <v>5</v>
      </c>
      <c r="H29" s="61" t="n">
        <f aca="false">IF(LEN(A29&amp;"")=0,"",Base!L29)</f>
        <v>1</v>
      </c>
      <c r="I29" s="61" t="n">
        <f aca="false">IF(LEN(A29&amp;"")=0,"",G29-H29)</f>
        <v>4</v>
      </c>
      <c r="J29" s="61" t="n">
        <f aca="false">IF(LEN(A29&amp;"")=0,"",Base!M29)</f>
        <v>4</v>
      </c>
      <c r="K29" s="1" t="n">
        <f aca="false">IF(OR(LEN(A29&amp;"")=0,$P$3=0),0,IF(AND(B29&gt;=Painel!$B$8,B29&lt;=Painel!$G$8,OR(Painel!$L$8="Todos",C29=Painel!$L$8),OR(Painel!$Q$8="Todos",D29=Painel!$Q$8),OR(Painel!$V$8="Todas",E29=Painel!$V$8)),1,0))</f>
        <v>1</v>
      </c>
      <c r="L29" s="61" t="n">
        <f aca="false">IF(LEN(A29&amp;"")=0,"",J29-I29)</f>
        <v>0</v>
      </c>
      <c r="M29" s="1" t="n">
        <f aca="false">IF(LEN(A29&amp;"")=0,0,IF(COUNTIFS(Base!$A$7:$A$1006,A29)&gt;1,1,0))</f>
        <v>0</v>
      </c>
      <c r="N29" s="1" t="n">
        <f aca="false">IF(LEN(A29&amp;"")=0,0,IF(ABS(L29)&gt;0.005,1,0))</f>
        <v>0</v>
      </c>
      <c r="O29" s="1" t="s">
        <v>59</v>
      </c>
      <c r="P29" s="61" t="n">
        <f aca="false">IF($P$3=0,NA(),SUMIFS($J$7:$J$1006,$K$7:$K$1006,1,$B$7:$B$1006,"&gt;="&amp;R29,$B$7:$B$1006,"&lt;"&amp;DATE(YEAR(R29),MONTH(R29)+1,1)))</f>
        <v>787</v>
      </c>
      <c r="Q29" s="1" t="n">
        <f aca="false">COUNTIFS($K$7:$K$1006,1,$B$7:$B$1006,"&gt;="&amp;R29,$B$7:$B$1006,"&lt;"&amp;DATE(YEAR(R29),MONTH(R29)+1,1))</f>
        <v>31</v>
      </c>
      <c r="R29" s="63" t="n">
        <v>45505</v>
      </c>
      <c r="S29" s="1"/>
      <c r="T29" s="1" t="s">
        <v>42</v>
      </c>
      <c r="U29" s="1" t="n">
        <f aca="false">IF($P$3=0,NA(),P11)</f>
        <v>2935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customFormat="false" ht="23" hidden="false" customHeight="true" outlineLevel="0" collapsed="false">
      <c r="A30" s="1" t="n">
        <f aca="false">IF(LEN(Base!A30&amp;"")=0,"",Base!A30)</f>
        <v>3254</v>
      </c>
      <c r="B30" s="60" t="n">
        <f aca="false">IF(LEN(A30&amp;"")=0,"",Base!D30)</f>
        <v>45371</v>
      </c>
      <c r="C30" s="1" t="str">
        <f aca="false">IF(LEN(A30&amp;"")=0,"",Base!C30)</f>
        <v>Ultimate</v>
      </c>
      <c r="D30" s="1" t="str">
        <f aca="false">IF(LEN(A30&amp;"")=0,"",Base!G30)</f>
        <v>Annual</v>
      </c>
      <c r="E30" s="1" t="str">
        <f aca="false">IF(LEN(A30&amp;"")=0,"",Base!E30)</f>
        <v>Yes</v>
      </c>
      <c r="F30" s="61" t="n">
        <f aca="false">IF(LEN(A30&amp;"")=0,"",IF(Base!I30="-",0,Base!I30))</f>
        <v>30</v>
      </c>
      <c r="G30" s="61" t="n">
        <f aca="false">IF(LEN(A30&amp;"")=0,"",SUM(Base!F30,F30,Base!K30))</f>
        <v>65</v>
      </c>
      <c r="H30" s="61" t="n">
        <f aca="false">IF(LEN(A30&amp;"")=0,"",Base!L30)</f>
        <v>20</v>
      </c>
      <c r="I30" s="61" t="n">
        <f aca="false">IF(LEN(A30&amp;"")=0,"",G30-H30)</f>
        <v>45</v>
      </c>
      <c r="J30" s="61" t="n">
        <f aca="false">IF(LEN(A30&amp;"")=0,"",Base!M30)</f>
        <v>45</v>
      </c>
      <c r="K30" s="1" t="n">
        <f aca="false">IF(OR(LEN(A30&amp;"")=0,$P$3=0),0,IF(AND(B30&gt;=Painel!$B$8,B30&lt;=Painel!$G$8,OR(Painel!$L$8="Todos",C30=Painel!$L$8),OR(Painel!$Q$8="Todos",D30=Painel!$Q$8),OR(Painel!$V$8="Todas",E30=Painel!$V$8)),1,0))</f>
        <v>1</v>
      </c>
      <c r="L30" s="61" t="n">
        <f aca="false">IF(LEN(A30&amp;"")=0,"",J30-I30)</f>
        <v>0</v>
      </c>
      <c r="M30" s="1" t="n">
        <f aca="false">IF(LEN(A30&amp;"")=0,0,IF(COUNTIFS(Base!$A$7:$A$1006,A30)&gt;1,1,0))</f>
        <v>0</v>
      </c>
      <c r="N30" s="1" t="n">
        <f aca="false">IF(LEN(A30&amp;"")=0,0,IF(ABS(L30)&gt;0.005,1,0))</f>
        <v>0</v>
      </c>
      <c r="O30" s="1" t="s">
        <v>60</v>
      </c>
      <c r="P30" s="61" t="n">
        <f aca="false">IF($P$3=0,NA(),SUMIFS($J$7:$J$1006,$K$7:$K$1006,1,$B$7:$B$1006,"&gt;="&amp;R30,$B$7:$B$1006,"&lt;"&amp;DATE(YEAR(R30),MONTH(R30)+1,1)))</f>
        <v>780</v>
      </c>
      <c r="Q30" s="1" t="n">
        <f aca="false">COUNTIFS($K$7:$K$1006,1,$B$7:$B$1006,"&gt;="&amp;R30,$B$7:$B$1006,"&lt;"&amp;DATE(YEAR(R30),MONTH(R30)+1,1))</f>
        <v>30</v>
      </c>
      <c r="R30" s="63" t="n">
        <v>45536</v>
      </c>
      <c r="S30" s="1"/>
      <c r="T30" s="1" t="s">
        <v>17</v>
      </c>
      <c r="U30" s="1" t="n">
        <f aca="false">IF($P$3=0,NA(),P12)</f>
        <v>2940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customFormat="false" ht="23" hidden="false" customHeight="true" outlineLevel="0" collapsed="false">
      <c r="A31" s="1" t="n">
        <f aca="false">IF(LEN(Base!A31&amp;"")=0,"",Base!A31)</f>
        <v>3255</v>
      </c>
      <c r="B31" s="60" t="n">
        <f aca="false">IF(LEN(A31&amp;"")=0,"",Base!D31)</f>
        <v>45372</v>
      </c>
      <c r="C31" s="1" t="str">
        <f aca="false">IF(LEN(A31&amp;"")=0,"",Base!C31)</f>
        <v>Standard</v>
      </c>
      <c r="D31" s="1" t="str">
        <f aca="false">IF(LEN(A31&amp;"")=0,"",Base!G31)</f>
        <v>Monthly</v>
      </c>
      <c r="E31" s="1" t="str">
        <f aca="false">IF(LEN(A31&amp;"")=0,"",Base!E31)</f>
        <v>No</v>
      </c>
      <c r="F31" s="61" t="n">
        <f aca="false">IF(LEN(A31&amp;"")=0,"",IF(Base!I31="-",0,Base!I31))</f>
        <v>0</v>
      </c>
      <c r="G31" s="61" t="n">
        <f aca="false">IF(LEN(A31&amp;"")=0,"",SUM(Base!F31,F31,Base!K31))</f>
        <v>30</v>
      </c>
      <c r="H31" s="61" t="n">
        <f aca="false">IF(LEN(A31&amp;"")=0,"",Base!L31)</f>
        <v>10</v>
      </c>
      <c r="I31" s="61" t="n">
        <f aca="false">IF(LEN(A31&amp;"")=0,"",G31-H31)</f>
        <v>20</v>
      </c>
      <c r="J31" s="61" t="n">
        <f aca="false">IF(LEN(A31&amp;"")=0,"",Base!M31)</f>
        <v>20</v>
      </c>
      <c r="K31" s="1" t="n">
        <f aca="false">IF(OR(LEN(A31&amp;"")=0,$P$3=0),0,IF(AND(B31&gt;=Painel!$B$8,B31&lt;=Painel!$G$8,OR(Painel!$L$8="Todos",C31=Painel!$L$8),OR(Painel!$Q$8="Todos",D31=Painel!$Q$8),OR(Painel!$V$8="Todas",E31=Painel!$V$8)),1,0))</f>
        <v>1</v>
      </c>
      <c r="L31" s="61" t="n">
        <f aca="false">IF(LEN(A31&amp;"")=0,"",J31-I31)</f>
        <v>0</v>
      </c>
      <c r="M31" s="1" t="n">
        <f aca="false">IF(LEN(A31&amp;"")=0,0,IF(COUNTIFS(Base!$A$7:$A$1006,A31)&gt;1,1,0))</f>
        <v>0</v>
      </c>
      <c r="N31" s="1" t="n">
        <f aca="false">IF(LEN(A31&amp;"")=0,0,IF(ABS(L31)&gt;0.005,1,0))</f>
        <v>0</v>
      </c>
      <c r="O31" s="1" t="s">
        <v>61</v>
      </c>
      <c r="P31" s="61" t="n">
        <f aca="false">IF($P$3=0,NA(),SUMIFS($J$7:$J$1006,$K$7:$K$1006,1,$B$7:$B$1006,"&gt;="&amp;R31,$B$7:$B$1006,"&lt;"&amp;DATE(YEAR(R31),MONTH(R31)+1,1)))</f>
        <v>832</v>
      </c>
      <c r="Q31" s="1" t="n">
        <f aca="false">COUNTIFS($K$7:$K$1006,1,$B$7:$B$1006,"&gt;="&amp;R31,$B$7:$B$1006,"&lt;"&amp;DATE(YEAR(R31),MONTH(R31)+1,1))</f>
        <v>31</v>
      </c>
      <c r="R31" s="63" t="n">
        <v>45566</v>
      </c>
      <c r="S31" s="1"/>
      <c r="T31" s="1" t="s">
        <v>20</v>
      </c>
      <c r="U31" s="1" t="n">
        <f aca="false">IF($P$3=0,NA(),P13)</f>
        <v>3880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customFormat="false" ht="23" hidden="false" customHeight="true" outlineLevel="0" collapsed="false">
      <c r="A32" s="1" t="n">
        <f aca="false">IF(LEN(Base!A32&amp;"")=0,"",Base!A32)</f>
        <v>3256</v>
      </c>
      <c r="B32" s="60" t="n">
        <f aca="false">IF(LEN(A32&amp;"")=0,"",Base!D32)</f>
        <v>45373</v>
      </c>
      <c r="C32" s="1" t="str">
        <f aca="false">IF(LEN(A32&amp;"")=0,"",Base!C32)</f>
        <v>Core</v>
      </c>
      <c r="D32" s="1" t="str">
        <f aca="false">IF(LEN(A32&amp;"")=0,"",Base!G32)</f>
        <v>Quarterly</v>
      </c>
      <c r="E32" s="1" t="str">
        <f aca="false">IF(LEN(A32&amp;"")=0,"",Base!E32)</f>
        <v>Yes</v>
      </c>
      <c r="F32" s="61" t="n">
        <f aca="false">IF(LEN(A32&amp;"")=0,"",IF(Base!I32="-",0,Base!I32))</f>
        <v>0</v>
      </c>
      <c r="G32" s="61" t="n">
        <f aca="false">IF(LEN(A32&amp;"")=0,"",SUM(Base!F32,F32,Base!K32))</f>
        <v>5</v>
      </c>
      <c r="H32" s="61" t="n">
        <f aca="false">IF(LEN(A32&amp;"")=0,"",Base!L32)</f>
        <v>0</v>
      </c>
      <c r="I32" s="61" t="n">
        <f aca="false">IF(LEN(A32&amp;"")=0,"",G32-H32)</f>
        <v>5</v>
      </c>
      <c r="J32" s="61" t="n">
        <f aca="false">IF(LEN(A32&amp;"")=0,"",Base!M32)</f>
        <v>5</v>
      </c>
      <c r="K32" s="1" t="n">
        <f aca="false">IF(OR(LEN(A32&amp;"")=0,$P$3=0),0,IF(AND(B32&gt;=Painel!$B$8,B32&lt;=Painel!$G$8,OR(Painel!$L$8="Todos",C32=Painel!$L$8),OR(Painel!$Q$8="Todos",D32=Painel!$Q$8),OR(Painel!$V$8="Todas",E32=Painel!$V$8)),1,0))</f>
        <v>1</v>
      </c>
      <c r="L32" s="61" t="n">
        <f aca="false">IF(LEN(A32&amp;"")=0,"",J32-I32)</f>
        <v>0</v>
      </c>
      <c r="M32" s="1" t="n">
        <f aca="false">IF(LEN(A32&amp;"")=0,0,IF(COUNTIFS(Base!$A$7:$A$1006,A32)&gt;1,1,0))</f>
        <v>0</v>
      </c>
      <c r="N32" s="1" t="n">
        <f aca="false">IF(LEN(A32&amp;"")=0,0,IF(ABS(L32)&gt;0.005,1,0))</f>
        <v>0</v>
      </c>
      <c r="O32" s="1" t="s">
        <v>62</v>
      </c>
      <c r="P32" s="61" t="n">
        <f aca="false">IF($P$3=0,NA(),SUMIFS($J$7:$J$1006,$K$7:$K$1006,1,$B$7:$B$1006,"&gt;="&amp;R32,$B$7:$B$1006,"&lt;"&amp;DATE(YEAR(R32),MONTH(R32)+1,1)))</f>
        <v>784</v>
      </c>
      <c r="Q32" s="1" t="n">
        <f aca="false">COUNTIFS($K$7:$K$1006,1,$B$7:$B$1006,"&gt;="&amp;R32,$B$7:$B$1006,"&lt;"&amp;DATE(YEAR(R32),MONTH(R32)+1,1))</f>
        <v>30</v>
      </c>
      <c r="R32" s="63" t="n">
        <v>45597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customFormat="false" ht="23" hidden="false" customHeight="true" outlineLevel="0" collapsed="false">
      <c r="A33" s="1" t="n">
        <f aca="false">IF(LEN(Base!A33&amp;"")=0,"",Base!A33)</f>
        <v>3257</v>
      </c>
      <c r="B33" s="60" t="n">
        <f aca="false">IF(LEN(A33&amp;"")=0,"",Base!D33)</f>
        <v>45374</v>
      </c>
      <c r="C33" s="1" t="str">
        <f aca="false">IF(LEN(A33&amp;"")=0,"",Base!C33)</f>
        <v>Ultimate</v>
      </c>
      <c r="D33" s="1" t="str">
        <f aca="false">IF(LEN(A33&amp;"")=0,"",Base!G33)</f>
        <v>Monthly</v>
      </c>
      <c r="E33" s="1" t="str">
        <f aca="false">IF(LEN(A33&amp;"")=0,"",Base!E33)</f>
        <v>No</v>
      </c>
      <c r="F33" s="61" t="n">
        <f aca="false">IF(LEN(A33&amp;"")=0,"",IF(Base!I33="-",0,Base!I33))</f>
        <v>30</v>
      </c>
      <c r="G33" s="61" t="n">
        <f aca="false">IF(LEN(A33&amp;"")=0,"",SUM(Base!F33,F33,Base!K33))</f>
        <v>65</v>
      </c>
      <c r="H33" s="61" t="n">
        <f aca="false">IF(LEN(A33&amp;"")=0,"",Base!L33)</f>
        <v>5</v>
      </c>
      <c r="I33" s="61" t="n">
        <f aca="false">IF(LEN(A33&amp;"")=0,"",G33-H33)</f>
        <v>60</v>
      </c>
      <c r="J33" s="61" t="n">
        <f aca="false">IF(LEN(A33&amp;"")=0,"",Base!M33)</f>
        <v>60</v>
      </c>
      <c r="K33" s="1" t="n">
        <f aca="false">IF(OR(LEN(A33&amp;"")=0,$P$3=0),0,IF(AND(B33&gt;=Painel!$B$8,B33&lt;=Painel!$G$8,OR(Painel!$L$8="Todos",C33=Painel!$L$8),OR(Painel!$Q$8="Todos",D33=Painel!$Q$8),OR(Painel!$V$8="Todas",E33=Painel!$V$8)),1,0))</f>
        <v>1</v>
      </c>
      <c r="L33" s="61" t="n">
        <f aca="false">IF(LEN(A33&amp;"")=0,"",J33-I33)</f>
        <v>0</v>
      </c>
      <c r="M33" s="1" t="n">
        <f aca="false">IF(LEN(A33&amp;"")=0,0,IF(COUNTIFS(Base!$A$7:$A$1006,A33)&gt;1,1,0))</f>
        <v>0</v>
      </c>
      <c r="N33" s="1" t="n">
        <f aca="false">IF(LEN(A33&amp;"")=0,0,IF(ABS(L33)&gt;0.005,1,0))</f>
        <v>0</v>
      </c>
      <c r="O33" s="1" t="s">
        <v>63</v>
      </c>
      <c r="P33" s="61" t="n">
        <f aca="false">IF($P$3=0,NA(),SUMIFS($J$7:$J$1006,$K$7:$K$1006,1,$B$7:$B$1006,"&gt;="&amp;R33,$B$7:$B$1006,"&lt;"&amp;DATE(YEAR(R33),MONTH(R33)+1,1)))</f>
        <v>389</v>
      </c>
      <c r="Q33" s="1" t="n">
        <f aca="false">COUNTIFS($K$7:$K$1006,1,$B$7:$B$1006,"&gt;="&amp;R33,$B$7:$B$1006,"&lt;"&amp;DATE(YEAR(R33),MONTH(R33)+1,1))</f>
        <v>16</v>
      </c>
      <c r="R33" s="63" t="n">
        <v>45627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customFormat="false" ht="23" hidden="false" customHeight="true" outlineLevel="0" collapsed="false">
      <c r="A34" s="1" t="n">
        <f aca="false">IF(LEN(Base!A34&amp;"")=0,"",Base!A34)</f>
        <v>3258</v>
      </c>
      <c r="B34" s="60" t="n">
        <f aca="false">IF(LEN(A34&amp;"")=0,"",Base!D34)</f>
        <v>45375</v>
      </c>
      <c r="C34" s="1" t="str">
        <f aca="false">IF(LEN(A34&amp;"")=0,"",Base!C34)</f>
        <v>Standard</v>
      </c>
      <c r="D34" s="1" t="str">
        <f aca="false">IF(LEN(A34&amp;"")=0,"",Base!G34)</f>
        <v>Annual</v>
      </c>
      <c r="E34" s="1" t="str">
        <f aca="false">IF(LEN(A34&amp;"")=0,"",Base!E34)</f>
        <v>Yes</v>
      </c>
      <c r="F34" s="61" t="n">
        <f aca="false">IF(LEN(A34&amp;"")=0,"",IF(Base!I34="-",0,Base!I34))</f>
        <v>0</v>
      </c>
      <c r="G34" s="61" t="n">
        <f aca="false">IF(LEN(A34&amp;"")=0,"",SUM(Base!F34,F34,Base!K34))</f>
        <v>30</v>
      </c>
      <c r="H34" s="61" t="n">
        <f aca="false">IF(LEN(A34&amp;"")=0,"",Base!L34)</f>
        <v>15</v>
      </c>
      <c r="I34" s="61" t="n">
        <f aca="false">IF(LEN(A34&amp;"")=0,"",G34-H34)</f>
        <v>15</v>
      </c>
      <c r="J34" s="61" t="n">
        <f aca="false">IF(LEN(A34&amp;"")=0,"",Base!M34)</f>
        <v>15</v>
      </c>
      <c r="K34" s="1" t="n">
        <f aca="false">IF(OR(LEN(A34&amp;"")=0,$P$3=0),0,IF(AND(B34&gt;=Painel!$B$8,B34&lt;=Painel!$G$8,OR(Painel!$L$8="Todos",C34=Painel!$L$8),OR(Painel!$Q$8="Todos",D34=Painel!$Q$8),OR(Painel!$V$8="Todas",E34=Painel!$V$8)),1,0))</f>
        <v>1</v>
      </c>
      <c r="L34" s="61" t="n">
        <f aca="false">IF(LEN(A34&amp;"")=0,"",J34-I34)</f>
        <v>0</v>
      </c>
      <c r="M34" s="1" t="n">
        <f aca="false">IF(LEN(A34&amp;"")=0,0,IF(COUNTIFS(Base!$A$7:$A$1006,A34)&gt;1,1,0))</f>
        <v>0</v>
      </c>
      <c r="N34" s="1" t="n">
        <f aca="false">IF(LEN(A34&amp;"")=0,0,IF(ABS(L34)&gt;0.005,1,0))</f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customFormat="false" ht="23" hidden="false" customHeight="true" outlineLevel="0" collapsed="false">
      <c r="A35" s="1" t="n">
        <f aca="false">IF(LEN(Base!A35&amp;"")=0,"",Base!A35)</f>
        <v>3259</v>
      </c>
      <c r="B35" s="60" t="n">
        <f aca="false">IF(LEN(A35&amp;"")=0,"",Base!D35)</f>
        <v>45376</v>
      </c>
      <c r="C35" s="1" t="str">
        <f aca="false">IF(LEN(A35&amp;"")=0,"",Base!C35)</f>
        <v>Core</v>
      </c>
      <c r="D35" s="1" t="str">
        <f aca="false">IF(LEN(A35&amp;"")=0,"",Base!G35)</f>
        <v>Monthly</v>
      </c>
      <c r="E35" s="1" t="str">
        <f aca="false">IF(LEN(A35&amp;"")=0,"",Base!E35)</f>
        <v>No</v>
      </c>
      <c r="F35" s="61" t="n">
        <f aca="false">IF(LEN(A35&amp;"")=0,"",IF(Base!I35="-",0,Base!I35))</f>
        <v>0</v>
      </c>
      <c r="G35" s="61" t="n">
        <f aca="false">IF(LEN(A35&amp;"")=0,"",SUM(Base!F35,F35,Base!K35))</f>
        <v>5</v>
      </c>
      <c r="H35" s="61" t="n">
        <f aca="false">IF(LEN(A35&amp;"")=0,"",Base!L35)</f>
        <v>1</v>
      </c>
      <c r="I35" s="61" t="n">
        <f aca="false">IF(LEN(A35&amp;"")=0,"",G35-H35)</f>
        <v>4</v>
      </c>
      <c r="J35" s="61" t="n">
        <f aca="false">IF(LEN(A35&amp;"")=0,"",Base!M35)</f>
        <v>4</v>
      </c>
      <c r="K35" s="1" t="n">
        <f aca="false">IF(OR(LEN(A35&amp;"")=0,$P$3=0),0,IF(AND(B35&gt;=Painel!$B$8,B35&lt;=Painel!$G$8,OR(Painel!$L$8="Todos",C35=Painel!$L$8),OR(Painel!$Q$8="Todos",D35=Painel!$Q$8),OR(Painel!$V$8="Todas",E35=Painel!$V$8)),1,0))</f>
        <v>1</v>
      </c>
      <c r="L35" s="61" t="n">
        <f aca="false">IF(LEN(A35&amp;"")=0,"",J35-I35)</f>
        <v>0</v>
      </c>
      <c r="M35" s="1" t="n">
        <f aca="false">IF(LEN(A35&amp;"")=0,0,IF(COUNTIFS(Base!$A$7:$A$1006,A35)&gt;1,1,0))</f>
        <v>0</v>
      </c>
      <c r="N35" s="1" t="n">
        <f aca="false">IF(LEN(A35&amp;"")=0,0,IF(ABS(L35)&gt;0.005,1,0))</f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customFormat="false" ht="23" hidden="false" customHeight="true" outlineLevel="0" collapsed="false">
      <c r="A36" s="1" t="n">
        <f aca="false">IF(LEN(Base!A36&amp;"")=0,"",Base!A36)</f>
        <v>3260</v>
      </c>
      <c r="B36" s="60" t="n">
        <f aca="false">IF(LEN(A36&amp;"")=0,"",Base!D36)</f>
        <v>45377</v>
      </c>
      <c r="C36" s="1" t="str">
        <f aca="false">IF(LEN(A36&amp;"")=0,"",Base!C36)</f>
        <v>Ultimate</v>
      </c>
      <c r="D36" s="1" t="str">
        <f aca="false">IF(LEN(A36&amp;"")=0,"",Base!G36)</f>
        <v>Quarterly</v>
      </c>
      <c r="E36" s="1" t="str">
        <f aca="false">IF(LEN(A36&amp;"")=0,"",Base!E36)</f>
        <v>Yes</v>
      </c>
      <c r="F36" s="61" t="n">
        <f aca="false">IF(LEN(A36&amp;"")=0,"",IF(Base!I36="-",0,Base!I36))</f>
        <v>30</v>
      </c>
      <c r="G36" s="61" t="n">
        <f aca="false">IF(LEN(A36&amp;"")=0,"",SUM(Base!F36,F36,Base!K36))</f>
        <v>65</v>
      </c>
      <c r="H36" s="61" t="n">
        <f aca="false">IF(LEN(A36&amp;"")=0,"",Base!L36)</f>
        <v>7</v>
      </c>
      <c r="I36" s="61" t="n">
        <f aca="false">IF(LEN(A36&amp;"")=0,"",G36-H36)</f>
        <v>58</v>
      </c>
      <c r="J36" s="61" t="n">
        <f aca="false">IF(LEN(A36&amp;"")=0,"",Base!M36)</f>
        <v>58</v>
      </c>
      <c r="K36" s="1" t="n">
        <f aca="false">IF(OR(LEN(A36&amp;"")=0,$P$3=0),0,IF(AND(B36&gt;=Painel!$B$8,B36&lt;=Painel!$G$8,OR(Painel!$L$8="Todos",C36=Painel!$L$8),OR(Painel!$Q$8="Todos",D36=Painel!$Q$8),OR(Painel!$V$8="Todas",E36=Painel!$V$8)),1,0))</f>
        <v>1</v>
      </c>
      <c r="L36" s="61" t="n">
        <f aca="false">IF(LEN(A36&amp;"")=0,"",J36-I36)</f>
        <v>0</v>
      </c>
      <c r="M36" s="1" t="n">
        <f aca="false">IF(LEN(A36&amp;"")=0,0,IF(COUNTIFS(Base!$A$7:$A$1006,A36)&gt;1,1,0))</f>
        <v>0</v>
      </c>
      <c r="N36" s="1" t="n">
        <f aca="false">IF(LEN(A36&amp;"")=0,0,IF(ABS(L36)&gt;0.005,1,0))</f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customFormat="false" ht="23" hidden="false" customHeight="true" outlineLevel="0" collapsed="false">
      <c r="A37" s="1" t="n">
        <f aca="false">IF(LEN(Base!A37&amp;"")=0,"",Base!A37)</f>
        <v>3261</v>
      </c>
      <c r="B37" s="60" t="n">
        <f aca="false">IF(LEN(A37&amp;"")=0,"",Base!D37)</f>
        <v>45378</v>
      </c>
      <c r="C37" s="1" t="str">
        <f aca="false">IF(LEN(A37&amp;"")=0,"",Base!C37)</f>
        <v>Standard</v>
      </c>
      <c r="D37" s="1" t="str">
        <f aca="false">IF(LEN(A37&amp;"")=0,"",Base!G37)</f>
        <v>Monthly</v>
      </c>
      <c r="E37" s="1" t="str">
        <f aca="false">IF(LEN(A37&amp;"")=0,"",Base!E37)</f>
        <v>No</v>
      </c>
      <c r="F37" s="61" t="n">
        <f aca="false">IF(LEN(A37&amp;"")=0,"",IF(Base!I37="-",0,Base!I37))</f>
        <v>0</v>
      </c>
      <c r="G37" s="61" t="n">
        <f aca="false">IF(LEN(A37&amp;"")=0,"",SUM(Base!F37,F37,Base!K37))</f>
        <v>30</v>
      </c>
      <c r="H37" s="61" t="n">
        <f aca="false">IF(LEN(A37&amp;"")=0,"",Base!L37)</f>
        <v>10</v>
      </c>
      <c r="I37" s="61" t="n">
        <f aca="false">IF(LEN(A37&amp;"")=0,"",G37-H37)</f>
        <v>20</v>
      </c>
      <c r="J37" s="61" t="n">
        <f aca="false">IF(LEN(A37&amp;"")=0,"",Base!M37)</f>
        <v>20</v>
      </c>
      <c r="K37" s="1" t="n">
        <f aca="false">IF(OR(LEN(A37&amp;"")=0,$P$3=0),0,IF(AND(B37&gt;=Painel!$B$8,B37&lt;=Painel!$G$8,OR(Painel!$L$8="Todos",C37=Painel!$L$8),OR(Painel!$Q$8="Todos",D37=Painel!$Q$8),OR(Painel!$V$8="Todas",E37=Painel!$V$8)),1,0))</f>
        <v>1</v>
      </c>
      <c r="L37" s="61" t="n">
        <f aca="false">IF(LEN(A37&amp;"")=0,"",J37-I37)</f>
        <v>0</v>
      </c>
      <c r="M37" s="1" t="n">
        <f aca="false">IF(LEN(A37&amp;"")=0,0,IF(COUNTIFS(Base!$A$7:$A$1006,A37)&gt;1,1,0))</f>
        <v>0</v>
      </c>
      <c r="N37" s="1" t="n">
        <f aca="false">IF(LEN(A37&amp;"")=0,0,IF(ABS(L37)&gt;0.005,1,0))</f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customFormat="false" ht="30" hidden="false" customHeight="true" outlineLevel="0" collapsed="false">
      <c r="A38" s="1" t="n">
        <f aca="false">IF(LEN(Base!A38&amp;"")=0,"",Base!A38)</f>
        <v>3262</v>
      </c>
      <c r="B38" s="60" t="n">
        <f aca="false">IF(LEN(A38&amp;"")=0,"",Base!D38)</f>
        <v>45379</v>
      </c>
      <c r="C38" s="1" t="str">
        <f aca="false">IF(LEN(A38&amp;"")=0,"",Base!C38)</f>
        <v>Core</v>
      </c>
      <c r="D38" s="1" t="str">
        <f aca="false">IF(LEN(A38&amp;"")=0,"",Base!G38)</f>
        <v>Annual</v>
      </c>
      <c r="E38" s="1" t="str">
        <f aca="false">IF(LEN(A38&amp;"")=0,"",Base!E38)</f>
        <v>Yes</v>
      </c>
      <c r="F38" s="61" t="n">
        <f aca="false">IF(LEN(A38&amp;"")=0,"",IF(Base!I38="-",0,Base!I38))</f>
        <v>0</v>
      </c>
      <c r="G38" s="61" t="n">
        <f aca="false">IF(LEN(A38&amp;"")=0,"",SUM(Base!F38,F38,Base!K38))</f>
        <v>5</v>
      </c>
      <c r="H38" s="61" t="n">
        <f aca="false">IF(LEN(A38&amp;"")=0,"",Base!L38)</f>
        <v>0</v>
      </c>
      <c r="I38" s="61" t="n">
        <f aca="false">IF(LEN(A38&amp;"")=0,"",G38-H38)</f>
        <v>5</v>
      </c>
      <c r="J38" s="61" t="n">
        <f aca="false">IF(LEN(A38&amp;"")=0,"",Base!M38)</f>
        <v>5</v>
      </c>
      <c r="K38" s="1" t="n">
        <f aca="false">IF(OR(LEN(A38&amp;"")=0,$P$3=0),0,IF(AND(B38&gt;=Painel!$B$8,B38&lt;=Painel!$G$8,OR(Painel!$L$8="Todos",C38=Painel!$L$8),OR(Painel!$Q$8="Todos",D38=Painel!$Q$8),OR(Painel!$V$8="Todas",E38=Painel!$V$8)),1,0))</f>
        <v>1</v>
      </c>
      <c r="L38" s="61" t="n">
        <f aca="false">IF(LEN(A38&amp;"")=0,"",J38-I38)</f>
        <v>0</v>
      </c>
      <c r="M38" s="1" t="n">
        <f aca="false">IF(LEN(A38&amp;"")=0,0,IF(COUNTIFS(Base!$A$7:$A$1006,A38)&gt;1,1,0))</f>
        <v>0</v>
      </c>
      <c r="N38" s="1" t="n">
        <f aca="false">IF(LEN(A38&amp;"")=0,0,IF(ABS(L38)&gt;0.005,1,0))</f>
        <v>0</v>
      </c>
      <c r="O38" s="51" t="s">
        <v>64</v>
      </c>
      <c r="P38" s="51" t="s">
        <v>65</v>
      </c>
      <c r="Q38" s="51" t="s">
        <v>66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customFormat="false" ht="23" hidden="false" customHeight="true" outlineLevel="0" collapsed="false">
      <c r="A39" s="1" t="n">
        <f aca="false">IF(LEN(Base!A39&amp;"")=0,"",Base!A39)</f>
        <v>3263</v>
      </c>
      <c r="B39" s="60" t="n">
        <f aca="false">IF(LEN(A39&amp;"")=0,"",Base!D39)</f>
        <v>45380</v>
      </c>
      <c r="C39" s="1" t="str">
        <f aca="false">IF(LEN(A39&amp;"")=0,"",Base!C39)</f>
        <v>Ultimate</v>
      </c>
      <c r="D39" s="1" t="str">
        <f aca="false">IF(LEN(A39&amp;"")=0,"",Base!G39)</f>
        <v>Monthly</v>
      </c>
      <c r="E39" s="1" t="str">
        <f aca="false">IF(LEN(A39&amp;"")=0,"",Base!E39)</f>
        <v>No</v>
      </c>
      <c r="F39" s="61" t="n">
        <f aca="false">IF(LEN(A39&amp;"")=0,"",IF(Base!I39="-",0,Base!I39))</f>
        <v>30</v>
      </c>
      <c r="G39" s="61" t="n">
        <f aca="false">IF(LEN(A39&amp;"")=0,"",SUM(Base!F39,F39,Base!K39))</f>
        <v>65</v>
      </c>
      <c r="H39" s="61" t="n">
        <f aca="false">IF(LEN(A39&amp;"")=0,"",Base!L39)</f>
        <v>3</v>
      </c>
      <c r="I39" s="61" t="n">
        <f aca="false">IF(LEN(A39&amp;"")=0,"",G39-H39)</f>
        <v>62</v>
      </c>
      <c r="J39" s="61" t="n">
        <f aca="false">IF(LEN(A39&amp;"")=0,"",Base!M39)</f>
        <v>62</v>
      </c>
      <c r="K39" s="1" t="n">
        <f aca="false">IF(OR(LEN(A39&amp;"")=0,$P$3=0),0,IF(AND(B39&gt;=Painel!$B$8,B39&lt;=Painel!$G$8,OR(Painel!$L$8="Todos",C39=Painel!$L$8),OR(Painel!$Q$8="Todos",D39=Painel!$Q$8),OR(Painel!$V$8="Todas",E39=Painel!$V$8)),1,0))</f>
        <v>1</v>
      </c>
      <c r="L39" s="61" t="n">
        <f aca="false">IF(LEN(A39&amp;"")=0,"",J39-I39)</f>
        <v>0</v>
      </c>
      <c r="M39" s="1" t="n">
        <f aca="false">IF(LEN(A39&amp;"")=0,0,IF(COUNTIFS(Base!$A$7:$A$1006,A39)&gt;1,1,0))</f>
        <v>0</v>
      </c>
      <c r="N39" s="1" t="n">
        <f aca="false">IF(LEN(A39&amp;"")=0,0,IF(ABS(L39)&gt;0.005,1,0))</f>
        <v>0</v>
      </c>
      <c r="O39" s="1" t="s">
        <v>67</v>
      </c>
      <c r="P39" s="1" t="n">
        <f aca="false">COUNTA(Base!A7:A1006)</f>
        <v>295</v>
      </c>
      <c r="Q39" s="1" t="n">
        <v>295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customFormat="false" ht="23" hidden="false" customHeight="true" outlineLevel="0" collapsed="false">
      <c r="A40" s="1" t="n">
        <f aca="false">IF(LEN(Base!A40&amp;"")=0,"",Base!A40)</f>
        <v>3264</v>
      </c>
      <c r="B40" s="60" t="n">
        <f aca="false">IF(LEN(A40&amp;"")=0,"",Base!D40)</f>
        <v>45381</v>
      </c>
      <c r="C40" s="1" t="str">
        <f aca="false">IF(LEN(A40&amp;"")=0,"",Base!C40)</f>
        <v>Standard</v>
      </c>
      <c r="D40" s="1" t="str">
        <f aca="false">IF(LEN(A40&amp;"")=0,"",Base!G40)</f>
        <v>Quarterly</v>
      </c>
      <c r="E40" s="1" t="str">
        <f aca="false">IF(LEN(A40&amp;"")=0,"",Base!E40)</f>
        <v>Yes</v>
      </c>
      <c r="F40" s="61" t="n">
        <f aca="false">IF(LEN(A40&amp;"")=0,"",IF(Base!I40="-",0,Base!I40))</f>
        <v>0</v>
      </c>
      <c r="G40" s="61" t="n">
        <f aca="false">IF(LEN(A40&amp;"")=0,"",SUM(Base!F40,F40,Base!K40))</f>
        <v>30</v>
      </c>
      <c r="H40" s="61" t="n">
        <f aca="false">IF(LEN(A40&amp;"")=0,"",Base!L40)</f>
        <v>15</v>
      </c>
      <c r="I40" s="61" t="n">
        <f aca="false">IF(LEN(A40&amp;"")=0,"",G40-H40)</f>
        <v>15</v>
      </c>
      <c r="J40" s="61" t="n">
        <f aca="false">IF(LEN(A40&amp;"")=0,"",Base!M40)</f>
        <v>15</v>
      </c>
      <c r="K40" s="1" t="n">
        <f aca="false">IF(OR(LEN(A40&amp;"")=0,$P$3=0),0,IF(AND(B40&gt;=Painel!$B$8,B40&lt;=Painel!$G$8,OR(Painel!$L$8="Todos",C40=Painel!$L$8),OR(Painel!$Q$8="Todos",D40=Painel!$Q$8),OR(Painel!$V$8="Todas",E40=Painel!$V$8)),1,0))</f>
        <v>1</v>
      </c>
      <c r="L40" s="61" t="n">
        <f aca="false">IF(LEN(A40&amp;"")=0,"",J40-I40)</f>
        <v>0</v>
      </c>
      <c r="M40" s="1" t="n">
        <f aca="false">IF(LEN(A40&amp;"")=0,0,IF(COUNTIFS(Base!$A$7:$A$1006,A40)&gt;1,1,0))</f>
        <v>0</v>
      </c>
      <c r="N40" s="1" t="n">
        <f aca="false">IF(LEN(A40&amp;"")=0,0,IF(ABS(L40)&gt;0.005,1,0))</f>
        <v>0</v>
      </c>
      <c r="O40" s="1" t="s">
        <v>37</v>
      </c>
      <c r="P40" s="1" t="n">
        <f aca="false">SUM(Base!M7:M1006)</f>
        <v>7633</v>
      </c>
      <c r="Q40" s="1" t="n">
        <v>7633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customFormat="false" ht="23" hidden="false" customHeight="true" outlineLevel="0" collapsed="false">
      <c r="A41" s="1" t="n">
        <f aca="false">IF(LEN(Base!A41&amp;"")=0,"",Base!A41)</f>
        <v>3265</v>
      </c>
      <c r="B41" s="60" t="n">
        <f aca="false">IF(LEN(A41&amp;"")=0,"",Base!D41)</f>
        <v>45382</v>
      </c>
      <c r="C41" s="1" t="str">
        <f aca="false">IF(LEN(A41&amp;"")=0,"",Base!C41)</f>
        <v>Core</v>
      </c>
      <c r="D41" s="1" t="str">
        <f aca="false">IF(LEN(A41&amp;"")=0,"",Base!G41)</f>
        <v>Monthly</v>
      </c>
      <c r="E41" s="1" t="str">
        <f aca="false">IF(LEN(A41&amp;"")=0,"",Base!E41)</f>
        <v>No</v>
      </c>
      <c r="F41" s="61" t="n">
        <f aca="false">IF(LEN(A41&amp;"")=0,"",IF(Base!I41="-",0,Base!I41))</f>
        <v>0</v>
      </c>
      <c r="G41" s="61" t="n">
        <f aca="false">IF(LEN(A41&amp;"")=0,"",SUM(Base!F41,F41,Base!K41))</f>
        <v>5</v>
      </c>
      <c r="H41" s="61" t="n">
        <f aca="false">IF(LEN(A41&amp;"")=0,"",Base!L41)</f>
        <v>1</v>
      </c>
      <c r="I41" s="61" t="n">
        <f aca="false">IF(LEN(A41&amp;"")=0,"",G41-H41)</f>
        <v>4</v>
      </c>
      <c r="J41" s="61" t="n">
        <f aca="false">IF(LEN(A41&amp;"")=0,"",Base!M41)</f>
        <v>4</v>
      </c>
      <c r="K41" s="1" t="n">
        <f aca="false">IF(OR(LEN(A41&amp;"")=0,$P$3=0),0,IF(AND(B41&gt;=Painel!$B$8,B41&lt;=Painel!$G$8,OR(Painel!$L$8="Todos",C41=Painel!$L$8),OR(Painel!$Q$8="Todos",D41=Painel!$Q$8),OR(Painel!$V$8="Todas",E41=Painel!$V$8)),1,0))</f>
        <v>1</v>
      </c>
      <c r="L41" s="61" t="n">
        <f aca="false">IF(LEN(A41&amp;"")=0,"",J41-I41)</f>
        <v>0</v>
      </c>
      <c r="M41" s="1" t="n">
        <f aca="false">IF(LEN(A41&amp;"")=0,0,IF(COUNTIFS(Base!$A$7:$A$1006,A41)&gt;1,1,0))</f>
        <v>0</v>
      </c>
      <c r="N41" s="1" t="n">
        <f aca="false">IF(LEN(A41&amp;"")=0,0,IF(ABS(L41)&gt;0.005,1,0))</f>
        <v>0</v>
      </c>
      <c r="O41" s="1" t="s">
        <v>68</v>
      </c>
      <c r="P41" s="1" t="n">
        <f aca="false">SUM(I7:I1006)</f>
        <v>7633</v>
      </c>
      <c r="Q41" s="1" t="n">
        <v>7633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customFormat="false" ht="23" hidden="false" customHeight="true" outlineLevel="0" collapsed="false">
      <c r="A42" s="1" t="n">
        <f aca="false">IF(LEN(Base!A42&amp;"")=0,"",Base!A42)</f>
        <v>3266</v>
      </c>
      <c r="B42" s="60" t="n">
        <f aca="false">IF(LEN(A42&amp;"")=0,"",Base!D42)</f>
        <v>45383</v>
      </c>
      <c r="C42" s="1" t="str">
        <f aca="false">IF(LEN(A42&amp;"")=0,"",Base!C42)</f>
        <v>Core</v>
      </c>
      <c r="D42" s="1" t="str">
        <f aca="false">IF(LEN(A42&amp;"")=0,"",Base!G42)</f>
        <v>Monthly</v>
      </c>
      <c r="E42" s="1" t="str">
        <f aca="false">IF(LEN(A42&amp;"")=0,"",Base!E42)</f>
        <v>Yes</v>
      </c>
      <c r="F42" s="61" t="n">
        <f aca="false">IF(LEN(A42&amp;"")=0,"",IF(Base!I42="-",0,Base!I42))</f>
        <v>0</v>
      </c>
      <c r="G42" s="61" t="n">
        <f aca="false">IF(LEN(A42&amp;"")=0,"",SUM(Base!F42,F42,Base!K42))</f>
        <v>5</v>
      </c>
      <c r="H42" s="61" t="n">
        <f aca="false">IF(LEN(A42&amp;"")=0,"",Base!L42)</f>
        <v>0</v>
      </c>
      <c r="I42" s="61" t="n">
        <f aca="false">IF(LEN(A42&amp;"")=0,"",G42-H42)</f>
        <v>5</v>
      </c>
      <c r="J42" s="61" t="n">
        <f aca="false">IF(LEN(A42&amp;"")=0,"",Base!M42)</f>
        <v>5</v>
      </c>
      <c r="K42" s="1" t="n">
        <f aca="false">IF(OR(LEN(A42&amp;"")=0,$P$3=0),0,IF(AND(B42&gt;=Painel!$B$8,B42&lt;=Painel!$G$8,OR(Painel!$L$8="Todos",C42=Painel!$L$8),OR(Painel!$Q$8="Todos",D42=Painel!$Q$8),OR(Painel!$V$8="Todas",E42=Painel!$V$8)),1,0))</f>
        <v>1</v>
      </c>
      <c r="L42" s="61" t="n">
        <f aca="false">IF(LEN(A42&amp;"")=0,"",J42-I42)</f>
        <v>0</v>
      </c>
      <c r="M42" s="1" t="n">
        <f aca="false">IF(LEN(A42&amp;"")=0,0,IF(COUNTIFS(Base!$A$7:$A$1006,A42)&gt;1,1,0))</f>
        <v>0</v>
      </c>
      <c r="N42" s="1" t="n">
        <f aca="false">IF(LEN(A42&amp;"")=0,0,IF(ABS(L42)&gt;0.005,1,0))</f>
        <v>0</v>
      </c>
      <c r="O42" s="1" t="s">
        <v>69</v>
      </c>
      <c r="P42" s="1" t="n">
        <f aca="false">P40-P41</f>
        <v>0</v>
      </c>
      <c r="Q42" s="1" t="n"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customFormat="false" ht="23" hidden="false" customHeight="true" outlineLevel="0" collapsed="false">
      <c r="A43" s="1" t="n">
        <f aca="false">IF(LEN(Base!A43&amp;"")=0,"",Base!A43)</f>
        <v>3267</v>
      </c>
      <c r="B43" s="60" t="n">
        <f aca="false">IF(LEN(A43&amp;"")=0,"",Base!D43)</f>
        <v>45384</v>
      </c>
      <c r="C43" s="1" t="str">
        <f aca="false">IF(LEN(A43&amp;"")=0,"",Base!C43)</f>
        <v>Ultimate</v>
      </c>
      <c r="D43" s="1" t="str">
        <f aca="false">IF(LEN(A43&amp;"")=0,"",Base!G43)</f>
        <v>Quarterly</v>
      </c>
      <c r="E43" s="1" t="str">
        <f aca="false">IF(LEN(A43&amp;"")=0,"",Base!E43)</f>
        <v>No</v>
      </c>
      <c r="F43" s="61" t="n">
        <f aca="false">IF(LEN(A43&amp;"")=0,"",IF(Base!I43="-",0,Base!I43))</f>
        <v>30</v>
      </c>
      <c r="G43" s="61" t="n">
        <f aca="false">IF(LEN(A43&amp;"")=0,"",SUM(Base!F43,F43,Base!K43))</f>
        <v>65</v>
      </c>
      <c r="H43" s="61" t="n">
        <f aca="false">IF(LEN(A43&amp;"")=0,"",Base!L43)</f>
        <v>7</v>
      </c>
      <c r="I43" s="61" t="n">
        <f aca="false">IF(LEN(A43&amp;"")=0,"",G43-H43)</f>
        <v>58</v>
      </c>
      <c r="J43" s="61" t="n">
        <f aca="false">IF(LEN(A43&amp;"")=0,"",Base!M43)</f>
        <v>58</v>
      </c>
      <c r="K43" s="1" t="n">
        <f aca="false">IF(OR(LEN(A43&amp;"")=0,$P$3=0),0,IF(AND(B43&gt;=Painel!$B$8,B43&lt;=Painel!$G$8,OR(Painel!$L$8="Todos",C43=Painel!$L$8),OR(Painel!$Q$8="Todos",D43=Painel!$Q$8),OR(Painel!$V$8="Todas",E43=Painel!$V$8)),1,0))</f>
        <v>1</v>
      </c>
      <c r="L43" s="61" t="n">
        <f aca="false">IF(LEN(A43&amp;"")=0,"",J43-I43)</f>
        <v>0</v>
      </c>
      <c r="M43" s="1" t="n">
        <f aca="false">IF(LEN(A43&amp;"")=0,0,IF(COUNTIFS(Base!$A$7:$A$1006,A43)&gt;1,1,0))</f>
        <v>0</v>
      </c>
      <c r="N43" s="1" t="n">
        <f aca="false">IF(LEN(A43&amp;"")=0,0,IF(ABS(L43)&gt;0.005,1,0))</f>
        <v>0</v>
      </c>
      <c r="O43" s="1" t="s">
        <v>70</v>
      </c>
      <c r="P43" s="1" t="n">
        <f aca="false">SUM(N7:N1006)</f>
        <v>0</v>
      </c>
      <c r="Q43" s="1" t="n"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customFormat="false" ht="23" hidden="false" customHeight="true" outlineLevel="0" collapsed="false">
      <c r="A44" s="1" t="n">
        <f aca="false">IF(LEN(Base!A44&amp;"")=0,"",Base!A44)</f>
        <v>3268</v>
      </c>
      <c r="B44" s="60" t="n">
        <f aca="false">IF(LEN(A44&amp;"")=0,"",Base!D44)</f>
        <v>45385</v>
      </c>
      <c r="C44" s="1" t="str">
        <f aca="false">IF(LEN(A44&amp;"")=0,"",Base!C44)</f>
        <v>Standard</v>
      </c>
      <c r="D44" s="1" t="str">
        <f aca="false">IF(LEN(A44&amp;"")=0,"",Base!G44)</f>
        <v>Annual</v>
      </c>
      <c r="E44" s="1" t="str">
        <f aca="false">IF(LEN(A44&amp;"")=0,"",Base!E44)</f>
        <v>Yes</v>
      </c>
      <c r="F44" s="61" t="n">
        <f aca="false">IF(LEN(A44&amp;"")=0,"",IF(Base!I44="-",0,Base!I44))</f>
        <v>0</v>
      </c>
      <c r="G44" s="61" t="n">
        <f aca="false">IF(LEN(A44&amp;"")=0,"",SUM(Base!F44,F44,Base!K44))</f>
        <v>30</v>
      </c>
      <c r="H44" s="61" t="n">
        <f aca="false">IF(LEN(A44&amp;"")=0,"",Base!L44)</f>
        <v>10</v>
      </c>
      <c r="I44" s="61" t="n">
        <f aca="false">IF(LEN(A44&amp;"")=0,"",G44-H44)</f>
        <v>20</v>
      </c>
      <c r="J44" s="61" t="n">
        <f aca="false">IF(LEN(A44&amp;"")=0,"",Base!M44)</f>
        <v>20</v>
      </c>
      <c r="K44" s="1" t="n">
        <f aca="false">IF(OR(LEN(A44&amp;"")=0,$P$3=0),0,IF(AND(B44&gt;=Painel!$B$8,B44&lt;=Painel!$G$8,OR(Painel!$L$8="Todos",C44=Painel!$L$8),OR(Painel!$Q$8="Todos",D44=Painel!$Q$8),OR(Painel!$V$8="Todas",E44=Painel!$V$8)),1,0))</f>
        <v>1</v>
      </c>
      <c r="L44" s="61" t="n">
        <f aca="false">IF(LEN(A44&amp;"")=0,"",J44-I44)</f>
        <v>0</v>
      </c>
      <c r="M44" s="1" t="n">
        <f aca="false">IF(LEN(A44&amp;"")=0,0,IF(COUNTIFS(Base!$A$7:$A$1006,A44)&gt;1,1,0))</f>
        <v>0</v>
      </c>
      <c r="N44" s="1" t="n">
        <f aca="false">IF(LEN(A44&amp;"")=0,0,IF(ABS(L44)&gt;0.005,1,0))</f>
        <v>0</v>
      </c>
      <c r="O44" s="1" t="s">
        <v>71</v>
      </c>
      <c r="P44" s="1" t="n">
        <f aca="false">SUM(M7:M1006)</f>
        <v>0</v>
      </c>
      <c r="Q44" s="1" t="n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customFormat="false" ht="23" hidden="false" customHeight="true" outlineLevel="0" collapsed="false">
      <c r="A45" s="1" t="n">
        <f aca="false">IF(LEN(Base!A45&amp;"")=0,"",Base!A45)</f>
        <v>3269</v>
      </c>
      <c r="B45" s="60" t="n">
        <f aca="false">IF(LEN(A45&amp;"")=0,"",Base!D45)</f>
        <v>45386</v>
      </c>
      <c r="C45" s="1" t="str">
        <f aca="false">IF(LEN(A45&amp;"")=0,"",Base!C45)</f>
        <v>Core</v>
      </c>
      <c r="D45" s="1" t="str">
        <f aca="false">IF(LEN(A45&amp;"")=0,"",Base!G45)</f>
        <v>Quarterly</v>
      </c>
      <c r="E45" s="1" t="str">
        <f aca="false">IF(LEN(A45&amp;"")=0,"",Base!E45)</f>
        <v>No</v>
      </c>
      <c r="F45" s="61" t="n">
        <f aca="false">IF(LEN(A45&amp;"")=0,"",IF(Base!I45="-",0,Base!I45))</f>
        <v>0</v>
      </c>
      <c r="G45" s="61" t="n">
        <f aca="false">IF(LEN(A45&amp;"")=0,"",SUM(Base!F45,F45,Base!K45))</f>
        <v>5</v>
      </c>
      <c r="H45" s="61" t="n">
        <f aca="false">IF(LEN(A45&amp;"")=0,"",Base!L45)</f>
        <v>1</v>
      </c>
      <c r="I45" s="61" t="n">
        <f aca="false">IF(LEN(A45&amp;"")=0,"",G45-H45)</f>
        <v>4</v>
      </c>
      <c r="J45" s="61" t="n">
        <f aca="false">IF(LEN(A45&amp;"")=0,"",Base!M45)</f>
        <v>4</v>
      </c>
      <c r="K45" s="1" t="n">
        <f aca="false">IF(OR(LEN(A45&amp;"")=0,$P$3=0),0,IF(AND(B45&gt;=Painel!$B$8,B45&lt;=Painel!$G$8,OR(Painel!$L$8="Todos",C45=Painel!$L$8),OR(Painel!$Q$8="Todos",D45=Painel!$Q$8),OR(Painel!$V$8="Todas",E45=Painel!$V$8)),1,0))</f>
        <v>1</v>
      </c>
      <c r="L45" s="61" t="n">
        <f aca="false">IF(LEN(A45&amp;"")=0,"",J45-I45)</f>
        <v>0</v>
      </c>
      <c r="M45" s="1" t="n">
        <f aca="false">IF(LEN(A45&amp;"")=0,0,IF(COUNTIFS(Base!$A$7:$A$1006,A45)&gt;1,1,0))</f>
        <v>0</v>
      </c>
      <c r="N45" s="1" t="n">
        <f aca="false">IF(LEN(A45&amp;"")=0,0,IF(ABS(L45)&gt;0.005,1,0))</f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customFormat="false" ht="23" hidden="false" customHeight="true" outlineLevel="0" collapsed="false">
      <c r="A46" s="1" t="n">
        <f aca="false">IF(LEN(Base!A46&amp;"")=0,"",Base!A46)</f>
        <v>3270</v>
      </c>
      <c r="B46" s="60" t="n">
        <f aca="false">IF(LEN(A46&amp;"")=0,"",Base!D46)</f>
        <v>45387</v>
      </c>
      <c r="C46" s="1" t="str">
        <f aca="false">IF(LEN(A46&amp;"")=0,"",Base!C46)</f>
        <v>Ultimate</v>
      </c>
      <c r="D46" s="1" t="str">
        <f aca="false">IF(LEN(A46&amp;"")=0,"",Base!G46)</f>
        <v>Monthly</v>
      </c>
      <c r="E46" s="1" t="str">
        <f aca="false">IF(LEN(A46&amp;"")=0,"",Base!E46)</f>
        <v>Yes</v>
      </c>
      <c r="F46" s="61" t="n">
        <f aca="false">IF(LEN(A46&amp;"")=0,"",IF(Base!I46="-",0,Base!I46))</f>
        <v>30</v>
      </c>
      <c r="G46" s="61" t="n">
        <f aca="false">IF(LEN(A46&amp;"")=0,"",SUM(Base!F46,F46,Base!K46))</f>
        <v>65</v>
      </c>
      <c r="H46" s="61" t="n">
        <f aca="false">IF(LEN(A46&amp;"")=0,"",Base!L46)</f>
        <v>15</v>
      </c>
      <c r="I46" s="61" t="n">
        <f aca="false">IF(LEN(A46&amp;"")=0,"",G46-H46)</f>
        <v>50</v>
      </c>
      <c r="J46" s="61" t="n">
        <f aca="false">IF(LEN(A46&amp;"")=0,"",Base!M46)</f>
        <v>50</v>
      </c>
      <c r="K46" s="1" t="n">
        <f aca="false">IF(OR(LEN(A46&amp;"")=0,$P$3=0),0,IF(AND(B46&gt;=Painel!$B$8,B46&lt;=Painel!$G$8,OR(Painel!$L$8="Todos",C46=Painel!$L$8),OR(Painel!$Q$8="Todos",D46=Painel!$Q$8),OR(Painel!$V$8="Todas",E46=Painel!$V$8)),1,0))</f>
        <v>1</v>
      </c>
      <c r="L46" s="61" t="n">
        <f aca="false">IF(LEN(A46&amp;"")=0,"",J46-I46)</f>
        <v>0</v>
      </c>
      <c r="M46" s="1" t="n">
        <f aca="false">IF(LEN(A46&amp;"")=0,0,IF(COUNTIFS(Base!$A$7:$A$1006,A46)&gt;1,1,0))</f>
        <v>0</v>
      </c>
      <c r="N46" s="1" t="n">
        <f aca="false">IF(LEN(A46&amp;"")=0,0,IF(ABS(L46)&gt;0.005,1,0))</f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customFormat="false" ht="23" hidden="false" customHeight="true" outlineLevel="0" collapsed="false">
      <c r="A47" s="1" t="n">
        <f aca="false">IF(LEN(Base!A47&amp;"")=0,"",Base!A47)</f>
        <v>3271</v>
      </c>
      <c r="B47" s="60" t="n">
        <f aca="false">IF(LEN(A47&amp;"")=0,"",Base!D47)</f>
        <v>45388</v>
      </c>
      <c r="C47" s="1" t="str">
        <f aca="false">IF(LEN(A47&amp;"")=0,"",Base!C47)</f>
        <v>Standard</v>
      </c>
      <c r="D47" s="1" t="str">
        <f aca="false">IF(LEN(A47&amp;"")=0,"",Base!G47)</f>
        <v>Monthly</v>
      </c>
      <c r="E47" s="1" t="str">
        <f aca="false">IF(LEN(A47&amp;"")=0,"",Base!E47)</f>
        <v>No</v>
      </c>
      <c r="F47" s="61" t="n">
        <f aca="false">IF(LEN(A47&amp;"")=0,"",IF(Base!I47="-",0,Base!I47))</f>
        <v>0</v>
      </c>
      <c r="G47" s="61" t="n">
        <f aca="false">IF(LEN(A47&amp;"")=0,"",SUM(Base!F47,F47,Base!K47))</f>
        <v>30</v>
      </c>
      <c r="H47" s="61" t="n">
        <f aca="false">IF(LEN(A47&amp;"")=0,"",Base!L47)</f>
        <v>5</v>
      </c>
      <c r="I47" s="61" t="n">
        <f aca="false">IF(LEN(A47&amp;"")=0,"",G47-H47)</f>
        <v>25</v>
      </c>
      <c r="J47" s="61" t="n">
        <f aca="false">IF(LEN(A47&amp;"")=0,"",Base!M47)</f>
        <v>25</v>
      </c>
      <c r="K47" s="1" t="n">
        <f aca="false">IF(OR(LEN(A47&amp;"")=0,$P$3=0),0,IF(AND(B47&gt;=Painel!$B$8,B47&lt;=Painel!$G$8,OR(Painel!$L$8="Todos",C47=Painel!$L$8),OR(Painel!$Q$8="Todos",D47=Painel!$Q$8),OR(Painel!$V$8="Todas",E47=Painel!$V$8)),1,0))</f>
        <v>1</v>
      </c>
      <c r="L47" s="61" t="n">
        <f aca="false">IF(LEN(A47&amp;"")=0,"",J47-I47)</f>
        <v>0</v>
      </c>
      <c r="M47" s="1" t="n">
        <f aca="false">IF(LEN(A47&amp;"")=0,0,IF(COUNTIFS(Base!$A$7:$A$1006,A47)&gt;1,1,0))</f>
        <v>0</v>
      </c>
      <c r="N47" s="1" t="n">
        <f aca="false">IF(LEN(A47&amp;"")=0,0,IF(ABS(L47)&gt;0.005,1,0))</f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customFormat="false" ht="23" hidden="false" customHeight="true" outlineLevel="0" collapsed="false">
      <c r="A48" s="1" t="n">
        <f aca="false">IF(LEN(Base!A48&amp;"")=0,"",Base!A48)</f>
        <v>3272</v>
      </c>
      <c r="B48" s="60" t="n">
        <f aca="false">IF(LEN(A48&amp;"")=0,"",Base!D48)</f>
        <v>45389</v>
      </c>
      <c r="C48" s="1" t="str">
        <f aca="false">IF(LEN(A48&amp;"")=0,"",Base!C48)</f>
        <v>Core</v>
      </c>
      <c r="D48" s="1" t="str">
        <f aca="false">IF(LEN(A48&amp;"")=0,"",Base!G48)</f>
        <v>Annual</v>
      </c>
      <c r="E48" s="1" t="str">
        <f aca="false">IF(LEN(A48&amp;"")=0,"",Base!E48)</f>
        <v>Yes</v>
      </c>
      <c r="F48" s="61" t="n">
        <f aca="false">IF(LEN(A48&amp;"")=0,"",IF(Base!I48="-",0,Base!I48))</f>
        <v>0</v>
      </c>
      <c r="G48" s="61" t="n">
        <f aca="false">IF(LEN(A48&amp;"")=0,"",SUM(Base!F48,F48,Base!K48))</f>
        <v>5</v>
      </c>
      <c r="H48" s="61" t="n">
        <f aca="false">IF(LEN(A48&amp;"")=0,"",Base!L48)</f>
        <v>0</v>
      </c>
      <c r="I48" s="61" t="n">
        <f aca="false">IF(LEN(A48&amp;"")=0,"",G48-H48)</f>
        <v>5</v>
      </c>
      <c r="J48" s="61" t="n">
        <f aca="false">IF(LEN(A48&amp;"")=0,"",Base!M48)</f>
        <v>5</v>
      </c>
      <c r="K48" s="1" t="n">
        <f aca="false">IF(OR(LEN(A48&amp;"")=0,$P$3=0),0,IF(AND(B48&gt;=Painel!$B$8,B48&lt;=Painel!$G$8,OR(Painel!$L$8="Todos",C48=Painel!$L$8),OR(Painel!$Q$8="Todos",D48=Painel!$Q$8),OR(Painel!$V$8="Todas",E48=Painel!$V$8)),1,0))</f>
        <v>1</v>
      </c>
      <c r="L48" s="61" t="n">
        <f aca="false">IF(LEN(A48&amp;"")=0,"",J48-I48)</f>
        <v>0</v>
      </c>
      <c r="M48" s="1" t="n">
        <f aca="false">IF(LEN(A48&amp;"")=0,0,IF(COUNTIFS(Base!$A$7:$A$1006,A48)&gt;1,1,0))</f>
        <v>0</v>
      </c>
      <c r="N48" s="1" t="n">
        <f aca="false">IF(LEN(A48&amp;"")=0,0,IF(ABS(L48)&gt;0.005,1,0))</f>
        <v>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customFormat="false" ht="23" hidden="false" customHeight="true" outlineLevel="0" collapsed="false">
      <c r="A49" s="1" t="n">
        <f aca="false">IF(LEN(Base!A49&amp;"")=0,"",Base!A49)</f>
        <v>3273</v>
      </c>
      <c r="B49" s="60" t="n">
        <f aca="false">IF(LEN(A49&amp;"")=0,"",Base!D49)</f>
        <v>45390</v>
      </c>
      <c r="C49" s="1" t="str">
        <f aca="false">IF(LEN(A49&amp;"")=0,"",Base!C49)</f>
        <v>Ultimate</v>
      </c>
      <c r="D49" s="1" t="str">
        <f aca="false">IF(LEN(A49&amp;"")=0,"",Base!G49)</f>
        <v>Quarterly</v>
      </c>
      <c r="E49" s="1" t="str">
        <f aca="false">IF(LEN(A49&amp;"")=0,"",Base!E49)</f>
        <v>No</v>
      </c>
      <c r="F49" s="61" t="n">
        <f aca="false">IF(LEN(A49&amp;"")=0,"",IF(Base!I49="-",0,Base!I49))</f>
        <v>30</v>
      </c>
      <c r="G49" s="61" t="n">
        <f aca="false">IF(LEN(A49&amp;"")=0,"",SUM(Base!F49,F49,Base!K49))</f>
        <v>65</v>
      </c>
      <c r="H49" s="61" t="n">
        <f aca="false">IF(LEN(A49&amp;"")=0,"",Base!L49)</f>
        <v>20</v>
      </c>
      <c r="I49" s="61" t="n">
        <f aca="false">IF(LEN(A49&amp;"")=0,"",G49-H49)</f>
        <v>45</v>
      </c>
      <c r="J49" s="61" t="n">
        <f aca="false">IF(LEN(A49&amp;"")=0,"",Base!M49)</f>
        <v>45</v>
      </c>
      <c r="K49" s="1" t="n">
        <f aca="false">IF(OR(LEN(A49&amp;"")=0,$P$3=0),0,IF(AND(B49&gt;=Painel!$B$8,B49&lt;=Painel!$G$8,OR(Painel!$L$8="Todos",C49=Painel!$L$8),OR(Painel!$Q$8="Todos",D49=Painel!$Q$8),OR(Painel!$V$8="Todas",E49=Painel!$V$8)),1,0))</f>
        <v>1</v>
      </c>
      <c r="L49" s="61" t="n">
        <f aca="false">IF(LEN(A49&amp;"")=0,"",J49-I49)</f>
        <v>0</v>
      </c>
      <c r="M49" s="1" t="n">
        <f aca="false">IF(LEN(A49&amp;"")=0,0,IF(COUNTIFS(Base!$A$7:$A$1006,A49)&gt;1,1,0))</f>
        <v>0</v>
      </c>
      <c r="N49" s="1" t="n">
        <f aca="false">IF(LEN(A49&amp;"")=0,0,IF(ABS(L49)&gt;0.005,1,0))</f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customFormat="false" ht="23" hidden="false" customHeight="true" outlineLevel="0" collapsed="false">
      <c r="A50" s="1" t="n">
        <f aca="false">IF(LEN(Base!A50&amp;"")=0,"",Base!A50)</f>
        <v>3274</v>
      </c>
      <c r="B50" s="60" t="n">
        <f aca="false">IF(LEN(A50&amp;"")=0,"",Base!D50)</f>
        <v>45391</v>
      </c>
      <c r="C50" s="1" t="str">
        <f aca="false">IF(LEN(A50&amp;"")=0,"",Base!C50)</f>
        <v>Standard</v>
      </c>
      <c r="D50" s="1" t="str">
        <f aca="false">IF(LEN(A50&amp;"")=0,"",Base!G50)</f>
        <v>Quarterly</v>
      </c>
      <c r="E50" s="1" t="str">
        <f aca="false">IF(LEN(A50&amp;"")=0,"",Base!E50)</f>
        <v>Yes</v>
      </c>
      <c r="F50" s="61" t="n">
        <f aca="false">IF(LEN(A50&amp;"")=0,"",IF(Base!I50="-",0,Base!I50))</f>
        <v>0</v>
      </c>
      <c r="G50" s="61" t="n">
        <f aca="false">IF(LEN(A50&amp;"")=0,"",SUM(Base!F50,F50,Base!K50))</f>
        <v>30</v>
      </c>
      <c r="H50" s="61" t="n">
        <f aca="false">IF(LEN(A50&amp;"")=0,"",Base!L50)</f>
        <v>12</v>
      </c>
      <c r="I50" s="61" t="n">
        <f aca="false">IF(LEN(A50&amp;"")=0,"",G50-H50)</f>
        <v>18</v>
      </c>
      <c r="J50" s="61" t="n">
        <f aca="false">IF(LEN(A50&amp;"")=0,"",Base!M50)</f>
        <v>18</v>
      </c>
      <c r="K50" s="1" t="n">
        <f aca="false">IF(OR(LEN(A50&amp;"")=0,$P$3=0),0,IF(AND(B50&gt;=Painel!$B$8,B50&lt;=Painel!$G$8,OR(Painel!$L$8="Todos",C50=Painel!$L$8),OR(Painel!$Q$8="Todos",D50=Painel!$Q$8),OR(Painel!$V$8="Todas",E50=Painel!$V$8)),1,0))</f>
        <v>1</v>
      </c>
      <c r="L50" s="61" t="n">
        <f aca="false">IF(LEN(A50&amp;"")=0,"",J50-I50)</f>
        <v>0</v>
      </c>
      <c r="M50" s="1" t="n">
        <f aca="false">IF(LEN(A50&amp;"")=0,0,IF(COUNTIFS(Base!$A$7:$A$1006,A50)&gt;1,1,0))</f>
        <v>0</v>
      </c>
      <c r="N50" s="1" t="n">
        <f aca="false">IF(LEN(A50&amp;"")=0,0,IF(ABS(L50)&gt;0.005,1,0))</f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customFormat="false" ht="23" hidden="false" customHeight="true" outlineLevel="0" collapsed="false">
      <c r="A51" s="1" t="n">
        <f aca="false">IF(LEN(Base!A51&amp;"")=0,"",Base!A51)</f>
        <v>3275</v>
      </c>
      <c r="B51" s="60" t="n">
        <f aca="false">IF(LEN(A51&amp;"")=0,"",Base!D51)</f>
        <v>45392</v>
      </c>
      <c r="C51" s="1" t="str">
        <f aca="false">IF(LEN(A51&amp;"")=0,"",Base!C51)</f>
        <v>Core</v>
      </c>
      <c r="D51" s="1" t="str">
        <f aca="false">IF(LEN(A51&amp;"")=0,"",Base!G51)</f>
        <v>Monthly</v>
      </c>
      <c r="E51" s="1" t="str">
        <f aca="false">IF(LEN(A51&amp;"")=0,"",Base!E51)</f>
        <v>No</v>
      </c>
      <c r="F51" s="61" t="n">
        <f aca="false">IF(LEN(A51&amp;"")=0,"",IF(Base!I51="-",0,Base!I51))</f>
        <v>0</v>
      </c>
      <c r="G51" s="61" t="n">
        <f aca="false">IF(LEN(A51&amp;"")=0,"",SUM(Base!F51,F51,Base!K51))</f>
        <v>5</v>
      </c>
      <c r="H51" s="61" t="n">
        <f aca="false">IF(LEN(A51&amp;"")=0,"",Base!L51)</f>
        <v>2</v>
      </c>
      <c r="I51" s="61" t="n">
        <f aca="false">IF(LEN(A51&amp;"")=0,"",G51-H51)</f>
        <v>3</v>
      </c>
      <c r="J51" s="61" t="n">
        <f aca="false">IF(LEN(A51&amp;"")=0,"",Base!M51)</f>
        <v>3</v>
      </c>
      <c r="K51" s="1" t="n">
        <f aca="false">IF(OR(LEN(A51&amp;"")=0,$P$3=0),0,IF(AND(B51&gt;=Painel!$B$8,B51&lt;=Painel!$G$8,OR(Painel!$L$8="Todos",C51=Painel!$L$8),OR(Painel!$Q$8="Todos",D51=Painel!$Q$8),OR(Painel!$V$8="Todas",E51=Painel!$V$8)),1,0))</f>
        <v>1</v>
      </c>
      <c r="L51" s="61" t="n">
        <f aca="false">IF(LEN(A51&amp;"")=0,"",J51-I51)</f>
        <v>0</v>
      </c>
      <c r="M51" s="1" t="n">
        <f aca="false">IF(LEN(A51&amp;"")=0,0,IF(COUNTIFS(Base!$A$7:$A$1006,A51)&gt;1,1,0))</f>
        <v>0</v>
      </c>
      <c r="N51" s="1" t="n">
        <f aca="false">IF(LEN(A51&amp;"")=0,0,IF(ABS(L51)&gt;0.005,1,0))</f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customFormat="false" ht="23" hidden="false" customHeight="true" outlineLevel="0" collapsed="false">
      <c r="A52" s="1" t="n">
        <f aca="false">IF(LEN(Base!A52&amp;"")=0,"",Base!A52)</f>
        <v>3276</v>
      </c>
      <c r="B52" s="60" t="n">
        <f aca="false">IF(LEN(A52&amp;"")=0,"",Base!D52)</f>
        <v>45393</v>
      </c>
      <c r="C52" s="1" t="str">
        <f aca="false">IF(LEN(A52&amp;"")=0,"",Base!C52)</f>
        <v>Ultimate</v>
      </c>
      <c r="D52" s="1" t="str">
        <f aca="false">IF(LEN(A52&amp;"")=0,"",Base!G52)</f>
        <v>Annual</v>
      </c>
      <c r="E52" s="1" t="str">
        <f aca="false">IF(LEN(A52&amp;"")=0,"",Base!E52)</f>
        <v>Yes</v>
      </c>
      <c r="F52" s="61" t="n">
        <f aca="false">IF(LEN(A52&amp;"")=0,"",IF(Base!I52="-",0,Base!I52))</f>
        <v>30</v>
      </c>
      <c r="G52" s="61" t="n">
        <f aca="false">IF(LEN(A52&amp;"")=0,"",SUM(Base!F52,F52,Base!K52))</f>
        <v>65</v>
      </c>
      <c r="H52" s="61" t="n">
        <f aca="false">IF(LEN(A52&amp;"")=0,"",Base!L52)</f>
        <v>5</v>
      </c>
      <c r="I52" s="61" t="n">
        <f aca="false">IF(LEN(A52&amp;"")=0,"",G52-H52)</f>
        <v>60</v>
      </c>
      <c r="J52" s="61" t="n">
        <f aca="false">IF(LEN(A52&amp;"")=0,"",Base!M52)</f>
        <v>60</v>
      </c>
      <c r="K52" s="1" t="n">
        <f aca="false">IF(OR(LEN(A52&amp;"")=0,$P$3=0),0,IF(AND(B52&gt;=Painel!$B$8,B52&lt;=Painel!$G$8,OR(Painel!$L$8="Todos",C52=Painel!$L$8),OR(Painel!$Q$8="Todos",D52=Painel!$Q$8),OR(Painel!$V$8="Todas",E52=Painel!$V$8)),1,0))</f>
        <v>1</v>
      </c>
      <c r="L52" s="61" t="n">
        <f aca="false">IF(LEN(A52&amp;"")=0,"",J52-I52)</f>
        <v>0</v>
      </c>
      <c r="M52" s="1" t="n">
        <f aca="false">IF(LEN(A52&amp;"")=0,0,IF(COUNTIFS(Base!$A$7:$A$1006,A52)&gt;1,1,0))</f>
        <v>0</v>
      </c>
      <c r="N52" s="1" t="n">
        <f aca="false">IF(LEN(A52&amp;"")=0,0,IF(ABS(L52)&gt;0.005,1,0))</f>
        <v>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customFormat="false" ht="23" hidden="false" customHeight="true" outlineLevel="0" collapsed="false">
      <c r="A53" s="1" t="n">
        <f aca="false">IF(LEN(Base!A53&amp;"")=0,"",Base!A53)</f>
        <v>3277</v>
      </c>
      <c r="B53" s="60" t="n">
        <f aca="false">IF(LEN(A53&amp;"")=0,"",Base!D53)</f>
        <v>45394</v>
      </c>
      <c r="C53" s="1" t="str">
        <f aca="false">IF(LEN(A53&amp;"")=0,"",Base!C53)</f>
        <v>Standard</v>
      </c>
      <c r="D53" s="1" t="str">
        <f aca="false">IF(LEN(A53&amp;"")=0,"",Base!G53)</f>
        <v>Monthly</v>
      </c>
      <c r="E53" s="1" t="str">
        <f aca="false">IF(LEN(A53&amp;"")=0,"",Base!E53)</f>
        <v>No</v>
      </c>
      <c r="F53" s="61" t="n">
        <f aca="false">IF(LEN(A53&amp;"")=0,"",IF(Base!I53="-",0,Base!I53))</f>
        <v>0</v>
      </c>
      <c r="G53" s="61" t="n">
        <f aca="false">IF(LEN(A53&amp;"")=0,"",SUM(Base!F53,F53,Base!K53))</f>
        <v>30</v>
      </c>
      <c r="H53" s="61" t="n">
        <f aca="false">IF(LEN(A53&amp;"")=0,"",Base!L53)</f>
        <v>10</v>
      </c>
      <c r="I53" s="61" t="n">
        <f aca="false">IF(LEN(A53&amp;"")=0,"",G53-H53)</f>
        <v>20</v>
      </c>
      <c r="J53" s="61" t="n">
        <f aca="false">IF(LEN(A53&amp;"")=0,"",Base!M53)</f>
        <v>20</v>
      </c>
      <c r="K53" s="1" t="n">
        <f aca="false">IF(OR(LEN(A53&amp;"")=0,$P$3=0),0,IF(AND(B53&gt;=Painel!$B$8,B53&lt;=Painel!$G$8,OR(Painel!$L$8="Todos",C53=Painel!$L$8),OR(Painel!$Q$8="Todos",D53=Painel!$Q$8),OR(Painel!$V$8="Todas",E53=Painel!$V$8)),1,0))</f>
        <v>1</v>
      </c>
      <c r="L53" s="61" t="n">
        <f aca="false">IF(LEN(A53&amp;"")=0,"",J53-I53)</f>
        <v>0</v>
      </c>
      <c r="M53" s="1" t="n">
        <f aca="false">IF(LEN(A53&amp;"")=0,0,IF(COUNTIFS(Base!$A$7:$A$1006,A53)&gt;1,1,0))</f>
        <v>0</v>
      </c>
      <c r="N53" s="1" t="n">
        <f aca="false">IF(LEN(A53&amp;"")=0,0,IF(ABS(L53)&gt;0.005,1,0))</f>
        <v>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customFormat="false" ht="23" hidden="false" customHeight="true" outlineLevel="0" collapsed="false">
      <c r="A54" s="1" t="n">
        <f aca="false">IF(LEN(Base!A54&amp;"")=0,"",Base!A54)</f>
        <v>3278</v>
      </c>
      <c r="B54" s="60" t="n">
        <f aca="false">IF(LEN(A54&amp;"")=0,"",Base!D54)</f>
        <v>45395</v>
      </c>
      <c r="C54" s="1" t="str">
        <f aca="false">IF(LEN(A54&amp;"")=0,"",Base!C54)</f>
        <v>Core</v>
      </c>
      <c r="D54" s="1" t="str">
        <f aca="false">IF(LEN(A54&amp;"")=0,"",Base!G54)</f>
        <v>Quarterly</v>
      </c>
      <c r="E54" s="1" t="str">
        <f aca="false">IF(LEN(A54&amp;"")=0,"",Base!E54)</f>
        <v>Yes</v>
      </c>
      <c r="F54" s="61" t="n">
        <f aca="false">IF(LEN(A54&amp;"")=0,"",IF(Base!I54="-",0,Base!I54))</f>
        <v>0</v>
      </c>
      <c r="G54" s="61" t="n">
        <f aca="false">IF(LEN(A54&amp;"")=0,"",SUM(Base!F54,F54,Base!K54))</f>
        <v>5</v>
      </c>
      <c r="H54" s="61" t="n">
        <f aca="false">IF(LEN(A54&amp;"")=0,"",Base!L54)</f>
        <v>0</v>
      </c>
      <c r="I54" s="61" t="n">
        <f aca="false">IF(LEN(A54&amp;"")=0,"",G54-H54)</f>
        <v>5</v>
      </c>
      <c r="J54" s="61" t="n">
        <f aca="false">IF(LEN(A54&amp;"")=0,"",Base!M54)</f>
        <v>5</v>
      </c>
      <c r="K54" s="1" t="n">
        <f aca="false">IF(OR(LEN(A54&amp;"")=0,$P$3=0),0,IF(AND(B54&gt;=Painel!$B$8,B54&lt;=Painel!$G$8,OR(Painel!$L$8="Todos",C54=Painel!$L$8),OR(Painel!$Q$8="Todos",D54=Painel!$Q$8),OR(Painel!$V$8="Todas",E54=Painel!$V$8)),1,0))</f>
        <v>1</v>
      </c>
      <c r="L54" s="61" t="n">
        <f aca="false">IF(LEN(A54&amp;"")=0,"",J54-I54)</f>
        <v>0</v>
      </c>
      <c r="M54" s="1" t="n">
        <f aca="false">IF(LEN(A54&amp;"")=0,0,IF(COUNTIFS(Base!$A$7:$A$1006,A54)&gt;1,1,0))</f>
        <v>0</v>
      </c>
      <c r="N54" s="1" t="n">
        <f aca="false">IF(LEN(A54&amp;"")=0,0,IF(ABS(L54)&gt;0.005,1,0))</f>
        <v>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customFormat="false" ht="23" hidden="false" customHeight="true" outlineLevel="0" collapsed="false">
      <c r="A55" s="1" t="n">
        <f aca="false">IF(LEN(Base!A55&amp;"")=0,"",Base!A55)</f>
        <v>3279</v>
      </c>
      <c r="B55" s="60" t="n">
        <f aca="false">IF(LEN(A55&amp;"")=0,"",Base!D55)</f>
        <v>45396</v>
      </c>
      <c r="C55" s="1" t="str">
        <f aca="false">IF(LEN(A55&amp;"")=0,"",Base!C55)</f>
        <v>Ultimate</v>
      </c>
      <c r="D55" s="1" t="str">
        <f aca="false">IF(LEN(A55&amp;"")=0,"",Base!G55)</f>
        <v>Monthly</v>
      </c>
      <c r="E55" s="1" t="str">
        <f aca="false">IF(LEN(A55&amp;"")=0,"",Base!E55)</f>
        <v>No</v>
      </c>
      <c r="F55" s="61" t="n">
        <f aca="false">IF(LEN(A55&amp;"")=0,"",IF(Base!I55="-",0,Base!I55))</f>
        <v>30</v>
      </c>
      <c r="G55" s="61" t="n">
        <f aca="false">IF(LEN(A55&amp;"")=0,"",SUM(Base!F55,F55,Base!K55))</f>
        <v>65</v>
      </c>
      <c r="H55" s="61" t="n">
        <f aca="false">IF(LEN(A55&amp;"")=0,"",Base!L55)</f>
        <v>3</v>
      </c>
      <c r="I55" s="61" t="n">
        <f aca="false">IF(LEN(A55&amp;"")=0,"",G55-H55)</f>
        <v>62</v>
      </c>
      <c r="J55" s="61" t="n">
        <f aca="false">IF(LEN(A55&amp;"")=0,"",Base!M55)</f>
        <v>62</v>
      </c>
      <c r="K55" s="1" t="n">
        <f aca="false">IF(OR(LEN(A55&amp;"")=0,$P$3=0),0,IF(AND(B55&gt;=Painel!$B$8,B55&lt;=Painel!$G$8,OR(Painel!$L$8="Todos",C55=Painel!$L$8),OR(Painel!$Q$8="Todos",D55=Painel!$Q$8),OR(Painel!$V$8="Todas",E55=Painel!$V$8)),1,0))</f>
        <v>1</v>
      </c>
      <c r="L55" s="61" t="n">
        <f aca="false">IF(LEN(A55&amp;"")=0,"",J55-I55)</f>
        <v>0</v>
      </c>
      <c r="M55" s="1" t="n">
        <f aca="false">IF(LEN(A55&amp;"")=0,0,IF(COUNTIFS(Base!$A$7:$A$1006,A55)&gt;1,1,0))</f>
        <v>0</v>
      </c>
      <c r="N55" s="1" t="n">
        <f aca="false">IF(LEN(A55&amp;"")=0,0,IF(ABS(L55)&gt;0.005,1,0))</f>
        <v>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customFormat="false" ht="23" hidden="false" customHeight="true" outlineLevel="0" collapsed="false">
      <c r="A56" s="1" t="n">
        <f aca="false">IF(LEN(Base!A56&amp;"")=0,"",Base!A56)</f>
        <v>3280</v>
      </c>
      <c r="B56" s="60" t="n">
        <f aca="false">IF(LEN(A56&amp;"")=0,"",Base!D56)</f>
        <v>45397</v>
      </c>
      <c r="C56" s="1" t="str">
        <f aca="false">IF(LEN(A56&amp;"")=0,"",Base!C56)</f>
        <v>Standard</v>
      </c>
      <c r="D56" s="1" t="str">
        <f aca="false">IF(LEN(A56&amp;"")=0,"",Base!G56)</f>
        <v>Annual</v>
      </c>
      <c r="E56" s="1" t="str">
        <f aca="false">IF(LEN(A56&amp;"")=0,"",Base!E56)</f>
        <v>Yes</v>
      </c>
      <c r="F56" s="61" t="n">
        <f aca="false">IF(LEN(A56&amp;"")=0,"",IF(Base!I56="-",0,Base!I56))</f>
        <v>0</v>
      </c>
      <c r="G56" s="61" t="n">
        <f aca="false">IF(LEN(A56&amp;"")=0,"",SUM(Base!F56,F56,Base!K56))</f>
        <v>30</v>
      </c>
      <c r="H56" s="61" t="n">
        <f aca="false">IF(LEN(A56&amp;"")=0,"",Base!L56)</f>
        <v>15</v>
      </c>
      <c r="I56" s="61" t="n">
        <f aca="false">IF(LEN(A56&amp;"")=0,"",G56-H56)</f>
        <v>15</v>
      </c>
      <c r="J56" s="61" t="n">
        <f aca="false">IF(LEN(A56&amp;"")=0,"",Base!M56)</f>
        <v>15</v>
      </c>
      <c r="K56" s="1" t="n">
        <f aca="false">IF(OR(LEN(A56&amp;"")=0,$P$3=0),0,IF(AND(B56&gt;=Painel!$B$8,B56&lt;=Painel!$G$8,OR(Painel!$L$8="Todos",C56=Painel!$L$8),OR(Painel!$Q$8="Todos",D56=Painel!$Q$8),OR(Painel!$V$8="Todas",E56=Painel!$V$8)),1,0))</f>
        <v>1</v>
      </c>
      <c r="L56" s="61" t="n">
        <f aca="false">IF(LEN(A56&amp;"")=0,"",J56-I56)</f>
        <v>0</v>
      </c>
      <c r="M56" s="1" t="n">
        <f aca="false">IF(LEN(A56&amp;"")=0,0,IF(COUNTIFS(Base!$A$7:$A$1006,A56)&gt;1,1,0))</f>
        <v>0</v>
      </c>
      <c r="N56" s="1" t="n">
        <f aca="false">IF(LEN(A56&amp;"")=0,0,IF(ABS(L56)&gt;0.005,1,0))</f>
        <v>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customFormat="false" ht="23" hidden="false" customHeight="true" outlineLevel="0" collapsed="false">
      <c r="A57" s="1" t="n">
        <f aca="false">IF(LEN(Base!A57&amp;"")=0,"",Base!A57)</f>
        <v>3281</v>
      </c>
      <c r="B57" s="60" t="n">
        <f aca="false">IF(LEN(A57&amp;"")=0,"",Base!D57)</f>
        <v>45398</v>
      </c>
      <c r="C57" s="1" t="str">
        <f aca="false">IF(LEN(A57&amp;"")=0,"",Base!C57)</f>
        <v>Core</v>
      </c>
      <c r="D57" s="1" t="str">
        <f aca="false">IF(LEN(A57&amp;"")=0,"",Base!G57)</f>
        <v>Monthly</v>
      </c>
      <c r="E57" s="1" t="str">
        <f aca="false">IF(LEN(A57&amp;"")=0,"",Base!E57)</f>
        <v>No</v>
      </c>
      <c r="F57" s="61" t="n">
        <f aca="false">IF(LEN(A57&amp;"")=0,"",IF(Base!I57="-",0,Base!I57))</f>
        <v>0</v>
      </c>
      <c r="G57" s="61" t="n">
        <f aca="false">IF(LEN(A57&amp;"")=0,"",SUM(Base!F57,F57,Base!K57))</f>
        <v>5</v>
      </c>
      <c r="H57" s="61" t="n">
        <f aca="false">IF(LEN(A57&amp;"")=0,"",Base!L57)</f>
        <v>1</v>
      </c>
      <c r="I57" s="61" t="n">
        <f aca="false">IF(LEN(A57&amp;"")=0,"",G57-H57)</f>
        <v>4</v>
      </c>
      <c r="J57" s="61" t="n">
        <f aca="false">IF(LEN(A57&amp;"")=0,"",Base!M57)</f>
        <v>4</v>
      </c>
      <c r="K57" s="1" t="n">
        <f aca="false">IF(OR(LEN(A57&amp;"")=0,$P$3=0),0,IF(AND(B57&gt;=Painel!$B$8,B57&lt;=Painel!$G$8,OR(Painel!$L$8="Todos",C57=Painel!$L$8),OR(Painel!$Q$8="Todos",D57=Painel!$Q$8),OR(Painel!$V$8="Todas",E57=Painel!$V$8)),1,0))</f>
        <v>1</v>
      </c>
      <c r="L57" s="61" t="n">
        <f aca="false">IF(LEN(A57&amp;"")=0,"",J57-I57)</f>
        <v>0</v>
      </c>
      <c r="M57" s="1" t="n">
        <f aca="false">IF(LEN(A57&amp;"")=0,0,IF(COUNTIFS(Base!$A$7:$A$1006,A57)&gt;1,1,0))</f>
        <v>0</v>
      </c>
      <c r="N57" s="1" t="n">
        <f aca="false">IF(LEN(A57&amp;"")=0,0,IF(ABS(L57)&gt;0.005,1,0))</f>
        <v>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customFormat="false" ht="23" hidden="false" customHeight="true" outlineLevel="0" collapsed="false">
      <c r="A58" s="1" t="n">
        <f aca="false">IF(LEN(Base!A58&amp;"")=0,"",Base!A58)</f>
        <v>3282</v>
      </c>
      <c r="B58" s="60" t="n">
        <f aca="false">IF(LEN(A58&amp;"")=0,"",Base!D58)</f>
        <v>45399</v>
      </c>
      <c r="C58" s="1" t="str">
        <f aca="false">IF(LEN(A58&amp;"")=0,"",Base!C58)</f>
        <v>Ultimate</v>
      </c>
      <c r="D58" s="1" t="str">
        <f aca="false">IF(LEN(A58&amp;"")=0,"",Base!G58)</f>
        <v>Quarterly</v>
      </c>
      <c r="E58" s="1" t="str">
        <f aca="false">IF(LEN(A58&amp;"")=0,"",Base!E58)</f>
        <v>Yes</v>
      </c>
      <c r="F58" s="61" t="n">
        <f aca="false">IF(LEN(A58&amp;"")=0,"",IF(Base!I58="-",0,Base!I58))</f>
        <v>30</v>
      </c>
      <c r="G58" s="61" t="n">
        <f aca="false">IF(LEN(A58&amp;"")=0,"",SUM(Base!F58,F58,Base!K58))</f>
        <v>65</v>
      </c>
      <c r="H58" s="61" t="n">
        <f aca="false">IF(LEN(A58&amp;"")=0,"",Base!L58)</f>
        <v>7</v>
      </c>
      <c r="I58" s="61" t="n">
        <f aca="false">IF(LEN(A58&amp;"")=0,"",G58-H58)</f>
        <v>58</v>
      </c>
      <c r="J58" s="61" t="n">
        <f aca="false">IF(LEN(A58&amp;"")=0,"",Base!M58)</f>
        <v>58</v>
      </c>
      <c r="K58" s="1" t="n">
        <f aca="false">IF(OR(LEN(A58&amp;"")=0,$P$3=0),0,IF(AND(B58&gt;=Painel!$B$8,B58&lt;=Painel!$G$8,OR(Painel!$L$8="Todos",C58=Painel!$L$8),OR(Painel!$Q$8="Todos",D58=Painel!$Q$8),OR(Painel!$V$8="Todas",E58=Painel!$V$8)),1,0))</f>
        <v>1</v>
      </c>
      <c r="L58" s="61" t="n">
        <f aca="false">IF(LEN(A58&amp;"")=0,"",J58-I58)</f>
        <v>0</v>
      </c>
      <c r="M58" s="1" t="n">
        <f aca="false">IF(LEN(A58&amp;"")=0,0,IF(COUNTIFS(Base!$A$7:$A$1006,A58)&gt;1,1,0))</f>
        <v>0</v>
      </c>
      <c r="N58" s="1" t="n">
        <f aca="false">IF(LEN(A58&amp;"")=0,0,IF(ABS(L58)&gt;0.005,1,0))</f>
        <v>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customFormat="false" ht="23" hidden="false" customHeight="true" outlineLevel="0" collapsed="false">
      <c r="A59" s="1" t="n">
        <f aca="false">IF(LEN(Base!A59&amp;"")=0,"",Base!A59)</f>
        <v>3283</v>
      </c>
      <c r="B59" s="60" t="n">
        <f aca="false">IF(LEN(A59&amp;"")=0,"",Base!D59)</f>
        <v>45400</v>
      </c>
      <c r="C59" s="1" t="str">
        <f aca="false">IF(LEN(A59&amp;"")=0,"",Base!C59)</f>
        <v>Standard</v>
      </c>
      <c r="D59" s="1" t="str">
        <f aca="false">IF(LEN(A59&amp;"")=0,"",Base!G59)</f>
        <v>Monthly</v>
      </c>
      <c r="E59" s="1" t="str">
        <f aca="false">IF(LEN(A59&amp;"")=0,"",Base!E59)</f>
        <v>No</v>
      </c>
      <c r="F59" s="61" t="n">
        <f aca="false">IF(LEN(A59&amp;"")=0,"",IF(Base!I59="-",0,Base!I59))</f>
        <v>0</v>
      </c>
      <c r="G59" s="61" t="n">
        <f aca="false">IF(LEN(A59&amp;"")=0,"",SUM(Base!F59,F59,Base!K59))</f>
        <v>30</v>
      </c>
      <c r="H59" s="61" t="n">
        <f aca="false">IF(LEN(A59&amp;"")=0,"",Base!L59)</f>
        <v>10</v>
      </c>
      <c r="I59" s="61" t="n">
        <f aca="false">IF(LEN(A59&amp;"")=0,"",G59-H59)</f>
        <v>20</v>
      </c>
      <c r="J59" s="61" t="n">
        <f aca="false">IF(LEN(A59&amp;"")=0,"",Base!M59)</f>
        <v>20</v>
      </c>
      <c r="K59" s="1" t="n">
        <f aca="false">IF(OR(LEN(A59&amp;"")=0,$P$3=0),0,IF(AND(B59&gt;=Painel!$B$8,B59&lt;=Painel!$G$8,OR(Painel!$L$8="Todos",C59=Painel!$L$8),OR(Painel!$Q$8="Todos",D59=Painel!$Q$8),OR(Painel!$V$8="Todas",E59=Painel!$V$8)),1,0))</f>
        <v>1</v>
      </c>
      <c r="L59" s="61" t="n">
        <f aca="false">IF(LEN(A59&amp;"")=0,"",J59-I59)</f>
        <v>0</v>
      </c>
      <c r="M59" s="1" t="n">
        <f aca="false">IF(LEN(A59&amp;"")=0,0,IF(COUNTIFS(Base!$A$7:$A$1006,A59)&gt;1,1,0))</f>
        <v>0</v>
      </c>
      <c r="N59" s="1" t="n">
        <f aca="false">IF(LEN(A59&amp;"")=0,0,IF(ABS(L59)&gt;0.005,1,0))</f>
        <v>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customFormat="false" ht="23" hidden="false" customHeight="true" outlineLevel="0" collapsed="false">
      <c r="A60" s="1" t="n">
        <f aca="false">IF(LEN(Base!A60&amp;"")=0,"",Base!A60)</f>
        <v>3284</v>
      </c>
      <c r="B60" s="60" t="n">
        <f aca="false">IF(LEN(A60&amp;"")=0,"",Base!D60)</f>
        <v>45401</v>
      </c>
      <c r="C60" s="1" t="str">
        <f aca="false">IF(LEN(A60&amp;"")=0,"",Base!C60)</f>
        <v>Core</v>
      </c>
      <c r="D60" s="1" t="str">
        <f aca="false">IF(LEN(A60&amp;"")=0,"",Base!G60)</f>
        <v>Annual</v>
      </c>
      <c r="E60" s="1" t="str">
        <f aca="false">IF(LEN(A60&amp;"")=0,"",Base!E60)</f>
        <v>Yes</v>
      </c>
      <c r="F60" s="61" t="n">
        <f aca="false">IF(LEN(A60&amp;"")=0,"",IF(Base!I60="-",0,Base!I60))</f>
        <v>0</v>
      </c>
      <c r="G60" s="61" t="n">
        <f aca="false">IF(LEN(A60&amp;"")=0,"",SUM(Base!F60,F60,Base!K60))</f>
        <v>5</v>
      </c>
      <c r="H60" s="61" t="n">
        <f aca="false">IF(LEN(A60&amp;"")=0,"",Base!L60)</f>
        <v>0</v>
      </c>
      <c r="I60" s="61" t="n">
        <f aca="false">IF(LEN(A60&amp;"")=0,"",G60-H60)</f>
        <v>5</v>
      </c>
      <c r="J60" s="61" t="n">
        <f aca="false">IF(LEN(A60&amp;"")=0,"",Base!M60)</f>
        <v>5</v>
      </c>
      <c r="K60" s="1" t="n">
        <f aca="false">IF(OR(LEN(A60&amp;"")=0,$P$3=0),0,IF(AND(B60&gt;=Painel!$B$8,B60&lt;=Painel!$G$8,OR(Painel!$L$8="Todos",C60=Painel!$L$8),OR(Painel!$Q$8="Todos",D60=Painel!$Q$8),OR(Painel!$V$8="Todas",E60=Painel!$V$8)),1,0))</f>
        <v>1</v>
      </c>
      <c r="L60" s="61" t="n">
        <f aca="false">IF(LEN(A60&amp;"")=0,"",J60-I60)</f>
        <v>0</v>
      </c>
      <c r="M60" s="1" t="n">
        <f aca="false">IF(LEN(A60&amp;"")=0,0,IF(COUNTIFS(Base!$A$7:$A$1006,A60)&gt;1,1,0))</f>
        <v>0</v>
      </c>
      <c r="N60" s="1" t="n">
        <f aca="false">IF(LEN(A60&amp;"")=0,0,IF(ABS(L60)&gt;0.005,1,0))</f>
        <v>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customFormat="false" ht="23" hidden="false" customHeight="true" outlineLevel="0" collapsed="false">
      <c r="A61" s="1" t="n">
        <f aca="false">IF(LEN(Base!A61&amp;"")=0,"",Base!A61)</f>
        <v>3285</v>
      </c>
      <c r="B61" s="60" t="n">
        <f aca="false">IF(LEN(A61&amp;"")=0,"",Base!D61)</f>
        <v>45402</v>
      </c>
      <c r="C61" s="1" t="str">
        <f aca="false">IF(LEN(A61&amp;"")=0,"",Base!C61)</f>
        <v>Ultimate</v>
      </c>
      <c r="D61" s="1" t="str">
        <f aca="false">IF(LEN(A61&amp;"")=0,"",Base!G61)</f>
        <v>Monthly</v>
      </c>
      <c r="E61" s="1" t="str">
        <f aca="false">IF(LEN(A61&amp;"")=0,"",Base!E61)</f>
        <v>No</v>
      </c>
      <c r="F61" s="61" t="n">
        <f aca="false">IF(LEN(A61&amp;"")=0,"",IF(Base!I61="-",0,Base!I61))</f>
        <v>30</v>
      </c>
      <c r="G61" s="61" t="n">
        <f aca="false">IF(LEN(A61&amp;"")=0,"",SUM(Base!F61,F61,Base!K61))</f>
        <v>65</v>
      </c>
      <c r="H61" s="61" t="n">
        <f aca="false">IF(LEN(A61&amp;"")=0,"",Base!L61)</f>
        <v>20</v>
      </c>
      <c r="I61" s="61" t="n">
        <f aca="false">IF(LEN(A61&amp;"")=0,"",G61-H61)</f>
        <v>45</v>
      </c>
      <c r="J61" s="61" t="n">
        <f aca="false">IF(LEN(A61&amp;"")=0,"",Base!M61)</f>
        <v>45</v>
      </c>
      <c r="K61" s="1" t="n">
        <f aca="false">IF(OR(LEN(A61&amp;"")=0,$P$3=0),0,IF(AND(B61&gt;=Painel!$B$8,B61&lt;=Painel!$G$8,OR(Painel!$L$8="Todos",C61=Painel!$L$8),OR(Painel!$Q$8="Todos",D61=Painel!$Q$8),OR(Painel!$V$8="Todas",E61=Painel!$V$8)),1,0))</f>
        <v>1</v>
      </c>
      <c r="L61" s="61" t="n">
        <f aca="false">IF(LEN(A61&amp;"")=0,"",J61-I61)</f>
        <v>0</v>
      </c>
      <c r="M61" s="1" t="n">
        <f aca="false">IF(LEN(A61&amp;"")=0,0,IF(COUNTIFS(Base!$A$7:$A$1006,A61)&gt;1,1,0))</f>
        <v>0</v>
      </c>
      <c r="N61" s="1" t="n">
        <f aca="false">IF(LEN(A61&amp;"")=0,0,IF(ABS(L61)&gt;0.005,1,0))</f>
        <v>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customFormat="false" ht="23" hidden="false" customHeight="true" outlineLevel="0" collapsed="false">
      <c r="A62" s="1" t="n">
        <f aca="false">IF(LEN(Base!A62&amp;"")=0,"",Base!A62)</f>
        <v>3286</v>
      </c>
      <c r="B62" s="60" t="n">
        <f aca="false">IF(LEN(A62&amp;"")=0,"",Base!D62)</f>
        <v>45403</v>
      </c>
      <c r="C62" s="1" t="str">
        <f aca="false">IF(LEN(A62&amp;"")=0,"",Base!C62)</f>
        <v>Standard</v>
      </c>
      <c r="D62" s="1" t="str">
        <f aca="false">IF(LEN(A62&amp;"")=0,"",Base!G62)</f>
        <v>Quarterly</v>
      </c>
      <c r="E62" s="1" t="str">
        <f aca="false">IF(LEN(A62&amp;"")=0,"",Base!E62)</f>
        <v>Yes</v>
      </c>
      <c r="F62" s="61" t="n">
        <f aca="false">IF(LEN(A62&amp;"")=0,"",IF(Base!I62="-",0,Base!I62))</f>
        <v>0</v>
      </c>
      <c r="G62" s="61" t="n">
        <f aca="false">IF(LEN(A62&amp;"")=0,"",SUM(Base!F62,F62,Base!K62))</f>
        <v>30</v>
      </c>
      <c r="H62" s="61" t="n">
        <f aca="false">IF(LEN(A62&amp;"")=0,"",Base!L62)</f>
        <v>15</v>
      </c>
      <c r="I62" s="61" t="n">
        <f aca="false">IF(LEN(A62&amp;"")=0,"",G62-H62)</f>
        <v>15</v>
      </c>
      <c r="J62" s="61" t="n">
        <f aca="false">IF(LEN(A62&amp;"")=0,"",Base!M62)</f>
        <v>15</v>
      </c>
      <c r="K62" s="1" t="n">
        <f aca="false">IF(OR(LEN(A62&amp;"")=0,$P$3=0),0,IF(AND(B62&gt;=Painel!$B$8,B62&lt;=Painel!$G$8,OR(Painel!$L$8="Todos",C62=Painel!$L$8),OR(Painel!$Q$8="Todos",D62=Painel!$Q$8),OR(Painel!$V$8="Todas",E62=Painel!$V$8)),1,0))</f>
        <v>1</v>
      </c>
      <c r="L62" s="61" t="n">
        <f aca="false">IF(LEN(A62&amp;"")=0,"",J62-I62)</f>
        <v>0</v>
      </c>
      <c r="M62" s="1" t="n">
        <f aca="false">IF(LEN(A62&amp;"")=0,0,IF(COUNTIFS(Base!$A$7:$A$1006,A62)&gt;1,1,0))</f>
        <v>0</v>
      </c>
      <c r="N62" s="1" t="n">
        <f aca="false">IF(LEN(A62&amp;"")=0,0,IF(ABS(L62)&gt;0.005,1,0))</f>
        <v>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customFormat="false" ht="23" hidden="false" customHeight="true" outlineLevel="0" collapsed="false">
      <c r="A63" s="1" t="n">
        <f aca="false">IF(LEN(Base!A63&amp;"")=0,"",Base!A63)</f>
        <v>3287</v>
      </c>
      <c r="B63" s="60" t="n">
        <f aca="false">IF(LEN(A63&amp;"")=0,"",Base!D63)</f>
        <v>45404</v>
      </c>
      <c r="C63" s="1" t="str">
        <f aca="false">IF(LEN(A63&amp;"")=0,"",Base!C63)</f>
        <v>Core</v>
      </c>
      <c r="D63" s="1" t="str">
        <f aca="false">IF(LEN(A63&amp;"")=0,"",Base!G63)</f>
        <v>Monthly</v>
      </c>
      <c r="E63" s="1" t="str">
        <f aca="false">IF(LEN(A63&amp;"")=0,"",Base!E63)</f>
        <v>No</v>
      </c>
      <c r="F63" s="61" t="n">
        <f aca="false">IF(LEN(A63&amp;"")=0,"",IF(Base!I63="-",0,Base!I63))</f>
        <v>0</v>
      </c>
      <c r="G63" s="61" t="n">
        <f aca="false">IF(LEN(A63&amp;"")=0,"",SUM(Base!F63,F63,Base!K63))</f>
        <v>5</v>
      </c>
      <c r="H63" s="61" t="n">
        <f aca="false">IF(LEN(A63&amp;"")=0,"",Base!L63)</f>
        <v>1</v>
      </c>
      <c r="I63" s="61" t="n">
        <f aca="false">IF(LEN(A63&amp;"")=0,"",G63-H63)</f>
        <v>4</v>
      </c>
      <c r="J63" s="61" t="n">
        <f aca="false">IF(LEN(A63&amp;"")=0,"",Base!M63)</f>
        <v>4</v>
      </c>
      <c r="K63" s="1" t="n">
        <f aca="false">IF(OR(LEN(A63&amp;"")=0,$P$3=0),0,IF(AND(B63&gt;=Painel!$B$8,B63&lt;=Painel!$G$8,OR(Painel!$L$8="Todos",C63=Painel!$L$8),OR(Painel!$Q$8="Todos",D63=Painel!$Q$8),OR(Painel!$V$8="Todas",E63=Painel!$V$8)),1,0))</f>
        <v>1</v>
      </c>
      <c r="L63" s="61" t="n">
        <f aca="false">IF(LEN(A63&amp;"")=0,"",J63-I63)</f>
        <v>0</v>
      </c>
      <c r="M63" s="1" t="n">
        <f aca="false">IF(LEN(A63&amp;"")=0,0,IF(COUNTIFS(Base!$A$7:$A$1006,A63)&gt;1,1,0))</f>
        <v>0</v>
      </c>
      <c r="N63" s="1" t="n">
        <f aca="false">IF(LEN(A63&amp;"")=0,0,IF(ABS(L63)&gt;0.005,1,0))</f>
        <v>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customFormat="false" ht="23" hidden="false" customHeight="true" outlineLevel="0" collapsed="false">
      <c r="A64" s="1" t="n">
        <f aca="false">IF(LEN(Base!A64&amp;"")=0,"",Base!A64)</f>
        <v>3288</v>
      </c>
      <c r="B64" s="60" t="n">
        <f aca="false">IF(LEN(A64&amp;"")=0,"",Base!D64)</f>
        <v>45405</v>
      </c>
      <c r="C64" s="1" t="str">
        <f aca="false">IF(LEN(A64&amp;"")=0,"",Base!C64)</f>
        <v>Ultimate</v>
      </c>
      <c r="D64" s="1" t="str">
        <f aca="false">IF(LEN(A64&amp;"")=0,"",Base!G64)</f>
        <v>Annual</v>
      </c>
      <c r="E64" s="1" t="str">
        <f aca="false">IF(LEN(A64&amp;"")=0,"",Base!E64)</f>
        <v>Yes</v>
      </c>
      <c r="F64" s="61" t="n">
        <f aca="false">IF(LEN(A64&amp;"")=0,"",IF(Base!I64="-",0,Base!I64))</f>
        <v>30</v>
      </c>
      <c r="G64" s="61" t="n">
        <f aca="false">IF(LEN(A64&amp;"")=0,"",SUM(Base!F64,F64,Base!K64))</f>
        <v>65</v>
      </c>
      <c r="H64" s="61" t="n">
        <f aca="false">IF(LEN(A64&amp;"")=0,"",Base!L64)</f>
        <v>3</v>
      </c>
      <c r="I64" s="61" t="n">
        <f aca="false">IF(LEN(A64&amp;"")=0,"",G64-H64)</f>
        <v>62</v>
      </c>
      <c r="J64" s="61" t="n">
        <f aca="false">IF(LEN(A64&amp;"")=0,"",Base!M64)</f>
        <v>62</v>
      </c>
      <c r="K64" s="1" t="n">
        <f aca="false">IF(OR(LEN(A64&amp;"")=0,$P$3=0),0,IF(AND(B64&gt;=Painel!$B$8,B64&lt;=Painel!$G$8,OR(Painel!$L$8="Todos",C64=Painel!$L$8),OR(Painel!$Q$8="Todos",D64=Painel!$Q$8),OR(Painel!$V$8="Todas",E64=Painel!$V$8)),1,0))</f>
        <v>1</v>
      </c>
      <c r="L64" s="61" t="n">
        <f aca="false">IF(LEN(A64&amp;"")=0,"",J64-I64)</f>
        <v>0</v>
      </c>
      <c r="M64" s="1" t="n">
        <f aca="false">IF(LEN(A64&amp;"")=0,0,IF(COUNTIFS(Base!$A$7:$A$1006,A64)&gt;1,1,0))</f>
        <v>0</v>
      </c>
      <c r="N64" s="1" t="n">
        <f aca="false">IF(LEN(A64&amp;"")=0,0,IF(ABS(L64)&gt;0.005,1,0))</f>
        <v>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23" hidden="false" customHeight="true" outlineLevel="0" collapsed="false">
      <c r="A65" s="1" t="n">
        <f aca="false">IF(LEN(Base!A65&amp;"")=0,"",Base!A65)</f>
        <v>3289</v>
      </c>
      <c r="B65" s="60" t="n">
        <f aca="false">IF(LEN(A65&amp;"")=0,"",Base!D65)</f>
        <v>45406</v>
      </c>
      <c r="C65" s="1" t="str">
        <f aca="false">IF(LEN(A65&amp;"")=0,"",Base!C65)</f>
        <v>Standard</v>
      </c>
      <c r="D65" s="1" t="str">
        <f aca="false">IF(LEN(A65&amp;"")=0,"",Base!G65)</f>
        <v>Monthly</v>
      </c>
      <c r="E65" s="1" t="str">
        <f aca="false">IF(LEN(A65&amp;"")=0,"",Base!E65)</f>
        <v>No</v>
      </c>
      <c r="F65" s="61" t="n">
        <f aca="false">IF(LEN(A65&amp;"")=0,"",IF(Base!I65="-",0,Base!I65))</f>
        <v>0</v>
      </c>
      <c r="G65" s="61" t="n">
        <f aca="false">IF(LEN(A65&amp;"")=0,"",SUM(Base!F65,F65,Base!K65))</f>
        <v>30</v>
      </c>
      <c r="H65" s="61" t="n">
        <f aca="false">IF(LEN(A65&amp;"")=0,"",Base!L65)</f>
        <v>10</v>
      </c>
      <c r="I65" s="61" t="n">
        <f aca="false">IF(LEN(A65&amp;"")=0,"",G65-H65)</f>
        <v>20</v>
      </c>
      <c r="J65" s="61" t="n">
        <f aca="false">IF(LEN(A65&amp;"")=0,"",Base!M65)</f>
        <v>20</v>
      </c>
      <c r="K65" s="1" t="n">
        <f aca="false">IF(OR(LEN(A65&amp;"")=0,$P$3=0),0,IF(AND(B65&gt;=Painel!$B$8,B65&lt;=Painel!$G$8,OR(Painel!$L$8="Todos",C65=Painel!$L$8),OR(Painel!$Q$8="Todos",D65=Painel!$Q$8),OR(Painel!$V$8="Todas",E65=Painel!$V$8)),1,0))</f>
        <v>1</v>
      </c>
      <c r="L65" s="61" t="n">
        <f aca="false">IF(LEN(A65&amp;"")=0,"",J65-I65)</f>
        <v>0</v>
      </c>
      <c r="M65" s="1" t="n">
        <f aca="false">IF(LEN(A65&amp;"")=0,0,IF(COUNTIFS(Base!$A$7:$A$1006,A65)&gt;1,1,0))</f>
        <v>0</v>
      </c>
      <c r="N65" s="1" t="n">
        <f aca="false">IF(LEN(A65&amp;"")=0,0,IF(ABS(L65)&gt;0.005,1,0))</f>
        <v>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23" hidden="false" customHeight="true" outlineLevel="0" collapsed="false">
      <c r="A66" s="1" t="n">
        <f aca="false">IF(LEN(Base!A66&amp;"")=0,"",Base!A66)</f>
        <v>3290</v>
      </c>
      <c r="B66" s="60" t="n">
        <f aca="false">IF(LEN(A66&amp;"")=0,"",Base!D66)</f>
        <v>45407</v>
      </c>
      <c r="C66" s="1" t="str">
        <f aca="false">IF(LEN(A66&amp;"")=0,"",Base!C66)</f>
        <v>Core</v>
      </c>
      <c r="D66" s="1" t="str">
        <f aca="false">IF(LEN(A66&amp;"")=0,"",Base!G66)</f>
        <v>Quarterly</v>
      </c>
      <c r="E66" s="1" t="str">
        <f aca="false">IF(LEN(A66&amp;"")=0,"",Base!E66)</f>
        <v>Yes</v>
      </c>
      <c r="F66" s="61" t="n">
        <f aca="false">IF(LEN(A66&amp;"")=0,"",IF(Base!I66="-",0,Base!I66))</f>
        <v>0</v>
      </c>
      <c r="G66" s="61" t="n">
        <f aca="false">IF(LEN(A66&amp;"")=0,"",SUM(Base!F66,F66,Base!K66))</f>
        <v>5</v>
      </c>
      <c r="H66" s="61" t="n">
        <f aca="false">IF(LEN(A66&amp;"")=0,"",Base!L66)</f>
        <v>0</v>
      </c>
      <c r="I66" s="61" t="n">
        <f aca="false">IF(LEN(A66&amp;"")=0,"",G66-H66)</f>
        <v>5</v>
      </c>
      <c r="J66" s="61" t="n">
        <f aca="false">IF(LEN(A66&amp;"")=0,"",Base!M66)</f>
        <v>5</v>
      </c>
      <c r="K66" s="1" t="n">
        <f aca="false">IF(OR(LEN(A66&amp;"")=0,$P$3=0),0,IF(AND(B66&gt;=Painel!$B$8,B66&lt;=Painel!$G$8,OR(Painel!$L$8="Todos",C66=Painel!$L$8),OR(Painel!$Q$8="Todos",D66=Painel!$Q$8),OR(Painel!$V$8="Todas",E66=Painel!$V$8)),1,0))</f>
        <v>1</v>
      </c>
      <c r="L66" s="61" t="n">
        <f aca="false">IF(LEN(A66&amp;"")=0,"",J66-I66)</f>
        <v>0</v>
      </c>
      <c r="M66" s="1" t="n">
        <f aca="false">IF(LEN(A66&amp;"")=0,0,IF(COUNTIFS(Base!$A$7:$A$1006,A66)&gt;1,1,0))</f>
        <v>0</v>
      </c>
      <c r="N66" s="1" t="n">
        <f aca="false">IF(LEN(A66&amp;"")=0,0,IF(ABS(L66)&gt;0.005,1,0))</f>
        <v>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customFormat="false" ht="23" hidden="false" customHeight="true" outlineLevel="0" collapsed="false">
      <c r="A67" s="1" t="n">
        <f aca="false">IF(LEN(Base!A67&amp;"")=0,"",Base!A67)</f>
        <v>3291</v>
      </c>
      <c r="B67" s="60" t="n">
        <f aca="false">IF(LEN(A67&amp;"")=0,"",Base!D67)</f>
        <v>45408</v>
      </c>
      <c r="C67" s="1" t="str">
        <f aca="false">IF(LEN(A67&amp;"")=0,"",Base!C67)</f>
        <v>Ultimate</v>
      </c>
      <c r="D67" s="1" t="str">
        <f aca="false">IF(LEN(A67&amp;"")=0,"",Base!G67)</f>
        <v>Monthly</v>
      </c>
      <c r="E67" s="1" t="str">
        <f aca="false">IF(LEN(A67&amp;"")=0,"",Base!E67)</f>
        <v>No</v>
      </c>
      <c r="F67" s="61" t="n">
        <f aca="false">IF(LEN(A67&amp;"")=0,"",IF(Base!I67="-",0,Base!I67))</f>
        <v>30</v>
      </c>
      <c r="G67" s="61" t="n">
        <f aca="false">IF(LEN(A67&amp;"")=0,"",SUM(Base!F67,F67,Base!K67))</f>
        <v>65</v>
      </c>
      <c r="H67" s="61" t="n">
        <f aca="false">IF(LEN(A67&amp;"")=0,"",Base!L67)</f>
        <v>5</v>
      </c>
      <c r="I67" s="61" t="n">
        <f aca="false">IF(LEN(A67&amp;"")=0,"",G67-H67)</f>
        <v>60</v>
      </c>
      <c r="J67" s="61" t="n">
        <f aca="false">IF(LEN(A67&amp;"")=0,"",Base!M67)</f>
        <v>60</v>
      </c>
      <c r="K67" s="1" t="n">
        <f aca="false">IF(OR(LEN(A67&amp;"")=0,$P$3=0),0,IF(AND(B67&gt;=Painel!$B$8,B67&lt;=Painel!$G$8,OR(Painel!$L$8="Todos",C67=Painel!$L$8),OR(Painel!$Q$8="Todos",D67=Painel!$Q$8),OR(Painel!$V$8="Todas",E67=Painel!$V$8)),1,0))</f>
        <v>1</v>
      </c>
      <c r="L67" s="61" t="n">
        <f aca="false">IF(LEN(A67&amp;"")=0,"",J67-I67)</f>
        <v>0</v>
      </c>
      <c r="M67" s="1" t="n">
        <f aca="false">IF(LEN(A67&amp;"")=0,0,IF(COUNTIFS(Base!$A$7:$A$1006,A67)&gt;1,1,0))</f>
        <v>0</v>
      </c>
      <c r="N67" s="1" t="n">
        <f aca="false">IF(LEN(A67&amp;"")=0,0,IF(ABS(L67)&gt;0.005,1,0))</f>
        <v>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customFormat="false" ht="23" hidden="false" customHeight="true" outlineLevel="0" collapsed="false">
      <c r="A68" s="1" t="n">
        <f aca="false">IF(LEN(Base!A68&amp;"")=0,"",Base!A68)</f>
        <v>3292</v>
      </c>
      <c r="B68" s="60" t="n">
        <f aca="false">IF(LEN(A68&amp;"")=0,"",Base!D68)</f>
        <v>45409</v>
      </c>
      <c r="C68" s="1" t="str">
        <f aca="false">IF(LEN(A68&amp;"")=0,"",Base!C68)</f>
        <v>Standard</v>
      </c>
      <c r="D68" s="1" t="str">
        <f aca="false">IF(LEN(A68&amp;"")=0,"",Base!G68)</f>
        <v>Annual</v>
      </c>
      <c r="E68" s="1" t="str">
        <f aca="false">IF(LEN(A68&amp;"")=0,"",Base!E68)</f>
        <v>Yes</v>
      </c>
      <c r="F68" s="61" t="n">
        <f aca="false">IF(LEN(A68&amp;"")=0,"",IF(Base!I68="-",0,Base!I68))</f>
        <v>0</v>
      </c>
      <c r="G68" s="61" t="n">
        <f aca="false">IF(LEN(A68&amp;"")=0,"",SUM(Base!F68,F68,Base!K68))</f>
        <v>30</v>
      </c>
      <c r="H68" s="61" t="n">
        <f aca="false">IF(LEN(A68&amp;"")=0,"",Base!L68)</f>
        <v>15</v>
      </c>
      <c r="I68" s="61" t="n">
        <f aca="false">IF(LEN(A68&amp;"")=0,"",G68-H68)</f>
        <v>15</v>
      </c>
      <c r="J68" s="61" t="n">
        <f aca="false">IF(LEN(A68&amp;"")=0,"",Base!M68)</f>
        <v>15</v>
      </c>
      <c r="K68" s="1" t="n">
        <f aca="false">IF(OR(LEN(A68&amp;"")=0,$P$3=0),0,IF(AND(B68&gt;=Painel!$B$8,B68&lt;=Painel!$G$8,OR(Painel!$L$8="Todos",C68=Painel!$L$8),OR(Painel!$Q$8="Todos",D68=Painel!$Q$8),OR(Painel!$V$8="Todas",E68=Painel!$V$8)),1,0))</f>
        <v>1</v>
      </c>
      <c r="L68" s="61" t="n">
        <f aca="false">IF(LEN(A68&amp;"")=0,"",J68-I68)</f>
        <v>0</v>
      </c>
      <c r="M68" s="1" t="n">
        <f aca="false">IF(LEN(A68&amp;"")=0,0,IF(COUNTIFS(Base!$A$7:$A$1006,A68)&gt;1,1,0))</f>
        <v>0</v>
      </c>
      <c r="N68" s="1" t="n">
        <f aca="false">IF(LEN(A68&amp;"")=0,0,IF(ABS(L68)&gt;0.005,1,0))</f>
        <v>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customFormat="false" ht="23" hidden="false" customHeight="true" outlineLevel="0" collapsed="false">
      <c r="A69" s="1" t="n">
        <f aca="false">IF(LEN(Base!A69&amp;"")=0,"",Base!A69)</f>
        <v>3293</v>
      </c>
      <c r="B69" s="60" t="n">
        <f aca="false">IF(LEN(A69&amp;"")=0,"",Base!D69)</f>
        <v>45410</v>
      </c>
      <c r="C69" s="1" t="str">
        <f aca="false">IF(LEN(A69&amp;"")=0,"",Base!C69)</f>
        <v>Core</v>
      </c>
      <c r="D69" s="1" t="str">
        <f aca="false">IF(LEN(A69&amp;"")=0,"",Base!G69)</f>
        <v>Monthly</v>
      </c>
      <c r="E69" s="1" t="str">
        <f aca="false">IF(LEN(A69&amp;"")=0,"",Base!E69)</f>
        <v>No</v>
      </c>
      <c r="F69" s="61" t="n">
        <f aca="false">IF(LEN(A69&amp;"")=0,"",IF(Base!I69="-",0,Base!I69))</f>
        <v>0</v>
      </c>
      <c r="G69" s="61" t="n">
        <f aca="false">IF(LEN(A69&amp;"")=0,"",SUM(Base!F69,F69,Base!K69))</f>
        <v>5</v>
      </c>
      <c r="H69" s="61" t="n">
        <f aca="false">IF(LEN(A69&amp;"")=0,"",Base!L69)</f>
        <v>1</v>
      </c>
      <c r="I69" s="61" t="n">
        <f aca="false">IF(LEN(A69&amp;"")=0,"",G69-H69)</f>
        <v>4</v>
      </c>
      <c r="J69" s="61" t="n">
        <f aca="false">IF(LEN(A69&amp;"")=0,"",Base!M69)</f>
        <v>4</v>
      </c>
      <c r="K69" s="1" t="n">
        <f aca="false">IF(OR(LEN(A69&amp;"")=0,$P$3=0),0,IF(AND(B69&gt;=Painel!$B$8,B69&lt;=Painel!$G$8,OR(Painel!$L$8="Todos",C69=Painel!$L$8),OR(Painel!$Q$8="Todos",D69=Painel!$Q$8),OR(Painel!$V$8="Todas",E69=Painel!$V$8)),1,0))</f>
        <v>1</v>
      </c>
      <c r="L69" s="61" t="n">
        <f aca="false">IF(LEN(A69&amp;"")=0,"",J69-I69)</f>
        <v>0</v>
      </c>
      <c r="M69" s="1" t="n">
        <f aca="false">IF(LEN(A69&amp;"")=0,0,IF(COUNTIFS(Base!$A$7:$A$1006,A69)&gt;1,1,0))</f>
        <v>0</v>
      </c>
      <c r="N69" s="1" t="n">
        <f aca="false">IF(LEN(A69&amp;"")=0,0,IF(ABS(L69)&gt;0.005,1,0))</f>
        <v>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customFormat="false" ht="23" hidden="false" customHeight="true" outlineLevel="0" collapsed="false">
      <c r="A70" s="1" t="n">
        <f aca="false">IF(LEN(Base!A70&amp;"")=0,"",Base!A70)</f>
        <v>3294</v>
      </c>
      <c r="B70" s="60" t="n">
        <f aca="false">IF(LEN(A70&amp;"")=0,"",Base!D70)</f>
        <v>45411</v>
      </c>
      <c r="C70" s="1" t="str">
        <f aca="false">IF(LEN(A70&amp;"")=0,"",Base!C70)</f>
        <v>Ultimate</v>
      </c>
      <c r="D70" s="1" t="str">
        <f aca="false">IF(LEN(A70&amp;"")=0,"",Base!G70)</f>
        <v>Quarterly</v>
      </c>
      <c r="E70" s="1" t="str">
        <f aca="false">IF(LEN(A70&amp;"")=0,"",Base!E70)</f>
        <v>Yes</v>
      </c>
      <c r="F70" s="61" t="n">
        <f aca="false">IF(LEN(A70&amp;"")=0,"",IF(Base!I70="-",0,Base!I70))</f>
        <v>30</v>
      </c>
      <c r="G70" s="61" t="n">
        <f aca="false">IF(LEN(A70&amp;"")=0,"",SUM(Base!F70,F70,Base!K70))</f>
        <v>65</v>
      </c>
      <c r="H70" s="61" t="n">
        <f aca="false">IF(LEN(A70&amp;"")=0,"",Base!L70)</f>
        <v>20</v>
      </c>
      <c r="I70" s="61" t="n">
        <f aca="false">IF(LEN(A70&amp;"")=0,"",G70-H70)</f>
        <v>45</v>
      </c>
      <c r="J70" s="61" t="n">
        <f aca="false">IF(LEN(A70&amp;"")=0,"",Base!M70)</f>
        <v>45</v>
      </c>
      <c r="K70" s="1" t="n">
        <f aca="false">IF(OR(LEN(A70&amp;"")=0,$P$3=0),0,IF(AND(B70&gt;=Painel!$B$8,B70&lt;=Painel!$G$8,OR(Painel!$L$8="Todos",C70=Painel!$L$8),OR(Painel!$Q$8="Todos",D70=Painel!$Q$8),OR(Painel!$V$8="Todas",E70=Painel!$V$8)),1,0))</f>
        <v>1</v>
      </c>
      <c r="L70" s="61" t="n">
        <f aca="false">IF(LEN(A70&amp;"")=0,"",J70-I70)</f>
        <v>0</v>
      </c>
      <c r="M70" s="1" t="n">
        <f aca="false">IF(LEN(A70&amp;"")=0,0,IF(COUNTIFS(Base!$A$7:$A$1006,A70)&gt;1,1,0))</f>
        <v>0</v>
      </c>
      <c r="N70" s="1" t="n">
        <f aca="false">IF(LEN(A70&amp;"")=0,0,IF(ABS(L70)&gt;0.005,1,0))</f>
        <v>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customFormat="false" ht="23" hidden="false" customHeight="true" outlineLevel="0" collapsed="false">
      <c r="A71" s="1" t="n">
        <f aca="false">IF(LEN(Base!A71&amp;"")=0,"",Base!A71)</f>
        <v>3295</v>
      </c>
      <c r="B71" s="60" t="n">
        <f aca="false">IF(LEN(A71&amp;"")=0,"",Base!D71)</f>
        <v>45412</v>
      </c>
      <c r="C71" s="1" t="str">
        <f aca="false">IF(LEN(A71&amp;"")=0,"",Base!C71)</f>
        <v>Standard</v>
      </c>
      <c r="D71" s="1" t="str">
        <f aca="false">IF(LEN(A71&amp;"")=0,"",Base!G71)</f>
        <v>Monthly</v>
      </c>
      <c r="E71" s="1" t="str">
        <f aca="false">IF(LEN(A71&amp;"")=0,"",Base!E71)</f>
        <v>No</v>
      </c>
      <c r="F71" s="61" t="n">
        <f aca="false">IF(LEN(A71&amp;"")=0,"",IF(Base!I71="-",0,Base!I71))</f>
        <v>0</v>
      </c>
      <c r="G71" s="61" t="n">
        <f aca="false">IF(LEN(A71&amp;"")=0,"",SUM(Base!F71,F71,Base!K71))</f>
        <v>30</v>
      </c>
      <c r="H71" s="61" t="n">
        <f aca="false">IF(LEN(A71&amp;"")=0,"",Base!L71)</f>
        <v>5</v>
      </c>
      <c r="I71" s="61" t="n">
        <f aca="false">IF(LEN(A71&amp;"")=0,"",G71-H71)</f>
        <v>25</v>
      </c>
      <c r="J71" s="61" t="n">
        <f aca="false">IF(LEN(A71&amp;"")=0,"",Base!M71)</f>
        <v>25</v>
      </c>
      <c r="K71" s="1" t="n">
        <f aca="false">IF(OR(LEN(A71&amp;"")=0,$P$3=0),0,IF(AND(B71&gt;=Painel!$B$8,B71&lt;=Painel!$G$8,OR(Painel!$L$8="Todos",C71=Painel!$L$8),OR(Painel!$Q$8="Todos",D71=Painel!$Q$8),OR(Painel!$V$8="Todas",E71=Painel!$V$8)),1,0))</f>
        <v>1</v>
      </c>
      <c r="L71" s="61" t="n">
        <f aca="false">IF(LEN(A71&amp;"")=0,"",J71-I71)</f>
        <v>0</v>
      </c>
      <c r="M71" s="1" t="n">
        <f aca="false">IF(LEN(A71&amp;"")=0,0,IF(COUNTIFS(Base!$A$7:$A$1006,A71)&gt;1,1,0))</f>
        <v>0</v>
      </c>
      <c r="N71" s="1" t="n">
        <f aca="false">IF(LEN(A71&amp;"")=0,0,IF(ABS(L71)&gt;0.005,1,0))</f>
        <v>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customFormat="false" ht="23" hidden="false" customHeight="true" outlineLevel="0" collapsed="false">
      <c r="A72" s="1" t="n">
        <f aca="false">IF(LEN(Base!A72&amp;"")=0,"",Base!A72)</f>
        <v>3296</v>
      </c>
      <c r="B72" s="60" t="n">
        <f aca="false">IF(LEN(A72&amp;"")=0,"",Base!D72)</f>
        <v>45413</v>
      </c>
      <c r="C72" s="1" t="str">
        <f aca="false">IF(LEN(A72&amp;"")=0,"",Base!C72)</f>
        <v>Core</v>
      </c>
      <c r="D72" s="1" t="str">
        <f aca="false">IF(LEN(A72&amp;"")=0,"",Base!G72)</f>
        <v>Monthly</v>
      </c>
      <c r="E72" s="1" t="str">
        <f aca="false">IF(LEN(A72&amp;"")=0,"",Base!E72)</f>
        <v>No</v>
      </c>
      <c r="F72" s="61" t="n">
        <f aca="false">IF(LEN(A72&amp;"")=0,"",IF(Base!I72="-",0,Base!I72))</f>
        <v>0</v>
      </c>
      <c r="G72" s="61" t="n">
        <f aca="false">IF(LEN(A72&amp;"")=0,"",SUM(Base!F72,F72,Base!K72))</f>
        <v>5</v>
      </c>
      <c r="H72" s="61" t="n">
        <f aca="false">IF(LEN(A72&amp;"")=0,"",Base!L72)</f>
        <v>0</v>
      </c>
      <c r="I72" s="61" t="n">
        <f aca="false">IF(LEN(A72&amp;"")=0,"",G72-H72)</f>
        <v>5</v>
      </c>
      <c r="J72" s="61" t="n">
        <f aca="false">IF(LEN(A72&amp;"")=0,"",Base!M72)</f>
        <v>5</v>
      </c>
      <c r="K72" s="1" t="n">
        <f aca="false">IF(OR(LEN(A72&amp;"")=0,$P$3=0),0,IF(AND(B72&gt;=Painel!$B$8,B72&lt;=Painel!$G$8,OR(Painel!$L$8="Todos",C72=Painel!$L$8),OR(Painel!$Q$8="Todos",D72=Painel!$Q$8),OR(Painel!$V$8="Todas",E72=Painel!$V$8)),1,0))</f>
        <v>1</v>
      </c>
      <c r="L72" s="61" t="n">
        <f aca="false">IF(LEN(A72&amp;"")=0,"",J72-I72)</f>
        <v>0</v>
      </c>
      <c r="M72" s="1" t="n">
        <f aca="false">IF(LEN(A72&amp;"")=0,0,IF(COUNTIFS(Base!$A$7:$A$1006,A72)&gt;1,1,0))</f>
        <v>0</v>
      </c>
      <c r="N72" s="1" t="n">
        <f aca="false">IF(LEN(A72&amp;"")=0,0,IF(ABS(L72)&gt;0.005,1,0))</f>
        <v>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customFormat="false" ht="23" hidden="false" customHeight="true" outlineLevel="0" collapsed="false">
      <c r="A73" s="1" t="n">
        <f aca="false">IF(LEN(Base!A73&amp;"")=0,"",Base!A73)</f>
        <v>3297</v>
      </c>
      <c r="B73" s="60" t="n">
        <f aca="false">IF(LEN(A73&amp;"")=0,"",Base!D73)</f>
        <v>45414</v>
      </c>
      <c r="C73" s="1" t="str">
        <f aca="false">IF(LEN(A73&amp;"")=0,"",Base!C73)</f>
        <v>Ultimate</v>
      </c>
      <c r="D73" s="1" t="str">
        <f aca="false">IF(LEN(A73&amp;"")=0,"",Base!G73)</f>
        <v>Quarterly</v>
      </c>
      <c r="E73" s="1" t="str">
        <f aca="false">IF(LEN(A73&amp;"")=0,"",Base!E73)</f>
        <v>Yes</v>
      </c>
      <c r="F73" s="61" t="n">
        <f aca="false">IF(LEN(A73&amp;"")=0,"",IF(Base!I73="-",0,Base!I73))</f>
        <v>30</v>
      </c>
      <c r="G73" s="61" t="n">
        <f aca="false">IF(LEN(A73&amp;"")=0,"",SUM(Base!F73,F73,Base!K73))</f>
        <v>65</v>
      </c>
      <c r="H73" s="61" t="n">
        <f aca="false">IF(LEN(A73&amp;"")=0,"",Base!L73)</f>
        <v>7</v>
      </c>
      <c r="I73" s="61" t="n">
        <f aca="false">IF(LEN(A73&amp;"")=0,"",G73-H73)</f>
        <v>58</v>
      </c>
      <c r="J73" s="61" t="n">
        <f aca="false">IF(LEN(A73&amp;"")=0,"",Base!M73)</f>
        <v>58</v>
      </c>
      <c r="K73" s="1" t="n">
        <f aca="false">IF(OR(LEN(A73&amp;"")=0,$P$3=0),0,IF(AND(B73&gt;=Painel!$B$8,B73&lt;=Painel!$G$8,OR(Painel!$L$8="Todos",C73=Painel!$L$8),OR(Painel!$Q$8="Todos",D73=Painel!$Q$8),OR(Painel!$V$8="Todas",E73=Painel!$V$8)),1,0))</f>
        <v>1</v>
      </c>
      <c r="L73" s="61" t="n">
        <f aca="false">IF(LEN(A73&amp;"")=0,"",J73-I73)</f>
        <v>0</v>
      </c>
      <c r="M73" s="1" t="n">
        <f aca="false">IF(LEN(A73&amp;"")=0,0,IF(COUNTIFS(Base!$A$7:$A$1006,A73)&gt;1,1,0))</f>
        <v>0</v>
      </c>
      <c r="N73" s="1" t="n">
        <f aca="false">IF(LEN(A73&amp;"")=0,0,IF(ABS(L73)&gt;0.005,1,0))</f>
        <v>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customFormat="false" ht="23" hidden="false" customHeight="true" outlineLevel="0" collapsed="false">
      <c r="A74" s="1" t="n">
        <f aca="false">IF(LEN(Base!A74&amp;"")=0,"",Base!A74)</f>
        <v>3298</v>
      </c>
      <c r="B74" s="60" t="n">
        <f aca="false">IF(LEN(A74&amp;"")=0,"",Base!D74)</f>
        <v>45415</v>
      </c>
      <c r="C74" s="1" t="str">
        <f aca="false">IF(LEN(A74&amp;"")=0,"",Base!C74)</f>
        <v>Standard</v>
      </c>
      <c r="D74" s="1" t="str">
        <f aca="false">IF(LEN(A74&amp;"")=0,"",Base!G74)</f>
        <v>Annual</v>
      </c>
      <c r="E74" s="1" t="str">
        <f aca="false">IF(LEN(A74&amp;"")=0,"",Base!E74)</f>
        <v>No</v>
      </c>
      <c r="F74" s="61" t="n">
        <f aca="false">IF(LEN(A74&amp;"")=0,"",IF(Base!I74="-",0,Base!I74))</f>
        <v>0</v>
      </c>
      <c r="G74" s="61" t="n">
        <f aca="false">IF(LEN(A74&amp;"")=0,"",SUM(Base!F74,F74,Base!K74))</f>
        <v>30</v>
      </c>
      <c r="H74" s="61" t="n">
        <f aca="false">IF(LEN(A74&amp;"")=0,"",Base!L74)</f>
        <v>10</v>
      </c>
      <c r="I74" s="61" t="n">
        <f aca="false">IF(LEN(A74&amp;"")=0,"",G74-H74)</f>
        <v>20</v>
      </c>
      <c r="J74" s="61" t="n">
        <f aca="false">IF(LEN(A74&amp;"")=0,"",Base!M74)</f>
        <v>20</v>
      </c>
      <c r="K74" s="1" t="n">
        <f aca="false">IF(OR(LEN(A74&amp;"")=0,$P$3=0),0,IF(AND(B74&gt;=Painel!$B$8,B74&lt;=Painel!$G$8,OR(Painel!$L$8="Todos",C74=Painel!$L$8),OR(Painel!$Q$8="Todos",D74=Painel!$Q$8),OR(Painel!$V$8="Todas",E74=Painel!$V$8)),1,0))</f>
        <v>1</v>
      </c>
      <c r="L74" s="61" t="n">
        <f aca="false">IF(LEN(A74&amp;"")=0,"",J74-I74)</f>
        <v>0</v>
      </c>
      <c r="M74" s="1" t="n">
        <f aca="false">IF(LEN(A74&amp;"")=0,0,IF(COUNTIFS(Base!$A$7:$A$1006,A74)&gt;1,1,0))</f>
        <v>0</v>
      </c>
      <c r="N74" s="1" t="n">
        <f aca="false">IF(LEN(A74&amp;"")=0,0,IF(ABS(L74)&gt;0.005,1,0))</f>
        <v>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customFormat="false" ht="23" hidden="false" customHeight="true" outlineLevel="0" collapsed="false">
      <c r="A75" s="1" t="n">
        <f aca="false">IF(LEN(Base!A75&amp;"")=0,"",Base!A75)</f>
        <v>3299</v>
      </c>
      <c r="B75" s="60" t="n">
        <f aca="false">IF(LEN(A75&amp;"")=0,"",Base!D75)</f>
        <v>45416</v>
      </c>
      <c r="C75" s="1" t="str">
        <f aca="false">IF(LEN(A75&amp;"")=0,"",Base!C75)</f>
        <v>Core</v>
      </c>
      <c r="D75" s="1" t="str">
        <f aca="false">IF(LEN(A75&amp;"")=0,"",Base!G75)</f>
        <v>Quarterly</v>
      </c>
      <c r="E75" s="1" t="str">
        <f aca="false">IF(LEN(A75&amp;"")=0,"",Base!E75)</f>
        <v>Yes</v>
      </c>
      <c r="F75" s="61" t="n">
        <f aca="false">IF(LEN(A75&amp;"")=0,"",IF(Base!I75="-",0,Base!I75))</f>
        <v>0</v>
      </c>
      <c r="G75" s="61" t="n">
        <f aca="false">IF(LEN(A75&amp;"")=0,"",SUM(Base!F75,F75,Base!K75))</f>
        <v>5</v>
      </c>
      <c r="H75" s="61" t="n">
        <f aca="false">IF(LEN(A75&amp;"")=0,"",Base!L75)</f>
        <v>1</v>
      </c>
      <c r="I75" s="61" t="n">
        <f aca="false">IF(LEN(A75&amp;"")=0,"",G75-H75)</f>
        <v>4</v>
      </c>
      <c r="J75" s="61" t="n">
        <f aca="false">IF(LEN(A75&amp;"")=0,"",Base!M75)</f>
        <v>4</v>
      </c>
      <c r="K75" s="1" t="n">
        <f aca="false">IF(OR(LEN(A75&amp;"")=0,$P$3=0),0,IF(AND(B75&gt;=Painel!$B$8,B75&lt;=Painel!$G$8,OR(Painel!$L$8="Todos",C75=Painel!$L$8),OR(Painel!$Q$8="Todos",D75=Painel!$Q$8),OR(Painel!$V$8="Todas",E75=Painel!$V$8)),1,0))</f>
        <v>1</v>
      </c>
      <c r="L75" s="61" t="n">
        <f aca="false">IF(LEN(A75&amp;"")=0,"",J75-I75)</f>
        <v>0</v>
      </c>
      <c r="M75" s="1" t="n">
        <f aca="false">IF(LEN(A75&amp;"")=0,0,IF(COUNTIFS(Base!$A$7:$A$1006,A75)&gt;1,1,0))</f>
        <v>0</v>
      </c>
      <c r="N75" s="1" t="n">
        <f aca="false">IF(LEN(A75&amp;"")=0,0,IF(ABS(L75)&gt;0.005,1,0))</f>
        <v>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customFormat="false" ht="23" hidden="false" customHeight="true" outlineLevel="0" collapsed="false">
      <c r="A76" s="1" t="n">
        <f aca="false">IF(LEN(Base!A76&amp;"")=0,"",Base!A76)</f>
        <v>3300</v>
      </c>
      <c r="B76" s="60" t="n">
        <f aca="false">IF(LEN(A76&amp;"")=0,"",Base!D76)</f>
        <v>45417</v>
      </c>
      <c r="C76" s="1" t="str">
        <f aca="false">IF(LEN(A76&amp;"")=0,"",Base!C76)</f>
        <v>Ultimate</v>
      </c>
      <c r="D76" s="1" t="str">
        <f aca="false">IF(LEN(A76&amp;"")=0,"",Base!G76)</f>
        <v>Monthly</v>
      </c>
      <c r="E76" s="1" t="str">
        <f aca="false">IF(LEN(A76&amp;"")=0,"",Base!E76)</f>
        <v>No</v>
      </c>
      <c r="F76" s="61" t="n">
        <f aca="false">IF(LEN(A76&amp;"")=0,"",IF(Base!I76="-",0,Base!I76))</f>
        <v>30</v>
      </c>
      <c r="G76" s="61" t="n">
        <f aca="false">IF(LEN(A76&amp;"")=0,"",SUM(Base!F76,F76,Base!K76))</f>
        <v>65</v>
      </c>
      <c r="H76" s="61" t="n">
        <f aca="false">IF(LEN(A76&amp;"")=0,"",Base!L76)</f>
        <v>15</v>
      </c>
      <c r="I76" s="61" t="n">
        <f aca="false">IF(LEN(A76&amp;"")=0,"",G76-H76)</f>
        <v>50</v>
      </c>
      <c r="J76" s="61" t="n">
        <f aca="false">IF(LEN(A76&amp;"")=0,"",Base!M76)</f>
        <v>50</v>
      </c>
      <c r="K76" s="1" t="n">
        <f aca="false">IF(OR(LEN(A76&amp;"")=0,$P$3=0),0,IF(AND(B76&gt;=Painel!$B$8,B76&lt;=Painel!$G$8,OR(Painel!$L$8="Todos",C76=Painel!$L$8),OR(Painel!$Q$8="Todos",D76=Painel!$Q$8),OR(Painel!$V$8="Todas",E76=Painel!$V$8)),1,0))</f>
        <v>1</v>
      </c>
      <c r="L76" s="61" t="n">
        <f aca="false">IF(LEN(A76&amp;"")=0,"",J76-I76)</f>
        <v>0</v>
      </c>
      <c r="M76" s="1" t="n">
        <f aca="false">IF(LEN(A76&amp;"")=0,0,IF(COUNTIFS(Base!$A$7:$A$1006,A76)&gt;1,1,0))</f>
        <v>0</v>
      </c>
      <c r="N76" s="1" t="n">
        <f aca="false">IF(LEN(A76&amp;"")=0,0,IF(ABS(L76)&gt;0.005,1,0))</f>
        <v>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customFormat="false" ht="23" hidden="false" customHeight="true" outlineLevel="0" collapsed="false">
      <c r="A77" s="1" t="n">
        <f aca="false">IF(LEN(Base!A77&amp;"")=0,"",Base!A77)</f>
        <v>3301</v>
      </c>
      <c r="B77" s="60" t="n">
        <f aca="false">IF(LEN(A77&amp;"")=0,"",Base!D77)</f>
        <v>45418</v>
      </c>
      <c r="C77" s="1" t="str">
        <f aca="false">IF(LEN(A77&amp;"")=0,"",Base!C77)</f>
        <v>Standard</v>
      </c>
      <c r="D77" s="1" t="str">
        <f aca="false">IF(LEN(A77&amp;"")=0,"",Base!G77)</f>
        <v>Monthly</v>
      </c>
      <c r="E77" s="1" t="str">
        <f aca="false">IF(LEN(A77&amp;"")=0,"",Base!E77)</f>
        <v>Yes</v>
      </c>
      <c r="F77" s="61" t="n">
        <f aca="false">IF(LEN(A77&amp;"")=0,"",IF(Base!I77="-",0,Base!I77))</f>
        <v>0</v>
      </c>
      <c r="G77" s="61" t="n">
        <f aca="false">IF(LEN(A77&amp;"")=0,"",SUM(Base!F77,F77,Base!K77))</f>
        <v>30</v>
      </c>
      <c r="H77" s="61" t="n">
        <f aca="false">IF(LEN(A77&amp;"")=0,"",Base!L77)</f>
        <v>5</v>
      </c>
      <c r="I77" s="61" t="n">
        <f aca="false">IF(LEN(A77&amp;"")=0,"",G77-H77)</f>
        <v>25</v>
      </c>
      <c r="J77" s="61" t="n">
        <f aca="false">IF(LEN(A77&amp;"")=0,"",Base!M77)</f>
        <v>25</v>
      </c>
      <c r="K77" s="1" t="n">
        <f aca="false">IF(OR(LEN(A77&amp;"")=0,$P$3=0),0,IF(AND(B77&gt;=Painel!$B$8,B77&lt;=Painel!$G$8,OR(Painel!$L$8="Todos",C77=Painel!$L$8),OR(Painel!$Q$8="Todos",D77=Painel!$Q$8),OR(Painel!$V$8="Todas",E77=Painel!$V$8)),1,0))</f>
        <v>1</v>
      </c>
      <c r="L77" s="61" t="n">
        <f aca="false">IF(LEN(A77&amp;"")=0,"",J77-I77)</f>
        <v>0</v>
      </c>
      <c r="M77" s="1" t="n">
        <f aca="false">IF(LEN(A77&amp;"")=0,0,IF(COUNTIFS(Base!$A$7:$A$1006,A77)&gt;1,1,0))</f>
        <v>0</v>
      </c>
      <c r="N77" s="1" t="n">
        <f aca="false">IF(LEN(A77&amp;"")=0,0,IF(ABS(L77)&gt;0.005,1,0))</f>
        <v>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customFormat="false" ht="23" hidden="false" customHeight="true" outlineLevel="0" collapsed="false">
      <c r="A78" s="1" t="n">
        <f aca="false">IF(LEN(Base!A78&amp;"")=0,"",Base!A78)</f>
        <v>3302</v>
      </c>
      <c r="B78" s="60" t="n">
        <f aca="false">IF(LEN(A78&amp;"")=0,"",Base!D78)</f>
        <v>45419</v>
      </c>
      <c r="C78" s="1" t="str">
        <f aca="false">IF(LEN(A78&amp;"")=0,"",Base!C78)</f>
        <v>Core</v>
      </c>
      <c r="D78" s="1" t="str">
        <f aca="false">IF(LEN(A78&amp;"")=0,"",Base!G78)</f>
        <v>Annual</v>
      </c>
      <c r="E78" s="1" t="str">
        <f aca="false">IF(LEN(A78&amp;"")=0,"",Base!E78)</f>
        <v>No</v>
      </c>
      <c r="F78" s="61" t="n">
        <f aca="false">IF(LEN(A78&amp;"")=0,"",IF(Base!I78="-",0,Base!I78))</f>
        <v>0</v>
      </c>
      <c r="G78" s="61" t="n">
        <f aca="false">IF(LEN(A78&amp;"")=0,"",SUM(Base!F78,F78,Base!K78))</f>
        <v>5</v>
      </c>
      <c r="H78" s="61" t="n">
        <f aca="false">IF(LEN(A78&amp;"")=0,"",Base!L78)</f>
        <v>0</v>
      </c>
      <c r="I78" s="61" t="n">
        <f aca="false">IF(LEN(A78&amp;"")=0,"",G78-H78)</f>
        <v>5</v>
      </c>
      <c r="J78" s="61" t="n">
        <f aca="false">IF(LEN(A78&amp;"")=0,"",Base!M78)</f>
        <v>5</v>
      </c>
      <c r="K78" s="1" t="n">
        <f aca="false">IF(OR(LEN(A78&amp;"")=0,$P$3=0),0,IF(AND(B78&gt;=Painel!$B$8,B78&lt;=Painel!$G$8,OR(Painel!$L$8="Todos",C78=Painel!$L$8),OR(Painel!$Q$8="Todos",D78=Painel!$Q$8),OR(Painel!$V$8="Todas",E78=Painel!$V$8)),1,0))</f>
        <v>1</v>
      </c>
      <c r="L78" s="61" t="n">
        <f aca="false">IF(LEN(A78&amp;"")=0,"",J78-I78)</f>
        <v>0</v>
      </c>
      <c r="M78" s="1" t="n">
        <f aca="false">IF(LEN(A78&amp;"")=0,0,IF(COUNTIFS(Base!$A$7:$A$1006,A78)&gt;1,1,0))</f>
        <v>0</v>
      </c>
      <c r="N78" s="1" t="n">
        <f aca="false">IF(LEN(A78&amp;"")=0,0,IF(ABS(L78)&gt;0.005,1,0))</f>
        <v>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customFormat="false" ht="23" hidden="false" customHeight="true" outlineLevel="0" collapsed="false">
      <c r="A79" s="1" t="n">
        <f aca="false">IF(LEN(Base!A79&amp;"")=0,"",Base!A79)</f>
        <v>3303</v>
      </c>
      <c r="B79" s="60" t="n">
        <f aca="false">IF(LEN(A79&amp;"")=0,"",Base!D79)</f>
        <v>45420</v>
      </c>
      <c r="C79" s="1" t="str">
        <f aca="false">IF(LEN(A79&amp;"")=0,"",Base!C79)</f>
        <v>Ultimate</v>
      </c>
      <c r="D79" s="1" t="str">
        <f aca="false">IF(LEN(A79&amp;"")=0,"",Base!G79)</f>
        <v>Quarterly</v>
      </c>
      <c r="E79" s="1" t="str">
        <f aca="false">IF(LEN(A79&amp;"")=0,"",Base!E79)</f>
        <v>Yes</v>
      </c>
      <c r="F79" s="61" t="n">
        <f aca="false">IF(LEN(A79&amp;"")=0,"",IF(Base!I79="-",0,Base!I79))</f>
        <v>30</v>
      </c>
      <c r="G79" s="61" t="n">
        <f aca="false">IF(LEN(A79&amp;"")=0,"",SUM(Base!F79,F79,Base!K79))</f>
        <v>65</v>
      </c>
      <c r="H79" s="61" t="n">
        <f aca="false">IF(LEN(A79&amp;"")=0,"",Base!L79)</f>
        <v>20</v>
      </c>
      <c r="I79" s="61" t="n">
        <f aca="false">IF(LEN(A79&amp;"")=0,"",G79-H79)</f>
        <v>45</v>
      </c>
      <c r="J79" s="61" t="n">
        <f aca="false">IF(LEN(A79&amp;"")=0,"",Base!M79)</f>
        <v>45</v>
      </c>
      <c r="K79" s="1" t="n">
        <f aca="false">IF(OR(LEN(A79&amp;"")=0,$P$3=0),0,IF(AND(B79&gt;=Painel!$B$8,B79&lt;=Painel!$G$8,OR(Painel!$L$8="Todos",C79=Painel!$L$8),OR(Painel!$Q$8="Todos",D79=Painel!$Q$8),OR(Painel!$V$8="Todas",E79=Painel!$V$8)),1,0))</f>
        <v>1</v>
      </c>
      <c r="L79" s="61" t="n">
        <f aca="false">IF(LEN(A79&amp;"")=0,"",J79-I79)</f>
        <v>0</v>
      </c>
      <c r="M79" s="1" t="n">
        <f aca="false">IF(LEN(A79&amp;"")=0,0,IF(COUNTIFS(Base!$A$7:$A$1006,A79)&gt;1,1,0))</f>
        <v>0</v>
      </c>
      <c r="N79" s="1" t="n">
        <f aca="false">IF(LEN(A79&amp;"")=0,0,IF(ABS(L79)&gt;0.005,1,0))</f>
        <v>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customFormat="false" ht="23" hidden="false" customHeight="true" outlineLevel="0" collapsed="false">
      <c r="A80" s="1" t="n">
        <f aca="false">IF(LEN(Base!A80&amp;"")=0,"",Base!A80)</f>
        <v>3304</v>
      </c>
      <c r="B80" s="60" t="n">
        <f aca="false">IF(LEN(A80&amp;"")=0,"",Base!D80)</f>
        <v>45421</v>
      </c>
      <c r="C80" s="1" t="str">
        <f aca="false">IF(LEN(A80&amp;"")=0,"",Base!C80)</f>
        <v>Standard</v>
      </c>
      <c r="D80" s="1" t="str">
        <f aca="false">IF(LEN(A80&amp;"")=0,"",Base!G80)</f>
        <v>Quarterly</v>
      </c>
      <c r="E80" s="1" t="str">
        <f aca="false">IF(LEN(A80&amp;"")=0,"",Base!E80)</f>
        <v>No</v>
      </c>
      <c r="F80" s="61" t="n">
        <f aca="false">IF(LEN(A80&amp;"")=0,"",IF(Base!I80="-",0,Base!I80))</f>
        <v>0</v>
      </c>
      <c r="G80" s="61" t="n">
        <f aca="false">IF(LEN(A80&amp;"")=0,"",SUM(Base!F80,F80,Base!K80))</f>
        <v>30</v>
      </c>
      <c r="H80" s="61" t="n">
        <f aca="false">IF(LEN(A80&amp;"")=0,"",Base!L80)</f>
        <v>12</v>
      </c>
      <c r="I80" s="61" t="n">
        <f aca="false">IF(LEN(A80&amp;"")=0,"",G80-H80)</f>
        <v>18</v>
      </c>
      <c r="J80" s="61" t="n">
        <f aca="false">IF(LEN(A80&amp;"")=0,"",Base!M80)</f>
        <v>18</v>
      </c>
      <c r="K80" s="1" t="n">
        <f aca="false">IF(OR(LEN(A80&amp;"")=0,$P$3=0),0,IF(AND(B80&gt;=Painel!$B$8,B80&lt;=Painel!$G$8,OR(Painel!$L$8="Todos",C80=Painel!$L$8),OR(Painel!$Q$8="Todos",D80=Painel!$Q$8),OR(Painel!$V$8="Todas",E80=Painel!$V$8)),1,0))</f>
        <v>1</v>
      </c>
      <c r="L80" s="61" t="n">
        <f aca="false">IF(LEN(A80&amp;"")=0,"",J80-I80)</f>
        <v>0</v>
      </c>
      <c r="M80" s="1" t="n">
        <f aca="false">IF(LEN(A80&amp;"")=0,0,IF(COUNTIFS(Base!$A$7:$A$1006,A80)&gt;1,1,0))</f>
        <v>0</v>
      </c>
      <c r="N80" s="1" t="n">
        <f aca="false">IF(LEN(A80&amp;"")=0,0,IF(ABS(L80)&gt;0.005,1,0))</f>
        <v>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customFormat="false" ht="23" hidden="false" customHeight="true" outlineLevel="0" collapsed="false">
      <c r="A81" s="1" t="n">
        <f aca="false">IF(LEN(Base!A81&amp;"")=0,"",Base!A81)</f>
        <v>3305</v>
      </c>
      <c r="B81" s="60" t="n">
        <f aca="false">IF(LEN(A81&amp;"")=0,"",Base!D81)</f>
        <v>45422</v>
      </c>
      <c r="C81" s="1" t="str">
        <f aca="false">IF(LEN(A81&amp;"")=0,"",Base!C81)</f>
        <v>Core</v>
      </c>
      <c r="D81" s="1" t="str">
        <f aca="false">IF(LEN(A81&amp;"")=0,"",Base!G81)</f>
        <v>Monthly</v>
      </c>
      <c r="E81" s="1" t="str">
        <f aca="false">IF(LEN(A81&amp;"")=0,"",Base!E81)</f>
        <v>Yes</v>
      </c>
      <c r="F81" s="61" t="n">
        <f aca="false">IF(LEN(A81&amp;"")=0,"",IF(Base!I81="-",0,Base!I81))</f>
        <v>0</v>
      </c>
      <c r="G81" s="61" t="n">
        <f aca="false">IF(LEN(A81&amp;"")=0,"",SUM(Base!F81,F81,Base!K81))</f>
        <v>5</v>
      </c>
      <c r="H81" s="61" t="n">
        <f aca="false">IF(LEN(A81&amp;"")=0,"",Base!L81)</f>
        <v>2</v>
      </c>
      <c r="I81" s="61" t="n">
        <f aca="false">IF(LEN(A81&amp;"")=0,"",G81-H81)</f>
        <v>3</v>
      </c>
      <c r="J81" s="61" t="n">
        <f aca="false">IF(LEN(A81&amp;"")=0,"",Base!M81)</f>
        <v>3</v>
      </c>
      <c r="K81" s="1" t="n">
        <f aca="false">IF(OR(LEN(A81&amp;"")=0,$P$3=0),0,IF(AND(B81&gt;=Painel!$B$8,B81&lt;=Painel!$G$8,OR(Painel!$L$8="Todos",C81=Painel!$L$8),OR(Painel!$Q$8="Todos",D81=Painel!$Q$8),OR(Painel!$V$8="Todas",E81=Painel!$V$8)),1,0))</f>
        <v>1</v>
      </c>
      <c r="L81" s="61" t="n">
        <f aca="false">IF(LEN(A81&amp;"")=0,"",J81-I81)</f>
        <v>0</v>
      </c>
      <c r="M81" s="1" t="n">
        <f aca="false">IF(LEN(A81&amp;"")=0,0,IF(COUNTIFS(Base!$A$7:$A$1006,A81)&gt;1,1,0))</f>
        <v>0</v>
      </c>
      <c r="N81" s="1" t="n">
        <f aca="false">IF(LEN(A81&amp;"")=0,0,IF(ABS(L81)&gt;0.005,1,0))</f>
        <v>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customFormat="false" ht="23" hidden="false" customHeight="true" outlineLevel="0" collapsed="false">
      <c r="A82" s="1" t="n">
        <f aca="false">IF(LEN(Base!A82&amp;"")=0,"",Base!A82)</f>
        <v>3306</v>
      </c>
      <c r="B82" s="60" t="n">
        <f aca="false">IF(LEN(A82&amp;"")=0,"",Base!D82)</f>
        <v>45423</v>
      </c>
      <c r="C82" s="1" t="str">
        <f aca="false">IF(LEN(A82&amp;"")=0,"",Base!C82)</f>
        <v>Ultimate</v>
      </c>
      <c r="D82" s="1" t="str">
        <f aca="false">IF(LEN(A82&amp;"")=0,"",Base!G82)</f>
        <v>Annual</v>
      </c>
      <c r="E82" s="1" t="str">
        <f aca="false">IF(LEN(A82&amp;"")=0,"",Base!E82)</f>
        <v>No</v>
      </c>
      <c r="F82" s="61" t="n">
        <f aca="false">IF(LEN(A82&amp;"")=0,"",IF(Base!I82="-",0,Base!I82))</f>
        <v>30</v>
      </c>
      <c r="G82" s="61" t="n">
        <f aca="false">IF(LEN(A82&amp;"")=0,"",SUM(Base!F82,F82,Base!K82))</f>
        <v>65</v>
      </c>
      <c r="H82" s="61" t="n">
        <f aca="false">IF(LEN(A82&amp;"")=0,"",Base!L82)</f>
        <v>5</v>
      </c>
      <c r="I82" s="61" t="n">
        <f aca="false">IF(LEN(A82&amp;"")=0,"",G82-H82)</f>
        <v>60</v>
      </c>
      <c r="J82" s="61" t="n">
        <f aca="false">IF(LEN(A82&amp;"")=0,"",Base!M82)</f>
        <v>60</v>
      </c>
      <c r="K82" s="1" t="n">
        <f aca="false">IF(OR(LEN(A82&amp;"")=0,$P$3=0),0,IF(AND(B82&gt;=Painel!$B$8,B82&lt;=Painel!$G$8,OR(Painel!$L$8="Todos",C82=Painel!$L$8),OR(Painel!$Q$8="Todos",D82=Painel!$Q$8),OR(Painel!$V$8="Todas",E82=Painel!$V$8)),1,0))</f>
        <v>1</v>
      </c>
      <c r="L82" s="61" t="n">
        <f aca="false">IF(LEN(A82&amp;"")=0,"",J82-I82)</f>
        <v>0</v>
      </c>
      <c r="M82" s="1" t="n">
        <f aca="false">IF(LEN(A82&amp;"")=0,0,IF(COUNTIFS(Base!$A$7:$A$1006,A82)&gt;1,1,0))</f>
        <v>0</v>
      </c>
      <c r="N82" s="1" t="n">
        <f aca="false">IF(LEN(A82&amp;"")=0,0,IF(ABS(L82)&gt;0.005,1,0))</f>
        <v>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customFormat="false" ht="23" hidden="false" customHeight="true" outlineLevel="0" collapsed="false">
      <c r="A83" s="1" t="n">
        <f aca="false">IF(LEN(Base!A83&amp;"")=0,"",Base!A83)</f>
        <v>3307</v>
      </c>
      <c r="B83" s="60" t="n">
        <f aca="false">IF(LEN(A83&amp;"")=0,"",Base!D83)</f>
        <v>45424</v>
      </c>
      <c r="C83" s="1" t="str">
        <f aca="false">IF(LEN(A83&amp;"")=0,"",Base!C83)</f>
        <v>Standard</v>
      </c>
      <c r="D83" s="1" t="str">
        <f aca="false">IF(LEN(A83&amp;"")=0,"",Base!G83)</f>
        <v>Monthly</v>
      </c>
      <c r="E83" s="1" t="str">
        <f aca="false">IF(LEN(A83&amp;"")=0,"",Base!E83)</f>
        <v>Yes</v>
      </c>
      <c r="F83" s="61" t="n">
        <f aca="false">IF(LEN(A83&amp;"")=0,"",IF(Base!I83="-",0,Base!I83))</f>
        <v>0</v>
      </c>
      <c r="G83" s="61" t="n">
        <f aca="false">IF(LEN(A83&amp;"")=0,"",SUM(Base!F83,F83,Base!K83))</f>
        <v>30</v>
      </c>
      <c r="H83" s="61" t="n">
        <f aca="false">IF(LEN(A83&amp;"")=0,"",Base!L83)</f>
        <v>10</v>
      </c>
      <c r="I83" s="61" t="n">
        <f aca="false">IF(LEN(A83&amp;"")=0,"",G83-H83)</f>
        <v>20</v>
      </c>
      <c r="J83" s="61" t="n">
        <f aca="false">IF(LEN(A83&amp;"")=0,"",Base!M83)</f>
        <v>20</v>
      </c>
      <c r="K83" s="1" t="n">
        <f aca="false">IF(OR(LEN(A83&amp;"")=0,$P$3=0),0,IF(AND(B83&gt;=Painel!$B$8,B83&lt;=Painel!$G$8,OR(Painel!$L$8="Todos",C83=Painel!$L$8),OR(Painel!$Q$8="Todos",D83=Painel!$Q$8),OR(Painel!$V$8="Todas",E83=Painel!$V$8)),1,0))</f>
        <v>1</v>
      </c>
      <c r="L83" s="61" t="n">
        <f aca="false">IF(LEN(A83&amp;"")=0,"",J83-I83)</f>
        <v>0</v>
      </c>
      <c r="M83" s="1" t="n">
        <f aca="false">IF(LEN(A83&amp;"")=0,0,IF(COUNTIFS(Base!$A$7:$A$1006,A83)&gt;1,1,0))</f>
        <v>0</v>
      </c>
      <c r="N83" s="1" t="n">
        <f aca="false">IF(LEN(A83&amp;"")=0,0,IF(ABS(L83)&gt;0.005,1,0))</f>
        <v>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customFormat="false" ht="23" hidden="false" customHeight="true" outlineLevel="0" collapsed="false">
      <c r="A84" s="1" t="n">
        <f aca="false">IF(LEN(Base!A84&amp;"")=0,"",Base!A84)</f>
        <v>3308</v>
      </c>
      <c r="B84" s="60" t="n">
        <f aca="false">IF(LEN(A84&amp;"")=0,"",Base!D84)</f>
        <v>45425</v>
      </c>
      <c r="C84" s="1" t="str">
        <f aca="false">IF(LEN(A84&amp;"")=0,"",Base!C84)</f>
        <v>Core</v>
      </c>
      <c r="D84" s="1" t="str">
        <f aca="false">IF(LEN(A84&amp;"")=0,"",Base!G84)</f>
        <v>Quarterly</v>
      </c>
      <c r="E84" s="1" t="str">
        <f aca="false">IF(LEN(A84&amp;"")=0,"",Base!E84)</f>
        <v>No</v>
      </c>
      <c r="F84" s="61" t="n">
        <f aca="false">IF(LEN(A84&amp;"")=0,"",IF(Base!I84="-",0,Base!I84))</f>
        <v>0</v>
      </c>
      <c r="G84" s="61" t="n">
        <f aca="false">IF(LEN(A84&amp;"")=0,"",SUM(Base!F84,F84,Base!K84))</f>
        <v>5</v>
      </c>
      <c r="H84" s="61" t="n">
        <f aca="false">IF(LEN(A84&amp;"")=0,"",Base!L84)</f>
        <v>0</v>
      </c>
      <c r="I84" s="61" t="n">
        <f aca="false">IF(LEN(A84&amp;"")=0,"",G84-H84)</f>
        <v>5</v>
      </c>
      <c r="J84" s="61" t="n">
        <f aca="false">IF(LEN(A84&amp;"")=0,"",Base!M84)</f>
        <v>5</v>
      </c>
      <c r="K84" s="1" t="n">
        <f aca="false">IF(OR(LEN(A84&amp;"")=0,$P$3=0),0,IF(AND(B84&gt;=Painel!$B$8,B84&lt;=Painel!$G$8,OR(Painel!$L$8="Todos",C84=Painel!$L$8),OR(Painel!$Q$8="Todos",D84=Painel!$Q$8),OR(Painel!$V$8="Todas",E84=Painel!$V$8)),1,0))</f>
        <v>1</v>
      </c>
      <c r="L84" s="61" t="n">
        <f aca="false">IF(LEN(A84&amp;"")=0,"",J84-I84)</f>
        <v>0</v>
      </c>
      <c r="M84" s="1" t="n">
        <f aca="false">IF(LEN(A84&amp;"")=0,0,IF(COUNTIFS(Base!$A$7:$A$1006,A84)&gt;1,1,0))</f>
        <v>0</v>
      </c>
      <c r="N84" s="1" t="n">
        <f aca="false">IF(LEN(A84&amp;"")=0,0,IF(ABS(L84)&gt;0.005,1,0))</f>
        <v>0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customFormat="false" ht="23" hidden="false" customHeight="true" outlineLevel="0" collapsed="false">
      <c r="A85" s="1" t="n">
        <f aca="false">IF(LEN(Base!A85&amp;"")=0,"",Base!A85)</f>
        <v>3309</v>
      </c>
      <c r="B85" s="60" t="n">
        <f aca="false">IF(LEN(A85&amp;"")=0,"",Base!D85)</f>
        <v>45426</v>
      </c>
      <c r="C85" s="1" t="str">
        <f aca="false">IF(LEN(A85&amp;"")=0,"",Base!C85)</f>
        <v>Ultimate</v>
      </c>
      <c r="D85" s="1" t="str">
        <f aca="false">IF(LEN(A85&amp;"")=0,"",Base!G85)</f>
        <v>Monthly</v>
      </c>
      <c r="E85" s="1" t="str">
        <f aca="false">IF(LEN(A85&amp;"")=0,"",Base!E85)</f>
        <v>Yes</v>
      </c>
      <c r="F85" s="61" t="n">
        <f aca="false">IF(LEN(A85&amp;"")=0,"",IF(Base!I85="-",0,Base!I85))</f>
        <v>30</v>
      </c>
      <c r="G85" s="61" t="n">
        <f aca="false">IF(LEN(A85&amp;"")=0,"",SUM(Base!F85,F85,Base!K85))</f>
        <v>65</v>
      </c>
      <c r="H85" s="61" t="n">
        <f aca="false">IF(LEN(A85&amp;"")=0,"",Base!L85)</f>
        <v>3</v>
      </c>
      <c r="I85" s="61" t="n">
        <f aca="false">IF(LEN(A85&amp;"")=0,"",G85-H85)</f>
        <v>62</v>
      </c>
      <c r="J85" s="61" t="n">
        <f aca="false">IF(LEN(A85&amp;"")=0,"",Base!M85)</f>
        <v>62</v>
      </c>
      <c r="K85" s="1" t="n">
        <f aca="false">IF(OR(LEN(A85&amp;"")=0,$P$3=0),0,IF(AND(B85&gt;=Painel!$B$8,B85&lt;=Painel!$G$8,OR(Painel!$L$8="Todos",C85=Painel!$L$8),OR(Painel!$Q$8="Todos",D85=Painel!$Q$8),OR(Painel!$V$8="Todas",E85=Painel!$V$8)),1,0))</f>
        <v>1</v>
      </c>
      <c r="L85" s="61" t="n">
        <f aca="false">IF(LEN(A85&amp;"")=0,"",J85-I85)</f>
        <v>0</v>
      </c>
      <c r="M85" s="1" t="n">
        <f aca="false">IF(LEN(A85&amp;"")=0,0,IF(COUNTIFS(Base!$A$7:$A$1006,A85)&gt;1,1,0))</f>
        <v>0</v>
      </c>
      <c r="N85" s="1" t="n">
        <f aca="false">IF(LEN(A85&amp;"")=0,0,IF(ABS(L85)&gt;0.005,1,0))</f>
        <v>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customFormat="false" ht="23" hidden="false" customHeight="true" outlineLevel="0" collapsed="false">
      <c r="A86" s="1" t="n">
        <f aca="false">IF(LEN(Base!A86&amp;"")=0,"",Base!A86)</f>
        <v>3310</v>
      </c>
      <c r="B86" s="60" t="n">
        <f aca="false">IF(LEN(A86&amp;"")=0,"",Base!D86)</f>
        <v>45427</v>
      </c>
      <c r="C86" s="1" t="str">
        <f aca="false">IF(LEN(A86&amp;"")=0,"",Base!C86)</f>
        <v>Standard</v>
      </c>
      <c r="D86" s="1" t="str">
        <f aca="false">IF(LEN(A86&amp;"")=0,"",Base!G86)</f>
        <v>Annual</v>
      </c>
      <c r="E86" s="1" t="str">
        <f aca="false">IF(LEN(A86&amp;"")=0,"",Base!E86)</f>
        <v>No</v>
      </c>
      <c r="F86" s="61" t="n">
        <f aca="false">IF(LEN(A86&amp;"")=0,"",IF(Base!I86="-",0,Base!I86))</f>
        <v>0</v>
      </c>
      <c r="G86" s="61" t="n">
        <f aca="false">IF(LEN(A86&amp;"")=0,"",SUM(Base!F86,F86,Base!K86))</f>
        <v>30</v>
      </c>
      <c r="H86" s="61" t="n">
        <f aca="false">IF(LEN(A86&amp;"")=0,"",Base!L86)</f>
        <v>15</v>
      </c>
      <c r="I86" s="61" t="n">
        <f aca="false">IF(LEN(A86&amp;"")=0,"",G86-H86)</f>
        <v>15</v>
      </c>
      <c r="J86" s="61" t="n">
        <f aca="false">IF(LEN(A86&amp;"")=0,"",Base!M86)</f>
        <v>15</v>
      </c>
      <c r="K86" s="1" t="n">
        <f aca="false">IF(OR(LEN(A86&amp;"")=0,$P$3=0),0,IF(AND(B86&gt;=Painel!$B$8,B86&lt;=Painel!$G$8,OR(Painel!$L$8="Todos",C86=Painel!$L$8),OR(Painel!$Q$8="Todos",D86=Painel!$Q$8),OR(Painel!$V$8="Todas",E86=Painel!$V$8)),1,0))</f>
        <v>1</v>
      </c>
      <c r="L86" s="61" t="n">
        <f aca="false">IF(LEN(A86&amp;"")=0,"",J86-I86)</f>
        <v>0</v>
      </c>
      <c r="M86" s="1" t="n">
        <f aca="false">IF(LEN(A86&amp;"")=0,0,IF(COUNTIFS(Base!$A$7:$A$1006,A86)&gt;1,1,0))</f>
        <v>0</v>
      </c>
      <c r="N86" s="1" t="n">
        <f aca="false">IF(LEN(A86&amp;"")=0,0,IF(ABS(L86)&gt;0.005,1,0))</f>
        <v>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customFormat="false" ht="23" hidden="false" customHeight="true" outlineLevel="0" collapsed="false">
      <c r="A87" s="1" t="n">
        <f aca="false">IF(LEN(Base!A87&amp;"")=0,"",Base!A87)</f>
        <v>3311</v>
      </c>
      <c r="B87" s="60" t="n">
        <f aca="false">IF(LEN(A87&amp;"")=0,"",Base!D87)</f>
        <v>45428</v>
      </c>
      <c r="C87" s="1" t="str">
        <f aca="false">IF(LEN(A87&amp;"")=0,"",Base!C87)</f>
        <v>Core</v>
      </c>
      <c r="D87" s="1" t="str">
        <f aca="false">IF(LEN(A87&amp;"")=0,"",Base!G87)</f>
        <v>Monthly</v>
      </c>
      <c r="E87" s="1" t="str">
        <f aca="false">IF(LEN(A87&amp;"")=0,"",Base!E87)</f>
        <v>Yes</v>
      </c>
      <c r="F87" s="61" t="n">
        <f aca="false">IF(LEN(A87&amp;"")=0,"",IF(Base!I87="-",0,Base!I87))</f>
        <v>0</v>
      </c>
      <c r="G87" s="61" t="n">
        <f aca="false">IF(LEN(A87&amp;"")=0,"",SUM(Base!F87,F87,Base!K87))</f>
        <v>5</v>
      </c>
      <c r="H87" s="61" t="n">
        <f aca="false">IF(LEN(A87&amp;"")=0,"",Base!L87)</f>
        <v>1</v>
      </c>
      <c r="I87" s="61" t="n">
        <f aca="false">IF(LEN(A87&amp;"")=0,"",G87-H87)</f>
        <v>4</v>
      </c>
      <c r="J87" s="61" t="n">
        <f aca="false">IF(LEN(A87&amp;"")=0,"",Base!M87)</f>
        <v>4</v>
      </c>
      <c r="K87" s="1" t="n">
        <f aca="false">IF(OR(LEN(A87&amp;"")=0,$P$3=0),0,IF(AND(B87&gt;=Painel!$B$8,B87&lt;=Painel!$G$8,OR(Painel!$L$8="Todos",C87=Painel!$L$8),OR(Painel!$Q$8="Todos",D87=Painel!$Q$8),OR(Painel!$V$8="Todas",E87=Painel!$V$8)),1,0))</f>
        <v>1</v>
      </c>
      <c r="L87" s="61" t="n">
        <f aca="false">IF(LEN(A87&amp;"")=0,"",J87-I87)</f>
        <v>0</v>
      </c>
      <c r="M87" s="1" t="n">
        <f aca="false">IF(LEN(A87&amp;"")=0,0,IF(COUNTIFS(Base!$A$7:$A$1006,A87)&gt;1,1,0))</f>
        <v>0</v>
      </c>
      <c r="N87" s="1" t="n">
        <f aca="false">IF(LEN(A87&amp;"")=0,0,IF(ABS(L87)&gt;0.005,1,0))</f>
        <v>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customFormat="false" ht="23" hidden="false" customHeight="true" outlineLevel="0" collapsed="false">
      <c r="A88" s="1" t="n">
        <f aca="false">IF(LEN(Base!A88&amp;"")=0,"",Base!A88)</f>
        <v>3312</v>
      </c>
      <c r="B88" s="60" t="n">
        <f aca="false">IF(LEN(A88&amp;"")=0,"",Base!D88)</f>
        <v>45429</v>
      </c>
      <c r="C88" s="1" t="str">
        <f aca="false">IF(LEN(A88&amp;"")=0,"",Base!C88)</f>
        <v>Ultimate</v>
      </c>
      <c r="D88" s="1" t="str">
        <f aca="false">IF(LEN(A88&amp;"")=0,"",Base!G88)</f>
        <v>Quarterly</v>
      </c>
      <c r="E88" s="1" t="str">
        <f aca="false">IF(LEN(A88&amp;"")=0,"",Base!E88)</f>
        <v>No</v>
      </c>
      <c r="F88" s="61" t="n">
        <f aca="false">IF(LEN(A88&amp;"")=0,"",IF(Base!I88="-",0,Base!I88))</f>
        <v>30</v>
      </c>
      <c r="G88" s="61" t="n">
        <f aca="false">IF(LEN(A88&amp;"")=0,"",SUM(Base!F88,F88,Base!K88))</f>
        <v>65</v>
      </c>
      <c r="H88" s="61" t="n">
        <f aca="false">IF(LEN(A88&amp;"")=0,"",Base!L88)</f>
        <v>7</v>
      </c>
      <c r="I88" s="61" t="n">
        <f aca="false">IF(LEN(A88&amp;"")=0,"",G88-H88)</f>
        <v>58</v>
      </c>
      <c r="J88" s="61" t="n">
        <f aca="false">IF(LEN(A88&amp;"")=0,"",Base!M88)</f>
        <v>58</v>
      </c>
      <c r="K88" s="1" t="n">
        <f aca="false">IF(OR(LEN(A88&amp;"")=0,$P$3=0),0,IF(AND(B88&gt;=Painel!$B$8,B88&lt;=Painel!$G$8,OR(Painel!$L$8="Todos",C88=Painel!$L$8),OR(Painel!$Q$8="Todos",D88=Painel!$Q$8),OR(Painel!$V$8="Todas",E88=Painel!$V$8)),1,0))</f>
        <v>1</v>
      </c>
      <c r="L88" s="61" t="n">
        <f aca="false">IF(LEN(A88&amp;"")=0,"",J88-I88)</f>
        <v>0</v>
      </c>
      <c r="M88" s="1" t="n">
        <f aca="false">IF(LEN(A88&amp;"")=0,0,IF(COUNTIFS(Base!$A$7:$A$1006,A88)&gt;1,1,0))</f>
        <v>0</v>
      </c>
      <c r="N88" s="1" t="n">
        <f aca="false">IF(LEN(A88&amp;"")=0,0,IF(ABS(L88)&gt;0.005,1,0))</f>
        <v>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customFormat="false" ht="23" hidden="false" customHeight="true" outlineLevel="0" collapsed="false">
      <c r="A89" s="1" t="n">
        <f aca="false">IF(LEN(Base!A89&amp;"")=0,"",Base!A89)</f>
        <v>3313</v>
      </c>
      <c r="B89" s="60" t="n">
        <f aca="false">IF(LEN(A89&amp;"")=0,"",Base!D89)</f>
        <v>45430</v>
      </c>
      <c r="C89" s="1" t="str">
        <f aca="false">IF(LEN(A89&amp;"")=0,"",Base!C89)</f>
        <v>Standard</v>
      </c>
      <c r="D89" s="1" t="str">
        <f aca="false">IF(LEN(A89&amp;"")=0,"",Base!G89)</f>
        <v>Monthly</v>
      </c>
      <c r="E89" s="1" t="str">
        <f aca="false">IF(LEN(A89&amp;"")=0,"",Base!E89)</f>
        <v>Yes</v>
      </c>
      <c r="F89" s="61" t="n">
        <f aca="false">IF(LEN(A89&amp;"")=0,"",IF(Base!I89="-",0,Base!I89))</f>
        <v>0</v>
      </c>
      <c r="G89" s="61" t="n">
        <f aca="false">IF(LEN(A89&amp;"")=0,"",SUM(Base!F89,F89,Base!K89))</f>
        <v>30</v>
      </c>
      <c r="H89" s="61" t="n">
        <f aca="false">IF(LEN(A89&amp;"")=0,"",Base!L89)</f>
        <v>10</v>
      </c>
      <c r="I89" s="61" t="n">
        <f aca="false">IF(LEN(A89&amp;"")=0,"",G89-H89)</f>
        <v>20</v>
      </c>
      <c r="J89" s="61" t="n">
        <f aca="false">IF(LEN(A89&amp;"")=0,"",Base!M89)</f>
        <v>20</v>
      </c>
      <c r="K89" s="1" t="n">
        <f aca="false">IF(OR(LEN(A89&amp;"")=0,$P$3=0),0,IF(AND(B89&gt;=Painel!$B$8,B89&lt;=Painel!$G$8,OR(Painel!$L$8="Todos",C89=Painel!$L$8),OR(Painel!$Q$8="Todos",D89=Painel!$Q$8),OR(Painel!$V$8="Todas",E89=Painel!$V$8)),1,0))</f>
        <v>1</v>
      </c>
      <c r="L89" s="61" t="n">
        <f aca="false">IF(LEN(A89&amp;"")=0,"",J89-I89)</f>
        <v>0</v>
      </c>
      <c r="M89" s="1" t="n">
        <f aca="false">IF(LEN(A89&amp;"")=0,0,IF(COUNTIFS(Base!$A$7:$A$1006,A89)&gt;1,1,0))</f>
        <v>0</v>
      </c>
      <c r="N89" s="1" t="n">
        <f aca="false">IF(LEN(A89&amp;"")=0,0,IF(ABS(L89)&gt;0.005,1,0))</f>
        <v>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customFormat="false" ht="23" hidden="false" customHeight="true" outlineLevel="0" collapsed="false">
      <c r="A90" s="1" t="n">
        <f aca="false">IF(LEN(Base!A90&amp;"")=0,"",Base!A90)</f>
        <v>3314</v>
      </c>
      <c r="B90" s="60" t="n">
        <f aca="false">IF(LEN(A90&amp;"")=0,"",Base!D90)</f>
        <v>45431</v>
      </c>
      <c r="C90" s="1" t="str">
        <f aca="false">IF(LEN(A90&amp;"")=0,"",Base!C90)</f>
        <v>Core</v>
      </c>
      <c r="D90" s="1" t="str">
        <f aca="false">IF(LEN(A90&amp;"")=0,"",Base!G90)</f>
        <v>Annual</v>
      </c>
      <c r="E90" s="1" t="str">
        <f aca="false">IF(LEN(A90&amp;"")=0,"",Base!E90)</f>
        <v>No</v>
      </c>
      <c r="F90" s="61" t="n">
        <f aca="false">IF(LEN(A90&amp;"")=0,"",IF(Base!I90="-",0,Base!I90))</f>
        <v>0</v>
      </c>
      <c r="G90" s="61" t="n">
        <f aca="false">IF(LEN(A90&amp;"")=0,"",SUM(Base!F90,F90,Base!K90))</f>
        <v>5</v>
      </c>
      <c r="H90" s="61" t="n">
        <f aca="false">IF(LEN(A90&amp;"")=0,"",Base!L90)</f>
        <v>0</v>
      </c>
      <c r="I90" s="61" t="n">
        <f aca="false">IF(LEN(A90&amp;"")=0,"",G90-H90)</f>
        <v>5</v>
      </c>
      <c r="J90" s="61" t="n">
        <f aca="false">IF(LEN(A90&amp;"")=0,"",Base!M90)</f>
        <v>5</v>
      </c>
      <c r="K90" s="1" t="n">
        <f aca="false">IF(OR(LEN(A90&amp;"")=0,$P$3=0),0,IF(AND(B90&gt;=Painel!$B$8,B90&lt;=Painel!$G$8,OR(Painel!$L$8="Todos",C90=Painel!$L$8),OR(Painel!$Q$8="Todos",D90=Painel!$Q$8),OR(Painel!$V$8="Todas",E90=Painel!$V$8)),1,0))</f>
        <v>1</v>
      </c>
      <c r="L90" s="61" t="n">
        <f aca="false">IF(LEN(A90&amp;"")=0,"",J90-I90)</f>
        <v>0</v>
      </c>
      <c r="M90" s="1" t="n">
        <f aca="false">IF(LEN(A90&amp;"")=0,0,IF(COUNTIFS(Base!$A$7:$A$1006,A90)&gt;1,1,0))</f>
        <v>0</v>
      </c>
      <c r="N90" s="1" t="n">
        <f aca="false">IF(LEN(A90&amp;"")=0,0,IF(ABS(L90)&gt;0.005,1,0))</f>
        <v>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customFormat="false" ht="23" hidden="false" customHeight="true" outlineLevel="0" collapsed="false">
      <c r="A91" s="1" t="n">
        <f aca="false">IF(LEN(Base!A91&amp;"")=0,"",Base!A91)</f>
        <v>3315</v>
      </c>
      <c r="B91" s="60" t="n">
        <f aca="false">IF(LEN(A91&amp;"")=0,"",Base!D91)</f>
        <v>45432</v>
      </c>
      <c r="C91" s="1" t="str">
        <f aca="false">IF(LEN(A91&amp;"")=0,"",Base!C91)</f>
        <v>Ultimate</v>
      </c>
      <c r="D91" s="1" t="str">
        <f aca="false">IF(LEN(A91&amp;"")=0,"",Base!G91)</f>
        <v>Monthly</v>
      </c>
      <c r="E91" s="1" t="str">
        <f aca="false">IF(LEN(A91&amp;"")=0,"",Base!E91)</f>
        <v>Yes</v>
      </c>
      <c r="F91" s="61" t="n">
        <f aca="false">IF(LEN(A91&amp;"")=0,"",IF(Base!I91="-",0,Base!I91))</f>
        <v>30</v>
      </c>
      <c r="G91" s="61" t="n">
        <f aca="false">IF(LEN(A91&amp;"")=0,"",SUM(Base!F91,F91,Base!K91))</f>
        <v>65</v>
      </c>
      <c r="H91" s="61" t="n">
        <f aca="false">IF(LEN(A91&amp;"")=0,"",Base!L91)</f>
        <v>20</v>
      </c>
      <c r="I91" s="61" t="n">
        <f aca="false">IF(LEN(A91&amp;"")=0,"",G91-H91)</f>
        <v>45</v>
      </c>
      <c r="J91" s="61" t="n">
        <f aca="false">IF(LEN(A91&amp;"")=0,"",Base!M91)</f>
        <v>45</v>
      </c>
      <c r="K91" s="1" t="n">
        <f aca="false">IF(OR(LEN(A91&amp;"")=0,$P$3=0),0,IF(AND(B91&gt;=Painel!$B$8,B91&lt;=Painel!$G$8,OR(Painel!$L$8="Todos",C91=Painel!$L$8),OR(Painel!$Q$8="Todos",D91=Painel!$Q$8),OR(Painel!$V$8="Todas",E91=Painel!$V$8)),1,0))</f>
        <v>1</v>
      </c>
      <c r="L91" s="61" t="n">
        <f aca="false">IF(LEN(A91&amp;"")=0,"",J91-I91)</f>
        <v>0</v>
      </c>
      <c r="M91" s="1" t="n">
        <f aca="false">IF(LEN(A91&amp;"")=0,0,IF(COUNTIFS(Base!$A$7:$A$1006,A91)&gt;1,1,0))</f>
        <v>0</v>
      </c>
      <c r="N91" s="1" t="n">
        <f aca="false">IF(LEN(A91&amp;"")=0,0,IF(ABS(L91)&gt;0.005,1,0))</f>
        <v>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customFormat="false" ht="23" hidden="false" customHeight="true" outlineLevel="0" collapsed="false">
      <c r="A92" s="1" t="n">
        <f aca="false">IF(LEN(Base!A92&amp;"")=0,"",Base!A92)</f>
        <v>3316</v>
      </c>
      <c r="B92" s="60" t="n">
        <f aca="false">IF(LEN(A92&amp;"")=0,"",Base!D92)</f>
        <v>45433</v>
      </c>
      <c r="C92" s="1" t="str">
        <f aca="false">IF(LEN(A92&amp;"")=0,"",Base!C92)</f>
        <v>Standard</v>
      </c>
      <c r="D92" s="1" t="str">
        <f aca="false">IF(LEN(A92&amp;"")=0,"",Base!G92)</f>
        <v>Quarterly</v>
      </c>
      <c r="E92" s="1" t="str">
        <f aca="false">IF(LEN(A92&amp;"")=0,"",Base!E92)</f>
        <v>No</v>
      </c>
      <c r="F92" s="61" t="n">
        <f aca="false">IF(LEN(A92&amp;"")=0,"",IF(Base!I92="-",0,Base!I92))</f>
        <v>0</v>
      </c>
      <c r="G92" s="61" t="n">
        <f aca="false">IF(LEN(A92&amp;"")=0,"",SUM(Base!F92,F92,Base!K92))</f>
        <v>30</v>
      </c>
      <c r="H92" s="61" t="n">
        <f aca="false">IF(LEN(A92&amp;"")=0,"",Base!L92)</f>
        <v>15</v>
      </c>
      <c r="I92" s="61" t="n">
        <f aca="false">IF(LEN(A92&amp;"")=0,"",G92-H92)</f>
        <v>15</v>
      </c>
      <c r="J92" s="61" t="n">
        <f aca="false">IF(LEN(A92&amp;"")=0,"",Base!M92)</f>
        <v>15</v>
      </c>
      <c r="K92" s="1" t="n">
        <f aca="false">IF(OR(LEN(A92&amp;"")=0,$P$3=0),0,IF(AND(B92&gt;=Painel!$B$8,B92&lt;=Painel!$G$8,OR(Painel!$L$8="Todos",C92=Painel!$L$8),OR(Painel!$Q$8="Todos",D92=Painel!$Q$8),OR(Painel!$V$8="Todas",E92=Painel!$V$8)),1,0))</f>
        <v>1</v>
      </c>
      <c r="L92" s="61" t="n">
        <f aca="false">IF(LEN(A92&amp;"")=0,"",J92-I92)</f>
        <v>0</v>
      </c>
      <c r="M92" s="1" t="n">
        <f aca="false">IF(LEN(A92&amp;"")=0,0,IF(COUNTIFS(Base!$A$7:$A$1006,A92)&gt;1,1,0))</f>
        <v>0</v>
      </c>
      <c r="N92" s="1" t="n">
        <f aca="false">IF(LEN(A92&amp;"")=0,0,IF(ABS(L92)&gt;0.005,1,0))</f>
        <v>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customFormat="false" ht="23" hidden="false" customHeight="true" outlineLevel="0" collapsed="false">
      <c r="A93" s="1" t="n">
        <f aca="false">IF(LEN(Base!A93&amp;"")=0,"",Base!A93)</f>
        <v>3317</v>
      </c>
      <c r="B93" s="60" t="n">
        <f aca="false">IF(LEN(A93&amp;"")=0,"",Base!D93)</f>
        <v>45434</v>
      </c>
      <c r="C93" s="1" t="str">
        <f aca="false">IF(LEN(A93&amp;"")=0,"",Base!C93)</f>
        <v>Core</v>
      </c>
      <c r="D93" s="1" t="str">
        <f aca="false">IF(LEN(A93&amp;"")=0,"",Base!G93)</f>
        <v>Monthly</v>
      </c>
      <c r="E93" s="1" t="str">
        <f aca="false">IF(LEN(A93&amp;"")=0,"",Base!E93)</f>
        <v>Yes</v>
      </c>
      <c r="F93" s="61" t="n">
        <f aca="false">IF(LEN(A93&amp;"")=0,"",IF(Base!I93="-",0,Base!I93))</f>
        <v>0</v>
      </c>
      <c r="G93" s="61" t="n">
        <f aca="false">IF(LEN(A93&amp;"")=0,"",SUM(Base!F93,F93,Base!K93))</f>
        <v>5</v>
      </c>
      <c r="H93" s="61" t="n">
        <f aca="false">IF(LEN(A93&amp;"")=0,"",Base!L93)</f>
        <v>1</v>
      </c>
      <c r="I93" s="61" t="n">
        <f aca="false">IF(LEN(A93&amp;"")=0,"",G93-H93)</f>
        <v>4</v>
      </c>
      <c r="J93" s="61" t="n">
        <f aca="false">IF(LEN(A93&amp;"")=0,"",Base!M93)</f>
        <v>4</v>
      </c>
      <c r="K93" s="1" t="n">
        <f aca="false">IF(OR(LEN(A93&amp;"")=0,$P$3=0),0,IF(AND(B93&gt;=Painel!$B$8,B93&lt;=Painel!$G$8,OR(Painel!$L$8="Todos",C93=Painel!$L$8),OR(Painel!$Q$8="Todos",D93=Painel!$Q$8),OR(Painel!$V$8="Todas",E93=Painel!$V$8)),1,0))</f>
        <v>1</v>
      </c>
      <c r="L93" s="61" t="n">
        <f aca="false">IF(LEN(A93&amp;"")=0,"",J93-I93)</f>
        <v>0</v>
      </c>
      <c r="M93" s="1" t="n">
        <f aca="false">IF(LEN(A93&amp;"")=0,0,IF(COUNTIFS(Base!$A$7:$A$1006,A93)&gt;1,1,0))</f>
        <v>0</v>
      </c>
      <c r="N93" s="1" t="n">
        <f aca="false">IF(LEN(A93&amp;"")=0,0,IF(ABS(L93)&gt;0.005,1,0))</f>
        <v>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customFormat="false" ht="23" hidden="false" customHeight="true" outlineLevel="0" collapsed="false">
      <c r="A94" s="1" t="n">
        <f aca="false">IF(LEN(Base!A94&amp;"")=0,"",Base!A94)</f>
        <v>3318</v>
      </c>
      <c r="B94" s="60" t="n">
        <f aca="false">IF(LEN(A94&amp;"")=0,"",Base!D94)</f>
        <v>45435</v>
      </c>
      <c r="C94" s="1" t="str">
        <f aca="false">IF(LEN(A94&amp;"")=0,"",Base!C94)</f>
        <v>Ultimate</v>
      </c>
      <c r="D94" s="1" t="str">
        <f aca="false">IF(LEN(A94&amp;"")=0,"",Base!G94)</f>
        <v>Annual</v>
      </c>
      <c r="E94" s="1" t="str">
        <f aca="false">IF(LEN(A94&amp;"")=0,"",Base!E94)</f>
        <v>No</v>
      </c>
      <c r="F94" s="61" t="n">
        <f aca="false">IF(LEN(A94&amp;"")=0,"",IF(Base!I94="-",0,Base!I94))</f>
        <v>30</v>
      </c>
      <c r="G94" s="61" t="n">
        <f aca="false">IF(LEN(A94&amp;"")=0,"",SUM(Base!F94,F94,Base!K94))</f>
        <v>65</v>
      </c>
      <c r="H94" s="61" t="n">
        <f aca="false">IF(LEN(A94&amp;"")=0,"",Base!L94)</f>
        <v>3</v>
      </c>
      <c r="I94" s="61" t="n">
        <f aca="false">IF(LEN(A94&amp;"")=0,"",G94-H94)</f>
        <v>62</v>
      </c>
      <c r="J94" s="61" t="n">
        <f aca="false">IF(LEN(A94&amp;"")=0,"",Base!M94)</f>
        <v>62</v>
      </c>
      <c r="K94" s="1" t="n">
        <f aca="false">IF(OR(LEN(A94&amp;"")=0,$P$3=0),0,IF(AND(B94&gt;=Painel!$B$8,B94&lt;=Painel!$G$8,OR(Painel!$L$8="Todos",C94=Painel!$L$8),OR(Painel!$Q$8="Todos",D94=Painel!$Q$8),OR(Painel!$V$8="Todas",E94=Painel!$V$8)),1,0))</f>
        <v>1</v>
      </c>
      <c r="L94" s="61" t="n">
        <f aca="false">IF(LEN(A94&amp;"")=0,"",J94-I94)</f>
        <v>0</v>
      </c>
      <c r="M94" s="1" t="n">
        <f aca="false">IF(LEN(A94&amp;"")=0,0,IF(COUNTIFS(Base!$A$7:$A$1006,A94)&gt;1,1,0))</f>
        <v>0</v>
      </c>
      <c r="N94" s="1" t="n">
        <f aca="false">IF(LEN(A94&amp;"")=0,0,IF(ABS(L94)&gt;0.005,1,0))</f>
        <v>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customFormat="false" ht="23" hidden="false" customHeight="true" outlineLevel="0" collapsed="false">
      <c r="A95" s="1" t="n">
        <f aca="false">IF(LEN(Base!A95&amp;"")=0,"",Base!A95)</f>
        <v>3319</v>
      </c>
      <c r="B95" s="60" t="n">
        <f aca="false">IF(LEN(A95&amp;"")=0,"",Base!D95)</f>
        <v>45436</v>
      </c>
      <c r="C95" s="1" t="str">
        <f aca="false">IF(LEN(A95&amp;"")=0,"",Base!C95)</f>
        <v>Standard</v>
      </c>
      <c r="D95" s="1" t="str">
        <f aca="false">IF(LEN(A95&amp;"")=0,"",Base!G95)</f>
        <v>Monthly</v>
      </c>
      <c r="E95" s="1" t="str">
        <f aca="false">IF(LEN(A95&amp;"")=0,"",Base!E95)</f>
        <v>Yes</v>
      </c>
      <c r="F95" s="61" t="n">
        <f aca="false">IF(LEN(A95&amp;"")=0,"",IF(Base!I95="-",0,Base!I95))</f>
        <v>0</v>
      </c>
      <c r="G95" s="61" t="n">
        <f aca="false">IF(LEN(A95&amp;"")=0,"",SUM(Base!F95,F95,Base!K95))</f>
        <v>30</v>
      </c>
      <c r="H95" s="61" t="n">
        <f aca="false">IF(LEN(A95&amp;"")=0,"",Base!L95)</f>
        <v>10</v>
      </c>
      <c r="I95" s="61" t="n">
        <f aca="false">IF(LEN(A95&amp;"")=0,"",G95-H95)</f>
        <v>20</v>
      </c>
      <c r="J95" s="61" t="n">
        <f aca="false">IF(LEN(A95&amp;"")=0,"",Base!M95)</f>
        <v>20</v>
      </c>
      <c r="K95" s="1" t="n">
        <f aca="false">IF(OR(LEN(A95&amp;"")=0,$P$3=0),0,IF(AND(B95&gt;=Painel!$B$8,B95&lt;=Painel!$G$8,OR(Painel!$L$8="Todos",C95=Painel!$L$8),OR(Painel!$Q$8="Todos",D95=Painel!$Q$8),OR(Painel!$V$8="Todas",E95=Painel!$V$8)),1,0))</f>
        <v>1</v>
      </c>
      <c r="L95" s="61" t="n">
        <f aca="false">IF(LEN(A95&amp;"")=0,"",J95-I95)</f>
        <v>0</v>
      </c>
      <c r="M95" s="1" t="n">
        <f aca="false">IF(LEN(A95&amp;"")=0,0,IF(COUNTIFS(Base!$A$7:$A$1006,A95)&gt;1,1,0))</f>
        <v>0</v>
      </c>
      <c r="N95" s="1" t="n">
        <f aca="false">IF(LEN(A95&amp;"")=0,0,IF(ABS(L95)&gt;0.005,1,0))</f>
        <v>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23" hidden="false" customHeight="true" outlineLevel="0" collapsed="false">
      <c r="A96" s="1" t="n">
        <f aca="false">IF(LEN(Base!A96&amp;"")=0,"",Base!A96)</f>
        <v>3320</v>
      </c>
      <c r="B96" s="60" t="n">
        <f aca="false">IF(LEN(A96&amp;"")=0,"",Base!D96)</f>
        <v>45437</v>
      </c>
      <c r="C96" s="1" t="str">
        <f aca="false">IF(LEN(A96&amp;"")=0,"",Base!C96)</f>
        <v>Core</v>
      </c>
      <c r="D96" s="1" t="str">
        <f aca="false">IF(LEN(A96&amp;"")=0,"",Base!G96)</f>
        <v>Quarterly</v>
      </c>
      <c r="E96" s="1" t="str">
        <f aca="false">IF(LEN(A96&amp;"")=0,"",Base!E96)</f>
        <v>No</v>
      </c>
      <c r="F96" s="61" t="n">
        <f aca="false">IF(LEN(A96&amp;"")=0,"",IF(Base!I96="-",0,Base!I96))</f>
        <v>0</v>
      </c>
      <c r="G96" s="61" t="n">
        <f aca="false">IF(LEN(A96&amp;"")=0,"",SUM(Base!F96,F96,Base!K96))</f>
        <v>5</v>
      </c>
      <c r="H96" s="61" t="n">
        <f aca="false">IF(LEN(A96&amp;"")=0,"",Base!L96)</f>
        <v>0</v>
      </c>
      <c r="I96" s="61" t="n">
        <f aca="false">IF(LEN(A96&amp;"")=0,"",G96-H96)</f>
        <v>5</v>
      </c>
      <c r="J96" s="61" t="n">
        <f aca="false">IF(LEN(A96&amp;"")=0,"",Base!M96)</f>
        <v>5</v>
      </c>
      <c r="K96" s="1" t="n">
        <f aca="false">IF(OR(LEN(A96&amp;"")=0,$P$3=0),0,IF(AND(B96&gt;=Painel!$B$8,B96&lt;=Painel!$G$8,OR(Painel!$L$8="Todos",C96=Painel!$L$8),OR(Painel!$Q$8="Todos",D96=Painel!$Q$8),OR(Painel!$V$8="Todas",E96=Painel!$V$8)),1,0))</f>
        <v>1</v>
      </c>
      <c r="L96" s="61" t="n">
        <f aca="false">IF(LEN(A96&amp;"")=0,"",J96-I96)</f>
        <v>0</v>
      </c>
      <c r="M96" s="1" t="n">
        <f aca="false">IF(LEN(A96&amp;"")=0,0,IF(COUNTIFS(Base!$A$7:$A$1006,A96)&gt;1,1,0))</f>
        <v>0</v>
      </c>
      <c r="N96" s="1" t="n">
        <f aca="false">IF(LEN(A96&amp;"")=0,0,IF(ABS(L96)&gt;0.005,1,0))</f>
        <v>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23" hidden="false" customHeight="true" outlineLevel="0" collapsed="false">
      <c r="A97" s="1" t="n">
        <f aca="false">IF(LEN(Base!A97&amp;"")=0,"",Base!A97)</f>
        <v>3321</v>
      </c>
      <c r="B97" s="60" t="n">
        <f aca="false">IF(LEN(A97&amp;"")=0,"",Base!D97)</f>
        <v>45438</v>
      </c>
      <c r="C97" s="1" t="str">
        <f aca="false">IF(LEN(A97&amp;"")=0,"",Base!C97)</f>
        <v>Ultimate</v>
      </c>
      <c r="D97" s="1" t="str">
        <f aca="false">IF(LEN(A97&amp;"")=0,"",Base!G97)</f>
        <v>Monthly</v>
      </c>
      <c r="E97" s="1" t="str">
        <f aca="false">IF(LEN(A97&amp;"")=0,"",Base!E97)</f>
        <v>Yes</v>
      </c>
      <c r="F97" s="61" t="n">
        <f aca="false">IF(LEN(A97&amp;"")=0,"",IF(Base!I97="-",0,Base!I97))</f>
        <v>30</v>
      </c>
      <c r="G97" s="61" t="n">
        <f aca="false">IF(LEN(A97&amp;"")=0,"",SUM(Base!F97,F97,Base!K97))</f>
        <v>65</v>
      </c>
      <c r="H97" s="61" t="n">
        <f aca="false">IF(LEN(A97&amp;"")=0,"",Base!L97)</f>
        <v>5</v>
      </c>
      <c r="I97" s="61" t="n">
        <f aca="false">IF(LEN(A97&amp;"")=0,"",G97-H97)</f>
        <v>60</v>
      </c>
      <c r="J97" s="61" t="n">
        <f aca="false">IF(LEN(A97&amp;"")=0,"",Base!M97)</f>
        <v>60</v>
      </c>
      <c r="K97" s="1" t="n">
        <f aca="false">IF(OR(LEN(A97&amp;"")=0,$P$3=0),0,IF(AND(B97&gt;=Painel!$B$8,B97&lt;=Painel!$G$8,OR(Painel!$L$8="Todos",C97=Painel!$L$8),OR(Painel!$Q$8="Todos",D97=Painel!$Q$8),OR(Painel!$V$8="Todas",E97=Painel!$V$8)),1,0))</f>
        <v>1</v>
      </c>
      <c r="L97" s="61" t="n">
        <f aca="false">IF(LEN(A97&amp;"")=0,"",J97-I97)</f>
        <v>0</v>
      </c>
      <c r="M97" s="1" t="n">
        <f aca="false">IF(LEN(A97&amp;"")=0,0,IF(COUNTIFS(Base!$A$7:$A$1006,A97)&gt;1,1,0))</f>
        <v>0</v>
      </c>
      <c r="N97" s="1" t="n">
        <f aca="false">IF(LEN(A97&amp;"")=0,0,IF(ABS(L97)&gt;0.005,1,0))</f>
        <v>0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23" hidden="false" customHeight="true" outlineLevel="0" collapsed="false">
      <c r="A98" s="1" t="n">
        <f aca="false">IF(LEN(Base!A98&amp;"")=0,"",Base!A98)</f>
        <v>3322</v>
      </c>
      <c r="B98" s="60" t="n">
        <f aca="false">IF(LEN(A98&amp;"")=0,"",Base!D98)</f>
        <v>45439</v>
      </c>
      <c r="C98" s="1" t="str">
        <f aca="false">IF(LEN(A98&amp;"")=0,"",Base!C98)</f>
        <v>Standard</v>
      </c>
      <c r="D98" s="1" t="str">
        <f aca="false">IF(LEN(A98&amp;"")=0,"",Base!G98)</f>
        <v>Annual</v>
      </c>
      <c r="E98" s="1" t="str">
        <f aca="false">IF(LEN(A98&amp;"")=0,"",Base!E98)</f>
        <v>No</v>
      </c>
      <c r="F98" s="61" t="n">
        <f aca="false">IF(LEN(A98&amp;"")=0,"",IF(Base!I98="-",0,Base!I98))</f>
        <v>0</v>
      </c>
      <c r="G98" s="61" t="n">
        <f aca="false">IF(LEN(A98&amp;"")=0,"",SUM(Base!F98,F98,Base!K98))</f>
        <v>30</v>
      </c>
      <c r="H98" s="61" t="n">
        <f aca="false">IF(LEN(A98&amp;"")=0,"",Base!L98)</f>
        <v>15</v>
      </c>
      <c r="I98" s="61" t="n">
        <f aca="false">IF(LEN(A98&amp;"")=0,"",G98-H98)</f>
        <v>15</v>
      </c>
      <c r="J98" s="61" t="n">
        <f aca="false">IF(LEN(A98&amp;"")=0,"",Base!M98)</f>
        <v>15</v>
      </c>
      <c r="K98" s="1" t="n">
        <f aca="false">IF(OR(LEN(A98&amp;"")=0,$P$3=0),0,IF(AND(B98&gt;=Painel!$B$8,B98&lt;=Painel!$G$8,OR(Painel!$L$8="Todos",C98=Painel!$L$8),OR(Painel!$Q$8="Todos",D98=Painel!$Q$8),OR(Painel!$V$8="Todas",E98=Painel!$V$8)),1,0))</f>
        <v>1</v>
      </c>
      <c r="L98" s="61" t="n">
        <f aca="false">IF(LEN(A98&amp;"")=0,"",J98-I98)</f>
        <v>0</v>
      </c>
      <c r="M98" s="1" t="n">
        <f aca="false">IF(LEN(A98&amp;"")=0,0,IF(COUNTIFS(Base!$A$7:$A$1006,A98)&gt;1,1,0))</f>
        <v>0</v>
      </c>
      <c r="N98" s="1" t="n">
        <f aca="false">IF(LEN(A98&amp;"")=0,0,IF(ABS(L98)&gt;0.005,1,0))</f>
        <v>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23" hidden="false" customHeight="true" outlineLevel="0" collapsed="false">
      <c r="A99" s="1" t="n">
        <f aca="false">IF(LEN(Base!A99&amp;"")=0,"",Base!A99)</f>
        <v>3323</v>
      </c>
      <c r="B99" s="60" t="n">
        <f aca="false">IF(LEN(A99&amp;"")=0,"",Base!D99)</f>
        <v>45440</v>
      </c>
      <c r="C99" s="1" t="str">
        <f aca="false">IF(LEN(A99&amp;"")=0,"",Base!C99)</f>
        <v>Core</v>
      </c>
      <c r="D99" s="1" t="str">
        <f aca="false">IF(LEN(A99&amp;"")=0,"",Base!G99)</f>
        <v>Monthly</v>
      </c>
      <c r="E99" s="1" t="str">
        <f aca="false">IF(LEN(A99&amp;"")=0,"",Base!E99)</f>
        <v>Yes</v>
      </c>
      <c r="F99" s="61" t="n">
        <f aca="false">IF(LEN(A99&amp;"")=0,"",IF(Base!I99="-",0,Base!I99))</f>
        <v>0</v>
      </c>
      <c r="G99" s="61" t="n">
        <f aca="false">IF(LEN(A99&amp;"")=0,"",SUM(Base!F99,F99,Base!K99))</f>
        <v>5</v>
      </c>
      <c r="H99" s="61" t="n">
        <f aca="false">IF(LEN(A99&amp;"")=0,"",Base!L99)</f>
        <v>1</v>
      </c>
      <c r="I99" s="61" t="n">
        <f aca="false">IF(LEN(A99&amp;"")=0,"",G99-H99)</f>
        <v>4</v>
      </c>
      <c r="J99" s="61" t="n">
        <f aca="false">IF(LEN(A99&amp;"")=0,"",Base!M99)</f>
        <v>4</v>
      </c>
      <c r="K99" s="1" t="n">
        <f aca="false">IF(OR(LEN(A99&amp;"")=0,$P$3=0),0,IF(AND(B99&gt;=Painel!$B$8,B99&lt;=Painel!$G$8,OR(Painel!$L$8="Todos",C99=Painel!$L$8),OR(Painel!$Q$8="Todos",D99=Painel!$Q$8),OR(Painel!$V$8="Todas",E99=Painel!$V$8)),1,0))</f>
        <v>1</v>
      </c>
      <c r="L99" s="61" t="n">
        <f aca="false">IF(LEN(A99&amp;"")=0,"",J99-I99)</f>
        <v>0</v>
      </c>
      <c r="M99" s="1" t="n">
        <f aca="false">IF(LEN(A99&amp;"")=0,0,IF(COUNTIFS(Base!$A$7:$A$1006,A99)&gt;1,1,0))</f>
        <v>0</v>
      </c>
      <c r="N99" s="1" t="n">
        <f aca="false">IF(LEN(A99&amp;"")=0,0,IF(ABS(L99)&gt;0.005,1,0))</f>
        <v>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23" hidden="false" customHeight="true" outlineLevel="0" collapsed="false">
      <c r="A100" s="1" t="n">
        <f aca="false">IF(LEN(Base!A100&amp;"")=0,"",Base!A100)</f>
        <v>3324</v>
      </c>
      <c r="B100" s="60" t="n">
        <f aca="false">IF(LEN(A100&amp;"")=0,"",Base!D100)</f>
        <v>45441</v>
      </c>
      <c r="C100" s="1" t="str">
        <f aca="false">IF(LEN(A100&amp;"")=0,"",Base!C100)</f>
        <v>Ultimate</v>
      </c>
      <c r="D100" s="1" t="str">
        <f aca="false">IF(LEN(A100&amp;"")=0,"",Base!G100)</f>
        <v>Quarterly</v>
      </c>
      <c r="E100" s="1" t="str">
        <f aca="false">IF(LEN(A100&amp;"")=0,"",Base!E100)</f>
        <v>No</v>
      </c>
      <c r="F100" s="61" t="n">
        <f aca="false">IF(LEN(A100&amp;"")=0,"",IF(Base!I100="-",0,Base!I100))</f>
        <v>30</v>
      </c>
      <c r="G100" s="61" t="n">
        <f aca="false">IF(LEN(A100&amp;"")=0,"",SUM(Base!F100,F100,Base!K100))</f>
        <v>65</v>
      </c>
      <c r="H100" s="61" t="n">
        <f aca="false">IF(LEN(A100&amp;"")=0,"",Base!L100)</f>
        <v>20</v>
      </c>
      <c r="I100" s="61" t="n">
        <f aca="false">IF(LEN(A100&amp;"")=0,"",G100-H100)</f>
        <v>45</v>
      </c>
      <c r="J100" s="61" t="n">
        <f aca="false">IF(LEN(A100&amp;"")=0,"",Base!M100)</f>
        <v>45</v>
      </c>
      <c r="K100" s="1" t="n">
        <f aca="false">IF(OR(LEN(A100&amp;"")=0,$P$3=0),0,IF(AND(B100&gt;=Painel!$B$8,B100&lt;=Painel!$G$8,OR(Painel!$L$8="Todos",C100=Painel!$L$8),OR(Painel!$Q$8="Todos",D100=Painel!$Q$8),OR(Painel!$V$8="Todas",E100=Painel!$V$8)),1,0))</f>
        <v>1</v>
      </c>
      <c r="L100" s="61" t="n">
        <f aca="false">IF(LEN(A100&amp;"")=0,"",J100-I100)</f>
        <v>0</v>
      </c>
      <c r="M100" s="1" t="n">
        <f aca="false">IF(LEN(A100&amp;"")=0,0,IF(COUNTIFS(Base!$A$7:$A$1006,A100)&gt;1,1,0))</f>
        <v>0</v>
      </c>
      <c r="N100" s="1" t="n">
        <f aca="false">IF(LEN(A100&amp;"")=0,0,IF(ABS(L100)&gt;0.005,1,0))</f>
        <v>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23" hidden="false" customHeight="true" outlineLevel="0" collapsed="false">
      <c r="A101" s="1" t="n">
        <f aca="false">IF(LEN(Base!A101&amp;"")=0,"",Base!A101)</f>
        <v>3325</v>
      </c>
      <c r="B101" s="60" t="n">
        <f aca="false">IF(LEN(A101&amp;"")=0,"",Base!D101)</f>
        <v>45442</v>
      </c>
      <c r="C101" s="1" t="str">
        <f aca="false">IF(LEN(A101&amp;"")=0,"",Base!C101)</f>
        <v>Standard</v>
      </c>
      <c r="D101" s="1" t="str">
        <f aca="false">IF(LEN(A101&amp;"")=0,"",Base!G101)</f>
        <v>Quarterly</v>
      </c>
      <c r="E101" s="1" t="str">
        <f aca="false">IF(LEN(A101&amp;"")=0,"",Base!E101)</f>
        <v>Yes</v>
      </c>
      <c r="F101" s="61" t="n">
        <f aca="false">IF(LEN(A101&amp;"")=0,"",IF(Base!I101="-",0,Base!I101))</f>
        <v>0</v>
      </c>
      <c r="G101" s="61" t="n">
        <f aca="false">IF(LEN(A101&amp;"")=0,"",SUM(Base!F101,F101,Base!K101))</f>
        <v>30</v>
      </c>
      <c r="H101" s="61" t="n">
        <f aca="false">IF(LEN(A101&amp;"")=0,"",Base!L101)</f>
        <v>15</v>
      </c>
      <c r="I101" s="61" t="n">
        <f aca="false">IF(LEN(A101&amp;"")=0,"",G101-H101)</f>
        <v>15</v>
      </c>
      <c r="J101" s="61" t="n">
        <f aca="false">IF(LEN(A101&amp;"")=0,"",Base!M101)</f>
        <v>15</v>
      </c>
      <c r="K101" s="1" t="n">
        <f aca="false">IF(OR(LEN(A101&amp;"")=0,$P$3=0),0,IF(AND(B101&gt;=Painel!$B$8,B101&lt;=Painel!$G$8,OR(Painel!$L$8="Todos",C101=Painel!$L$8),OR(Painel!$Q$8="Todos",D101=Painel!$Q$8),OR(Painel!$V$8="Todas",E101=Painel!$V$8)),1,0))</f>
        <v>1</v>
      </c>
      <c r="L101" s="61" t="n">
        <f aca="false">IF(LEN(A101&amp;"")=0,"",J101-I101)</f>
        <v>0</v>
      </c>
      <c r="M101" s="1" t="n">
        <f aca="false">IF(LEN(A101&amp;"")=0,0,IF(COUNTIFS(Base!$A$7:$A$1006,A101)&gt;1,1,0))</f>
        <v>0</v>
      </c>
      <c r="N101" s="1" t="n">
        <f aca="false">IF(LEN(A101&amp;"")=0,0,IF(ABS(L101)&gt;0.005,1,0))</f>
        <v>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customFormat="false" ht="23" hidden="false" customHeight="true" outlineLevel="0" collapsed="false">
      <c r="A102" s="1" t="n">
        <f aca="false">IF(LEN(Base!A102&amp;"")=0,"",Base!A102)</f>
        <v>3326</v>
      </c>
      <c r="B102" s="60" t="n">
        <f aca="false">IF(LEN(A102&amp;"")=0,"",Base!D102)</f>
        <v>45443</v>
      </c>
      <c r="C102" s="1" t="str">
        <f aca="false">IF(LEN(A102&amp;"")=0,"",Base!C102)</f>
        <v>Core</v>
      </c>
      <c r="D102" s="1" t="str">
        <f aca="false">IF(LEN(A102&amp;"")=0,"",Base!G102)</f>
        <v>Annual</v>
      </c>
      <c r="E102" s="1" t="str">
        <f aca="false">IF(LEN(A102&amp;"")=0,"",Base!E102)</f>
        <v>No</v>
      </c>
      <c r="F102" s="61" t="n">
        <f aca="false">IF(LEN(A102&amp;"")=0,"",IF(Base!I102="-",0,Base!I102))</f>
        <v>0</v>
      </c>
      <c r="G102" s="61" t="n">
        <f aca="false">IF(LEN(A102&amp;"")=0,"",SUM(Base!F102,F102,Base!K102))</f>
        <v>5</v>
      </c>
      <c r="H102" s="61" t="n">
        <f aca="false">IF(LEN(A102&amp;"")=0,"",Base!L102)</f>
        <v>0</v>
      </c>
      <c r="I102" s="61" t="n">
        <f aca="false">IF(LEN(A102&amp;"")=0,"",G102-H102)</f>
        <v>5</v>
      </c>
      <c r="J102" s="61" t="n">
        <f aca="false">IF(LEN(A102&amp;"")=0,"",Base!M102)</f>
        <v>5</v>
      </c>
      <c r="K102" s="1" t="n">
        <f aca="false">IF(OR(LEN(A102&amp;"")=0,$P$3=0),0,IF(AND(B102&gt;=Painel!$B$8,B102&lt;=Painel!$G$8,OR(Painel!$L$8="Todos",C102=Painel!$L$8),OR(Painel!$Q$8="Todos",D102=Painel!$Q$8),OR(Painel!$V$8="Todas",E102=Painel!$V$8)),1,0))</f>
        <v>1</v>
      </c>
      <c r="L102" s="61" t="n">
        <f aca="false">IF(LEN(A102&amp;"")=0,"",J102-I102)</f>
        <v>0</v>
      </c>
      <c r="M102" s="1" t="n">
        <f aca="false">IF(LEN(A102&amp;"")=0,0,IF(COUNTIFS(Base!$A$7:$A$1006,A102)&gt;1,1,0))</f>
        <v>0</v>
      </c>
      <c r="N102" s="1" t="n">
        <f aca="false">IF(LEN(A102&amp;"")=0,0,IF(ABS(L102)&gt;0.005,1,0))</f>
        <v>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customFormat="false" ht="23" hidden="false" customHeight="true" outlineLevel="0" collapsed="false">
      <c r="A103" s="1" t="n">
        <f aca="false">IF(LEN(Base!A103&amp;"")=0,"",Base!A103)</f>
        <v>3327</v>
      </c>
      <c r="B103" s="60" t="n">
        <f aca="false">IF(LEN(A103&amp;"")=0,"",Base!D103)</f>
        <v>45444</v>
      </c>
      <c r="C103" s="1" t="str">
        <f aca="false">IF(LEN(A103&amp;"")=0,"",Base!C103)</f>
        <v>Ultimate</v>
      </c>
      <c r="D103" s="1" t="str">
        <f aca="false">IF(LEN(A103&amp;"")=0,"",Base!G103)</f>
        <v>Monthly</v>
      </c>
      <c r="E103" s="1" t="str">
        <f aca="false">IF(LEN(A103&amp;"")=0,"",Base!E103)</f>
        <v>Yes</v>
      </c>
      <c r="F103" s="61" t="n">
        <f aca="false">IF(LEN(A103&amp;"")=0,"",IF(Base!I103="-",0,Base!I103))</f>
        <v>30</v>
      </c>
      <c r="G103" s="61" t="n">
        <f aca="false">IF(LEN(A103&amp;"")=0,"",SUM(Base!F103,F103,Base!K103))</f>
        <v>65</v>
      </c>
      <c r="H103" s="61" t="n">
        <f aca="false">IF(LEN(A103&amp;"")=0,"",Base!L103)</f>
        <v>7</v>
      </c>
      <c r="I103" s="61" t="n">
        <f aca="false">IF(LEN(A103&amp;"")=0,"",G103-H103)</f>
        <v>58</v>
      </c>
      <c r="J103" s="61" t="n">
        <f aca="false">IF(LEN(A103&amp;"")=0,"",Base!M103)</f>
        <v>58</v>
      </c>
      <c r="K103" s="1" t="n">
        <f aca="false">IF(OR(LEN(A103&amp;"")=0,$P$3=0),0,IF(AND(B103&gt;=Painel!$B$8,B103&lt;=Painel!$G$8,OR(Painel!$L$8="Todos",C103=Painel!$L$8),OR(Painel!$Q$8="Todos",D103=Painel!$Q$8),OR(Painel!$V$8="Todas",E103=Painel!$V$8)),1,0))</f>
        <v>1</v>
      </c>
      <c r="L103" s="61" t="n">
        <f aca="false">IF(LEN(A103&amp;"")=0,"",J103-I103)</f>
        <v>0</v>
      </c>
      <c r="M103" s="1" t="n">
        <f aca="false">IF(LEN(A103&amp;"")=0,0,IF(COUNTIFS(Base!$A$7:$A$1006,A103)&gt;1,1,0))</f>
        <v>0</v>
      </c>
      <c r="N103" s="1" t="n">
        <f aca="false">IF(LEN(A103&amp;"")=0,0,IF(ABS(L103)&gt;0.005,1,0))</f>
        <v>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customFormat="false" ht="23" hidden="false" customHeight="true" outlineLevel="0" collapsed="false">
      <c r="A104" s="1" t="n">
        <f aca="false">IF(LEN(Base!A104&amp;"")=0,"",Base!A104)</f>
        <v>3328</v>
      </c>
      <c r="B104" s="60" t="n">
        <f aca="false">IF(LEN(A104&amp;"")=0,"",Base!D104)</f>
        <v>45445</v>
      </c>
      <c r="C104" s="1" t="str">
        <f aca="false">IF(LEN(A104&amp;"")=0,"",Base!C104)</f>
        <v>Standard</v>
      </c>
      <c r="D104" s="1" t="str">
        <f aca="false">IF(LEN(A104&amp;"")=0,"",Base!G104)</f>
        <v>Annual</v>
      </c>
      <c r="E104" s="1" t="str">
        <f aca="false">IF(LEN(A104&amp;"")=0,"",Base!E104)</f>
        <v>No</v>
      </c>
      <c r="F104" s="61" t="n">
        <f aca="false">IF(LEN(A104&amp;"")=0,"",IF(Base!I104="-",0,Base!I104))</f>
        <v>0</v>
      </c>
      <c r="G104" s="61" t="n">
        <f aca="false">IF(LEN(A104&amp;"")=0,"",SUM(Base!F104,F104,Base!K104))</f>
        <v>30</v>
      </c>
      <c r="H104" s="61" t="n">
        <f aca="false">IF(LEN(A104&amp;"")=0,"",Base!L104)</f>
        <v>10</v>
      </c>
      <c r="I104" s="61" t="n">
        <f aca="false">IF(LEN(A104&amp;"")=0,"",G104-H104)</f>
        <v>20</v>
      </c>
      <c r="J104" s="61" t="n">
        <f aca="false">IF(LEN(A104&amp;"")=0,"",Base!M104)</f>
        <v>20</v>
      </c>
      <c r="K104" s="1" t="n">
        <f aca="false">IF(OR(LEN(A104&amp;"")=0,$P$3=0),0,IF(AND(B104&gt;=Painel!$B$8,B104&lt;=Painel!$G$8,OR(Painel!$L$8="Todos",C104=Painel!$L$8),OR(Painel!$Q$8="Todos",D104=Painel!$Q$8),OR(Painel!$V$8="Todas",E104=Painel!$V$8)),1,0))</f>
        <v>1</v>
      </c>
      <c r="L104" s="61" t="n">
        <f aca="false">IF(LEN(A104&amp;"")=0,"",J104-I104)</f>
        <v>0</v>
      </c>
      <c r="M104" s="1" t="n">
        <f aca="false">IF(LEN(A104&amp;"")=0,0,IF(COUNTIFS(Base!$A$7:$A$1006,A104)&gt;1,1,0))</f>
        <v>0</v>
      </c>
      <c r="N104" s="1" t="n">
        <f aca="false">IF(LEN(A104&amp;"")=0,0,IF(ABS(L104)&gt;0.005,1,0))</f>
        <v>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customFormat="false" ht="23" hidden="false" customHeight="true" outlineLevel="0" collapsed="false">
      <c r="A105" s="1" t="n">
        <f aca="false">IF(LEN(Base!A105&amp;"")=0,"",Base!A105)</f>
        <v>3329</v>
      </c>
      <c r="B105" s="60" t="n">
        <f aca="false">IF(LEN(A105&amp;"")=0,"",Base!D105)</f>
        <v>45446</v>
      </c>
      <c r="C105" s="1" t="str">
        <f aca="false">IF(LEN(A105&amp;"")=0,"",Base!C105)</f>
        <v>Core</v>
      </c>
      <c r="D105" s="1" t="str">
        <f aca="false">IF(LEN(A105&amp;"")=0,"",Base!G105)</f>
        <v>Quarterly</v>
      </c>
      <c r="E105" s="1" t="str">
        <f aca="false">IF(LEN(A105&amp;"")=0,"",Base!E105)</f>
        <v>Yes</v>
      </c>
      <c r="F105" s="61" t="n">
        <f aca="false">IF(LEN(A105&amp;"")=0,"",IF(Base!I105="-",0,Base!I105))</f>
        <v>0</v>
      </c>
      <c r="G105" s="61" t="n">
        <f aca="false">IF(LEN(A105&amp;"")=0,"",SUM(Base!F105,F105,Base!K105))</f>
        <v>5</v>
      </c>
      <c r="H105" s="61" t="n">
        <f aca="false">IF(LEN(A105&amp;"")=0,"",Base!L105)</f>
        <v>1</v>
      </c>
      <c r="I105" s="61" t="n">
        <f aca="false">IF(LEN(A105&amp;"")=0,"",G105-H105)</f>
        <v>4</v>
      </c>
      <c r="J105" s="61" t="n">
        <f aca="false">IF(LEN(A105&amp;"")=0,"",Base!M105)</f>
        <v>4</v>
      </c>
      <c r="K105" s="1" t="n">
        <f aca="false">IF(OR(LEN(A105&amp;"")=0,$P$3=0),0,IF(AND(B105&gt;=Painel!$B$8,B105&lt;=Painel!$G$8,OR(Painel!$L$8="Todos",C105=Painel!$L$8),OR(Painel!$Q$8="Todos",D105=Painel!$Q$8),OR(Painel!$V$8="Todas",E105=Painel!$V$8)),1,0))</f>
        <v>1</v>
      </c>
      <c r="L105" s="61" t="n">
        <f aca="false">IF(LEN(A105&amp;"")=0,"",J105-I105)</f>
        <v>0</v>
      </c>
      <c r="M105" s="1" t="n">
        <f aca="false">IF(LEN(A105&amp;"")=0,0,IF(COUNTIFS(Base!$A$7:$A$1006,A105)&gt;1,1,0))</f>
        <v>0</v>
      </c>
      <c r="N105" s="1" t="n">
        <f aca="false">IF(LEN(A105&amp;"")=0,0,IF(ABS(L105)&gt;0.005,1,0))</f>
        <v>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customFormat="false" ht="23" hidden="false" customHeight="true" outlineLevel="0" collapsed="false">
      <c r="A106" s="1" t="n">
        <f aca="false">IF(LEN(Base!A106&amp;"")=0,"",Base!A106)</f>
        <v>3330</v>
      </c>
      <c r="B106" s="60" t="n">
        <f aca="false">IF(LEN(A106&amp;"")=0,"",Base!D106)</f>
        <v>45447</v>
      </c>
      <c r="C106" s="1" t="str">
        <f aca="false">IF(LEN(A106&amp;"")=0,"",Base!C106)</f>
        <v>Ultimate</v>
      </c>
      <c r="D106" s="1" t="str">
        <f aca="false">IF(LEN(A106&amp;"")=0,"",Base!G106)</f>
        <v>Monthly</v>
      </c>
      <c r="E106" s="1" t="str">
        <f aca="false">IF(LEN(A106&amp;"")=0,"",Base!E106)</f>
        <v>No</v>
      </c>
      <c r="F106" s="61" t="n">
        <f aca="false">IF(LEN(A106&amp;"")=0,"",IF(Base!I106="-",0,Base!I106))</f>
        <v>30</v>
      </c>
      <c r="G106" s="61" t="n">
        <f aca="false">IF(LEN(A106&amp;"")=0,"",SUM(Base!F106,F106,Base!K106))</f>
        <v>65</v>
      </c>
      <c r="H106" s="61" t="n">
        <f aca="false">IF(LEN(A106&amp;"")=0,"",Base!L106)</f>
        <v>15</v>
      </c>
      <c r="I106" s="61" t="n">
        <f aca="false">IF(LEN(A106&amp;"")=0,"",G106-H106)</f>
        <v>50</v>
      </c>
      <c r="J106" s="61" t="n">
        <f aca="false">IF(LEN(A106&amp;"")=0,"",Base!M106)</f>
        <v>50</v>
      </c>
      <c r="K106" s="1" t="n">
        <f aca="false">IF(OR(LEN(A106&amp;"")=0,$P$3=0),0,IF(AND(B106&gt;=Painel!$B$8,B106&lt;=Painel!$G$8,OR(Painel!$L$8="Todos",C106=Painel!$L$8),OR(Painel!$Q$8="Todos",D106=Painel!$Q$8),OR(Painel!$V$8="Todas",E106=Painel!$V$8)),1,0))</f>
        <v>1</v>
      </c>
      <c r="L106" s="61" t="n">
        <f aca="false">IF(LEN(A106&amp;"")=0,"",J106-I106)</f>
        <v>0</v>
      </c>
      <c r="M106" s="1" t="n">
        <f aca="false">IF(LEN(A106&amp;"")=0,0,IF(COUNTIFS(Base!$A$7:$A$1006,A106)&gt;1,1,0))</f>
        <v>0</v>
      </c>
      <c r="N106" s="1" t="n">
        <f aca="false">IF(LEN(A106&amp;"")=0,0,IF(ABS(L106)&gt;0.005,1,0))</f>
        <v>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customFormat="false" ht="23" hidden="false" customHeight="true" outlineLevel="0" collapsed="false">
      <c r="A107" s="1" t="n">
        <f aca="false">IF(LEN(Base!A107&amp;"")=0,"",Base!A107)</f>
        <v>3331</v>
      </c>
      <c r="B107" s="60" t="n">
        <f aca="false">IF(LEN(A107&amp;"")=0,"",Base!D107)</f>
        <v>45448</v>
      </c>
      <c r="C107" s="1" t="str">
        <f aca="false">IF(LEN(A107&amp;"")=0,"",Base!C107)</f>
        <v>Standard</v>
      </c>
      <c r="D107" s="1" t="str">
        <f aca="false">IF(LEN(A107&amp;"")=0,"",Base!G107)</f>
        <v>Monthly</v>
      </c>
      <c r="E107" s="1" t="str">
        <f aca="false">IF(LEN(A107&amp;"")=0,"",Base!E107)</f>
        <v>Yes</v>
      </c>
      <c r="F107" s="61" t="n">
        <f aca="false">IF(LEN(A107&amp;"")=0,"",IF(Base!I107="-",0,Base!I107))</f>
        <v>0</v>
      </c>
      <c r="G107" s="61" t="n">
        <f aca="false">IF(LEN(A107&amp;"")=0,"",SUM(Base!F107,F107,Base!K107))</f>
        <v>30</v>
      </c>
      <c r="H107" s="61" t="n">
        <f aca="false">IF(LEN(A107&amp;"")=0,"",Base!L107)</f>
        <v>5</v>
      </c>
      <c r="I107" s="61" t="n">
        <f aca="false">IF(LEN(A107&amp;"")=0,"",G107-H107)</f>
        <v>25</v>
      </c>
      <c r="J107" s="61" t="n">
        <f aca="false">IF(LEN(A107&amp;"")=0,"",Base!M107)</f>
        <v>25</v>
      </c>
      <c r="K107" s="1" t="n">
        <f aca="false">IF(OR(LEN(A107&amp;"")=0,$P$3=0),0,IF(AND(B107&gt;=Painel!$B$8,B107&lt;=Painel!$G$8,OR(Painel!$L$8="Todos",C107=Painel!$L$8),OR(Painel!$Q$8="Todos",D107=Painel!$Q$8),OR(Painel!$V$8="Todas",E107=Painel!$V$8)),1,0))</f>
        <v>1</v>
      </c>
      <c r="L107" s="61" t="n">
        <f aca="false">IF(LEN(A107&amp;"")=0,"",J107-I107)</f>
        <v>0</v>
      </c>
      <c r="M107" s="1" t="n">
        <f aca="false">IF(LEN(A107&amp;"")=0,0,IF(COUNTIFS(Base!$A$7:$A$1006,A107)&gt;1,1,0))</f>
        <v>0</v>
      </c>
      <c r="N107" s="1" t="n">
        <f aca="false">IF(LEN(A107&amp;"")=0,0,IF(ABS(L107)&gt;0.005,1,0))</f>
        <v>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customFormat="false" ht="23" hidden="false" customHeight="true" outlineLevel="0" collapsed="false">
      <c r="A108" s="1" t="n">
        <f aca="false">IF(LEN(Base!A108&amp;"")=0,"",Base!A108)</f>
        <v>3332</v>
      </c>
      <c r="B108" s="60" t="n">
        <f aca="false">IF(LEN(A108&amp;"")=0,"",Base!D108)</f>
        <v>45449</v>
      </c>
      <c r="C108" s="1" t="str">
        <f aca="false">IF(LEN(A108&amp;"")=0,"",Base!C108)</f>
        <v>Core</v>
      </c>
      <c r="D108" s="1" t="str">
        <f aca="false">IF(LEN(A108&amp;"")=0,"",Base!G108)</f>
        <v>Annual</v>
      </c>
      <c r="E108" s="1" t="str">
        <f aca="false">IF(LEN(A108&amp;"")=0,"",Base!E108)</f>
        <v>No</v>
      </c>
      <c r="F108" s="61" t="n">
        <f aca="false">IF(LEN(A108&amp;"")=0,"",IF(Base!I108="-",0,Base!I108))</f>
        <v>0</v>
      </c>
      <c r="G108" s="61" t="n">
        <f aca="false">IF(LEN(A108&amp;"")=0,"",SUM(Base!F108,F108,Base!K108))</f>
        <v>5</v>
      </c>
      <c r="H108" s="61" t="n">
        <f aca="false">IF(LEN(A108&amp;"")=0,"",Base!L108)</f>
        <v>0</v>
      </c>
      <c r="I108" s="61" t="n">
        <f aca="false">IF(LEN(A108&amp;"")=0,"",G108-H108)</f>
        <v>5</v>
      </c>
      <c r="J108" s="61" t="n">
        <f aca="false">IF(LEN(A108&amp;"")=0,"",Base!M108)</f>
        <v>5</v>
      </c>
      <c r="K108" s="1" t="n">
        <f aca="false">IF(OR(LEN(A108&amp;"")=0,$P$3=0),0,IF(AND(B108&gt;=Painel!$B$8,B108&lt;=Painel!$G$8,OR(Painel!$L$8="Todos",C108=Painel!$L$8),OR(Painel!$Q$8="Todos",D108=Painel!$Q$8),OR(Painel!$V$8="Todas",E108=Painel!$V$8)),1,0))</f>
        <v>1</v>
      </c>
      <c r="L108" s="61" t="n">
        <f aca="false">IF(LEN(A108&amp;"")=0,"",J108-I108)</f>
        <v>0</v>
      </c>
      <c r="M108" s="1" t="n">
        <f aca="false">IF(LEN(A108&amp;"")=0,0,IF(COUNTIFS(Base!$A$7:$A$1006,A108)&gt;1,1,0))</f>
        <v>0</v>
      </c>
      <c r="N108" s="1" t="n">
        <f aca="false">IF(LEN(A108&amp;"")=0,0,IF(ABS(L108)&gt;0.005,1,0))</f>
        <v>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customFormat="false" ht="23" hidden="false" customHeight="true" outlineLevel="0" collapsed="false">
      <c r="A109" s="1" t="n">
        <f aca="false">IF(LEN(Base!A109&amp;"")=0,"",Base!A109)</f>
        <v>3333</v>
      </c>
      <c r="B109" s="60" t="n">
        <f aca="false">IF(LEN(A109&amp;"")=0,"",Base!D109)</f>
        <v>45450</v>
      </c>
      <c r="C109" s="1" t="str">
        <f aca="false">IF(LEN(A109&amp;"")=0,"",Base!C109)</f>
        <v>Ultimate</v>
      </c>
      <c r="D109" s="1" t="str">
        <f aca="false">IF(LEN(A109&amp;"")=0,"",Base!G109)</f>
        <v>Quarterly</v>
      </c>
      <c r="E109" s="1" t="str">
        <f aca="false">IF(LEN(A109&amp;"")=0,"",Base!E109)</f>
        <v>Yes</v>
      </c>
      <c r="F109" s="61" t="n">
        <f aca="false">IF(LEN(A109&amp;"")=0,"",IF(Base!I109="-",0,Base!I109))</f>
        <v>30</v>
      </c>
      <c r="G109" s="61" t="n">
        <f aca="false">IF(LEN(A109&amp;"")=0,"",SUM(Base!F109,F109,Base!K109))</f>
        <v>65</v>
      </c>
      <c r="H109" s="61" t="n">
        <f aca="false">IF(LEN(A109&amp;"")=0,"",Base!L109)</f>
        <v>20</v>
      </c>
      <c r="I109" s="61" t="n">
        <f aca="false">IF(LEN(A109&amp;"")=0,"",G109-H109)</f>
        <v>45</v>
      </c>
      <c r="J109" s="61" t="n">
        <f aca="false">IF(LEN(A109&amp;"")=0,"",Base!M109)</f>
        <v>45</v>
      </c>
      <c r="K109" s="1" t="n">
        <f aca="false">IF(OR(LEN(A109&amp;"")=0,$P$3=0),0,IF(AND(B109&gt;=Painel!$B$8,B109&lt;=Painel!$G$8,OR(Painel!$L$8="Todos",C109=Painel!$L$8),OR(Painel!$Q$8="Todos",D109=Painel!$Q$8),OR(Painel!$V$8="Todas",E109=Painel!$V$8)),1,0))</f>
        <v>1</v>
      </c>
      <c r="L109" s="61" t="n">
        <f aca="false">IF(LEN(A109&amp;"")=0,"",J109-I109)</f>
        <v>0</v>
      </c>
      <c r="M109" s="1" t="n">
        <f aca="false">IF(LEN(A109&amp;"")=0,0,IF(COUNTIFS(Base!$A$7:$A$1006,A109)&gt;1,1,0))</f>
        <v>0</v>
      </c>
      <c r="N109" s="1" t="n">
        <f aca="false">IF(LEN(A109&amp;"")=0,0,IF(ABS(L109)&gt;0.005,1,0))</f>
        <v>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customFormat="false" ht="23" hidden="false" customHeight="true" outlineLevel="0" collapsed="false">
      <c r="A110" s="1" t="n">
        <f aca="false">IF(LEN(Base!A110&amp;"")=0,"",Base!A110)</f>
        <v>3334</v>
      </c>
      <c r="B110" s="60" t="n">
        <f aca="false">IF(LEN(A110&amp;"")=0,"",Base!D110)</f>
        <v>45451</v>
      </c>
      <c r="C110" s="1" t="str">
        <f aca="false">IF(LEN(A110&amp;"")=0,"",Base!C110)</f>
        <v>Standard</v>
      </c>
      <c r="D110" s="1" t="str">
        <f aca="false">IF(LEN(A110&amp;"")=0,"",Base!G110)</f>
        <v>Quarterly</v>
      </c>
      <c r="E110" s="1" t="str">
        <f aca="false">IF(LEN(A110&amp;"")=0,"",Base!E110)</f>
        <v>No</v>
      </c>
      <c r="F110" s="61" t="n">
        <f aca="false">IF(LEN(A110&amp;"")=0,"",IF(Base!I110="-",0,Base!I110))</f>
        <v>0</v>
      </c>
      <c r="G110" s="61" t="n">
        <f aca="false">IF(LEN(A110&amp;"")=0,"",SUM(Base!F110,F110,Base!K110))</f>
        <v>30</v>
      </c>
      <c r="H110" s="61" t="n">
        <f aca="false">IF(LEN(A110&amp;"")=0,"",Base!L110)</f>
        <v>12</v>
      </c>
      <c r="I110" s="61" t="n">
        <f aca="false">IF(LEN(A110&amp;"")=0,"",G110-H110)</f>
        <v>18</v>
      </c>
      <c r="J110" s="61" t="n">
        <f aca="false">IF(LEN(A110&amp;"")=0,"",Base!M110)</f>
        <v>18</v>
      </c>
      <c r="K110" s="1" t="n">
        <f aca="false">IF(OR(LEN(A110&amp;"")=0,$P$3=0),0,IF(AND(B110&gt;=Painel!$B$8,B110&lt;=Painel!$G$8,OR(Painel!$L$8="Todos",C110=Painel!$L$8),OR(Painel!$Q$8="Todos",D110=Painel!$Q$8),OR(Painel!$V$8="Todas",E110=Painel!$V$8)),1,0))</f>
        <v>1</v>
      </c>
      <c r="L110" s="61" t="n">
        <f aca="false">IF(LEN(A110&amp;"")=0,"",J110-I110)</f>
        <v>0</v>
      </c>
      <c r="M110" s="1" t="n">
        <f aca="false">IF(LEN(A110&amp;"")=0,0,IF(COUNTIFS(Base!$A$7:$A$1006,A110)&gt;1,1,0))</f>
        <v>0</v>
      </c>
      <c r="N110" s="1" t="n">
        <f aca="false">IF(LEN(A110&amp;"")=0,0,IF(ABS(L110)&gt;0.005,1,0))</f>
        <v>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customFormat="false" ht="23" hidden="false" customHeight="true" outlineLevel="0" collapsed="false">
      <c r="A111" s="1" t="n">
        <f aca="false">IF(LEN(Base!A111&amp;"")=0,"",Base!A111)</f>
        <v>3335</v>
      </c>
      <c r="B111" s="60" t="n">
        <f aca="false">IF(LEN(A111&amp;"")=0,"",Base!D111)</f>
        <v>45452</v>
      </c>
      <c r="C111" s="1" t="str">
        <f aca="false">IF(LEN(A111&amp;"")=0,"",Base!C111)</f>
        <v>Core</v>
      </c>
      <c r="D111" s="1" t="str">
        <f aca="false">IF(LEN(A111&amp;"")=0,"",Base!G111)</f>
        <v>Monthly</v>
      </c>
      <c r="E111" s="1" t="str">
        <f aca="false">IF(LEN(A111&amp;"")=0,"",Base!E111)</f>
        <v>Yes</v>
      </c>
      <c r="F111" s="61" t="n">
        <f aca="false">IF(LEN(A111&amp;"")=0,"",IF(Base!I111="-",0,Base!I111))</f>
        <v>0</v>
      </c>
      <c r="G111" s="61" t="n">
        <f aca="false">IF(LEN(A111&amp;"")=0,"",SUM(Base!F111,F111,Base!K111))</f>
        <v>5</v>
      </c>
      <c r="H111" s="61" t="n">
        <f aca="false">IF(LEN(A111&amp;"")=0,"",Base!L111)</f>
        <v>2</v>
      </c>
      <c r="I111" s="61" t="n">
        <f aca="false">IF(LEN(A111&amp;"")=0,"",G111-H111)</f>
        <v>3</v>
      </c>
      <c r="J111" s="61" t="n">
        <f aca="false">IF(LEN(A111&amp;"")=0,"",Base!M111)</f>
        <v>3</v>
      </c>
      <c r="K111" s="1" t="n">
        <f aca="false">IF(OR(LEN(A111&amp;"")=0,$P$3=0),0,IF(AND(B111&gt;=Painel!$B$8,B111&lt;=Painel!$G$8,OR(Painel!$L$8="Todos",C111=Painel!$L$8),OR(Painel!$Q$8="Todos",D111=Painel!$Q$8),OR(Painel!$V$8="Todas",E111=Painel!$V$8)),1,0))</f>
        <v>1</v>
      </c>
      <c r="L111" s="61" t="n">
        <f aca="false">IF(LEN(A111&amp;"")=0,"",J111-I111)</f>
        <v>0</v>
      </c>
      <c r="M111" s="1" t="n">
        <f aca="false">IF(LEN(A111&amp;"")=0,0,IF(COUNTIFS(Base!$A$7:$A$1006,A111)&gt;1,1,0))</f>
        <v>0</v>
      </c>
      <c r="N111" s="1" t="n">
        <f aca="false">IF(LEN(A111&amp;"")=0,0,IF(ABS(L111)&gt;0.005,1,0))</f>
        <v>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customFormat="false" ht="23" hidden="false" customHeight="true" outlineLevel="0" collapsed="false">
      <c r="A112" s="1" t="n">
        <f aca="false">IF(LEN(Base!A112&amp;"")=0,"",Base!A112)</f>
        <v>3336</v>
      </c>
      <c r="B112" s="60" t="n">
        <f aca="false">IF(LEN(A112&amp;"")=0,"",Base!D112)</f>
        <v>45453</v>
      </c>
      <c r="C112" s="1" t="str">
        <f aca="false">IF(LEN(A112&amp;"")=0,"",Base!C112)</f>
        <v>Core</v>
      </c>
      <c r="D112" s="1" t="str">
        <f aca="false">IF(LEN(A112&amp;"")=0,"",Base!G112)</f>
        <v>Monthly</v>
      </c>
      <c r="E112" s="1" t="str">
        <f aca="false">IF(LEN(A112&amp;"")=0,"",Base!E112)</f>
        <v>Yes</v>
      </c>
      <c r="F112" s="61" t="n">
        <f aca="false">IF(LEN(A112&amp;"")=0,"",IF(Base!I112="-",0,Base!I112))</f>
        <v>0</v>
      </c>
      <c r="G112" s="61" t="n">
        <f aca="false">IF(LEN(A112&amp;"")=0,"",SUM(Base!F112,F112,Base!K112))</f>
        <v>5</v>
      </c>
      <c r="H112" s="61" t="n">
        <f aca="false">IF(LEN(A112&amp;"")=0,"",Base!L112)</f>
        <v>0</v>
      </c>
      <c r="I112" s="61" t="n">
        <f aca="false">IF(LEN(A112&amp;"")=0,"",G112-H112)</f>
        <v>5</v>
      </c>
      <c r="J112" s="61" t="n">
        <f aca="false">IF(LEN(A112&amp;"")=0,"",Base!M112)</f>
        <v>5</v>
      </c>
      <c r="K112" s="1" t="n">
        <f aca="false">IF(OR(LEN(A112&amp;"")=0,$P$3=0),0,IF(AND(B112&gt;=Painel!$B$8,B112&lt;=Painel!$G$8,OR(Painel!$L$8="Todos",C112=Painel!$L$8),OR(Painel!$Q$8="Todos",D112=Painel!$Q$8),OR(Painel!$V$8="Todas",E112=Painel!$V$8)),1,0))</f>
        <v>1</v>
      </c>
      <c r="L112" s="61" t="n">
        <f aca="false">IF(LEN(A112&amp;"")=0,"",J112-I112)</f>
        <v>0</v>
      </c>
      <c r="M112" s="1" t="n">
        <f aca="false">IF(LEN(A112&amp;"")=0,0,IF(COUNTIFS(Base!$A$7:$A$1006,A112)&gt;1,1,0))</f>
        <v>0</v>
      </c>
      <c r="N112" s="1" t="n">
        <f aca="false">IF(LEN(A112&amp;"")=0,0,IF(ABS(L112)&gt;0.005,1,0))</f>
        <v>0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customFormat="false" ht="23" hidden="false" customHeight="true" outlineLevel="0" collapsed="false">
      <c r="A113" s="1" t="n">
        <f aca="false">IF(LEN(Base!A113&amp;"")=0,"",Base!A113)</f>
        <v>3337</v>
      </c>
      <c r="B113" s="60" t="n">
        <f aca="false">IF(LEN(A113&amp;"")=0,"",Base!D113)</f>
        <v>45454</v>
      </c>
      <c r="C113" s="1" t="str">
        <f aca="false">IF(LEN(A113&amp;"")=0,"",Base!C113)</f>
        <v>Ultimate</v>
      </c>
      <c r="D113" s="1" t="str">
        <f aca="false">IF(LEN(A113&amp;"")=0,"",Base!G113)</f>
        <v>Quarterly</v>
      </c>
      <c r="E113" s="1" t="str">
        <f aca="false">IF(LEN(A113&amp;"")=0,"",Base!E113)</f>
        <v>No</v>
      </c>
      <c r="F113" s="61" t="n">
        <f aca="false">IF(LEN(A113&amp;"")=0,"",IF(Base!I113="-",0,Base!I113))</f>
        <v>30</v>
      </c>
      <c r="G113" s="61" t="n">
        <f aca="false">IF(LEN(A113&amp;"")=0,"",SUM(Base!F113,F113,Base!K113))</f>
        <v>65</v>
      </c>
      <c r="H113" s="61" t="n">
        <f aca="false">IF(LEN(A113&amp;"")=0,"",Base!L113)</f>
        <v>7</v>
      </c>
      <c r="I113" s="61" t="n">
        <f aca="false">IF(LEN(A113&amp;"")=0,"",G113-H113)</f>
        <v>58</v>
      </c>
      <c r="J113" s="61" t="n">
        <f aca="false">IF(LEN(A113&amp;"")=0,"",Base!M113)</f>
        <v>58</v>
      </c>
      <c r="K113" s="1" t="n">
        <f aca="false">IF(OR(LEN(A113&amp;"")=0,$P$3=0),0,IF(AND(B113&gt;=Painel!$B$8,B113&lt;=Painel!$G$8,OR(Painel!$L$8="Todos",C113=Painel!$L$8),OR(Painel!$Q$8="Todos",D113=Painel!$Q$8),OR(Painel!$V$8="Todas",E113=Painel!$V$8)),1,0))</f>
        <v>1</v>
      </c>
      <c r="L113" s="61" t="n">
        <f aca="false">IF(LEN(A113&amp;"")=0,"",J113-I113)</f>
        <v>0</v>
      </c>
      <c r="M113" s="1" t="n">
        <f aca="false">IF(LEN(A113&amp;"")=0,0,IF(COUNTIFS(Base!$A$7:$A$1006,A113)&gt;1,1,0))</f>
        <v>0</v>
      </c>
      <c r="N113" s="1" t="n">
        <f aca="false">IF(LEN(A113&amp;"")=0,0,IF(ABS(L113)&gt;0.005,1,0))</f>
        <v>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customFormat="false" ht="23" hidden="false" customHeight="true" outlineLevel="0" collapsed="false">
      <c r="A114" s="1" t="n">
        <f aca="false">IF(LEN(Base!A114&amp;"")=0,"",Base!A114)</f>
        <v>3338</v>
      </c>
      <c r="B114" s="60" t="n">
        <f aca="false">IF(LEN(A114&amp;"")=0,"",Base!D114)</f>
        <v>45455</v>
      </c>
      <c r="C114" s="1" t="str">
        <f aca="false">IF(LEN(A114&amp;"")=0,"",Base!C114)</f>
        <v>Standard</v>
      </c>
      <c r="D114" s="1" t="str">
        <f aca="false">IF(LEN(A114&amp;"")=0,"",Base!G114)</f>
        <v>Annual</v>
      </c>
      <c r="E114" s="1" t="str">
        <f aca="false">IF(LEN(A114&amp;"")=0,"",Base!E114)</f>
        <v>Yes</v>
      </c>
      <c r="F114" s="61" t="n">
        <f aca="false">IF(LEN(A114&amp;"")=0,"",IF(Base!I114="-",0,Base!I114))</f>
        <v>0</v>
      </c>
      <c r="G114" s="61" t="n">
        <f aca="false">IF(LEN(A114&amp;"")=0,"",SUM(Base!F114,F114,Base!K114))</f>
        <v>30</v>
      </c>
      <c r="H114" s="61" t="n">
        <f aca="false">IF(LEN(A114&amp;"")=0,"",Base!L114)</f>
        <v>10</v>
      </c>
      <c r="I114" s="61" t="n">
        <f aca="false">IF(LEN(A114&amp;"")=0,"",G114-H114)</f>
        <v>20</v>
      </c>
      <c r="J114" s="61" t="n">
        <f aca="false">IF(LEN(A114&amp;"")=0,"",Base!M114)</f>
        <v>20</v>
      </c>
      <c r="K114" s="1" t="n">
        <f aca="false">IF(OR(LEN(A114&amp;"")=0,$P$3=0),0,IF(AND(B114&gt;=Painel!$B$8,B114&lt;=Painel!$G$8,OR(Painel!$L$8="Todos",C114=Painel!$L$8),OR(Painel!$Q$8="Todos",D114=Painel!$Q$8),OR(Painel!$V$8="Todas",E114=Painel!$V$8)),1,0))</f>
        <v>1</v>
      </c>
      <c r="L114" s="61" t="n">
        <f aca="false">IF(LEN(A114&amp;"")=0,"",J114-I114)</f>
        <v>0</v>
      </c>
      <c r="M114" s="1" t="n">
        <f aca="false">IF(LEN(A114&amp;"")=0,0,IF(COUNTIFS(Base!$A$7:$A$1006,A114)&gt;1,1,0))</f>
        <v>0</v>
      </c>
      <c r="N114" s="1" t="n">
        <f aca="false">IF(LEN(A114&amp;"")=0,0,IF(ABS(L114)&gt;0.005,1,0))</f>
        <v>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customFormat="false" ht="23" hidden="false" customHeight="true" outlineLevel="0" collapsed="false">
      <c r="A115" s="1" t="n">
        <f aca="false">IF(LEN(Base!A115&amp;"")=0,"",Base!A115)</f>
        <v>3339</v>
      </c>
      <c r="B115" s="60" t="n">
        <f aca="false">IF(LEN(A115&amp;"")=0,"",Base!D115)</f>
        <v>45456</v>
      </c>
      <c r="C115" s="1" t="str">
        <f aca="false">IF(LEN(A115&amp;"")=0,"",Base!C115)</f>
        <v>Core</v>
      </c>
      <c r="D115" s="1" t="str">
        <f aca="false">IF(LEN(A115&amp;"")=0,"",Base!G115)</f>
        <v>Quarterly</v>
      </c>
      <c r="E115" s="1" t="str">
        <f aca="false">IF(LEN(A115&amp;"")=0,"",Base!E115)</f>
        <v>No</v>
      </c>
      <c r="F115" s="61" t="n">
        <f aca="false">IF(LEN(A115&amp;"")=0,"",IF(Base!I115="-",0,Base!I115))</f>
        <v>0</v>
      </c>
      <c r="G115" s="61" t="n">
        <f aca="false">IF(LEN(A115&amp;"")=0,"",SUM(Base!F115,F115,Base!K115))</f>
        <v>5</v>
      </c>
      <c r="H115" s="61" t="n">
        <f aca="false">IF(LEN(A115&amp;"")=0,"",Base!L115)</f>
        <v>1</v>
      </c>
      <c r="I115" s="61" t="n">
        <f aca="false">IF(LEN(A115&amp;"")=0,"",G115-H115)</f>
        <v>4</v>
      </c>
      <c r="J115" s="61" t="n">
        <f aca="false">IF(LEN(A115&amp;"")=0,"",Base!M115)</f>
        <v>4</v>
      </c>
      <c r="K115" s="1" t="n">
        <f aca="false">IF(OR(LEN(A115&amp;"")=0,$P$3=0),0,IF(AND(B115&gt;=Painel!$B$8,B115&lt;=Painel!$G$8,OR(Painel!$L$8="Todos",C115=Painel!$L$8),OR(Painel!$Q$8="Todos",D115=Painel!$Q$8),OR(Painel!$V$8="Todas",E115=Painel!$V$8)),1,0))</f>
        <v>1</v>
      </c>
      <c r="L115" s="61" t="n">
        <f aca="false">IF(LEN(A115&amp;"")=0,"",J115-I115)</f>
        <v>0</v>
      </c>
      <c r="M115" s="1" t="n">
        <f aca="false">IF(LEN(A115&amp;"")=0,0,IF(COUNTIFS(Base!$A$7:$A$1006,A115)&gt;1,1,0))</f>
        <v>0</v>
      </c>
      <c r="N115" s="1" t="n">
        <f aca="false">IF(LEN(A115&amp;"")=0,0,IF(ABS(L115)&gt;0.005,1,0))</f>
        <v>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customFormat="false" ht="23" hidden="false" customHeight="true" outlineLevel="0" collapsed="false">
      <c r="A116" s="1" t="n">
        <f aca="false">IF(LEN(Base!A116&amp;"")=0,"",Base!A116)</f>
        <v>3340</v>
      </c>
      <c r="B116" s="60" t="n">
        <f aca="false">IF(LEN(A116&amp;"")=0,"",Base!D116)</f>
        <v>45457</v>
      </c>
      <c r="C116" s="1" t="str">
        <f aca="false">IF(LEN(A116&amp;"")=0,"",Base!C116)</f>
        <v>Ultimate</v>
      </c>
      <c r="D116" s="1" t="str">
        <f aca="false">IF(LEN(A116&amp;"")=0,"",Base!G116)</f>
        <v>Monthly</v>
      </c>
      <c r="E116" s="1" t="str">
        <f aca="false">IF(LEN(A116&amp;"")=0,"",Base!E116)</f>
        <v>Yes</v>
      </c>
      <c r="F116" s="61" t="n">
        <f aca="false">IF(LEN(A116&amp;"")=0,"",IF(Base!I116="-",0,Base!I116))</f>
        <v>30</v>
      </c>
      <c r="G116" s="61" t="n">
        <f aca="false">IF(LEN(A116&amp;"")=0,"",SUM(Base!F116,F116,Base!K116))</f>
        <v>65</v>
      </c>
      <c r="H116" s="61" t="n">
        <f aca="false">IF(LEN(A116&amp;"")=0,"",Base!L116)</f>
        <v>15</v>
      </c>
      <c r="I116" s="61" t="n">
        <f aca="false">IF(LEN(A116&amp;"")=0,"",G116-H116)</f>
        <v>50</v>
      </c>
      <c r="J116" s="61" t="n">
        <f aca="false">IF(LEN(A116&amp;"")=0,"",Base!M116)</f>
        <v>50</v>
      </c>
      <c r="K116" s="1" t="n">
        <f aca="false">IF(OR(LEN(A116&amp;"")=0,$P$3=0),0,IF(AND(B116&gt;=Painel!$B$8,B116&lt;=Painel!$G$8,OR(Painel!$L$8="Todos",C116=Painel!$L$8),OR(Painel!$Q$8="Todos",D116=Painel!$Q$8),OR(Painel!$V$8="Todas",E116=Painel!$V$8)),1,0))</f>
        <v>1</v>
      </c>
      <c r="L116" s="61" t="n">
        <f aca="false">IF(LEN(A116&amp;"")=0,"",J116-I116)</f>
        <v>0</v>
      </c>
      <c r="M116" s="1" t="n">
        <f aca="false">IF(LEN(A116&amp;"")=0,0,IF(COUNTIFS(Base!$A$7:$A$1006,A116)&gt;1,1,0))</f>
        <v>0</v>
      </c>
      <c r="N116" s="1" t="n">
        <f aca="false">IF(LEN(A116&amp;"")=0,0,IF(ABS(L116)&gt;0.005,1,0))</f>
        <v>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customFormat="false" ht="23" hidden="false" customHeight="true" outlineLevel="0" collapsed="false">
      <c r="A117" s="1" t="n">
        <f aca="false">IF(LEN(Base!A117&amp;"")=0,"",Base!A117)</f>
        <v>3341</v>
      </c>
      <c r="B117" s="60" t="n">
        <f aca="false">IF(LEN(A117&amp;"")=0,"",Base!D117)</f>
        <v>45458</v>
      </c>
      <c r="C117" s="1" t="str">
        <f aca="false">IF(LEN(A117&amp;"")=0,"",Base!C117)</f>
        <v>Standard</v>
      </c>
      <c r="D117" s="1" t="str">
        <f aca="false">IF(LEN(A117&amp;"")=0,"",Base!G117)</f>
        <v>Monthly</v>
      </c>
      <c r="E117" s="1" t="str">
        <f aca="false">IF(LEN(A117&amp;"")=0,"",Base!E117)</f>
        <v>No</v>
      </c>
      <c r="F117" s="61" t="n">
        <f aca="false">IF(LEN(A117&amp;"")=0,"",IF(Base!I117="-",0,Base!I117))</f>
        <v>0</v>
      </c>
      <c r="G117" s="61" t="n">
        <f aca="false">IF(LEN(A117&amp;"")=0,"",SUM(Base!F117,F117,Base!K117))</f>
        <v>30</v>
      </c>
      <c r="H117" s="61" t="n">
        <f aca="false">IF(LEN(A117&amp;"")=0,"",Base!L117)</f>
        <v>5</v>
      </c>
      <c r="I117" s="61" t="n">
        <f aca="false">IF(LEN(A117&amp;"")=0,"",G117-H117)</f>
        <v>25</v>
      </c>
      <c r="J117" s="61" t="n">
        <f aca="false">IF(LEN(A117&amp;"")=0,"",Base!M117)</f>
        <v>25</v>
      </c>
      <c r="K117" s="1" t="n">
        <f aca="false">IF(OR(LEN(A117&amp;"")=0,$P$3=0),0,IF(AND(B117&gt;=Painel!$B$8,B117&lt;=Painel!$G$8,OR(Painel!$L$8="Todos",C117=Painel!$L$8),OR(Painel!$Q$8="Todos",D117=Painel!$Q$8),OR(Painel!$V$8="Todas",E117=Painel!$V$8)),1,0))</f>
        <v>1</v>
      </c>
      <c r="L117" s="61" t="n">
        <f aca="false">IF(LEN(A117&amp;"")=0,"",J117-I117)</f>
        <v>0</v>
      </c>
      <c r="M117" s="1" t="n">
        <f aca="false">IF(LEN(A117&amp;"")=0,0,IF(COUNTIFS(Base!$A$7:$A$1006,A117)&gt;1,1,0))</f>
        <v>0</v>
      </c>
      <c r="N117" s="1" t="n">
        <f aca="false">IF(LEN(A117&amp;"")=0,0,IF(ABS(L117)&gt;0.005,1,0))</f>
        <v>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customFormat="false" ht="23" hidden="false" customHeight="true" outlineLevel="0" collapsed="false">
      <c r="A118" s="1" t="n">
        <f aca="false">IF(LEN(Base!A118&amp;"")=0,"",Base!A118)</f>
        <v>3342</v>
      </c>
      <c r="B118" s="60" t="n">
        <f aca="false">IF(LEN(A118&amp;"")=0,"",Base!D118)</f>
        <v>45459</v>
      </c>
      <c r="C118" s="1" t="str">
        <f aca="false">IF(LEN(A118&amp;"")=0,"",Base!C118)</f>
        <v>Core</v>
      </c>
      <c r="D118" s="1" t="str">
        <f aca="false">IF(LEN(A118&amp;"")=0,"",Base!G118)</f>
        <v>Annual</v>
      </c>
      <c r="E118" s="1" t="str">
        <f aca="false">IF(LEN(A118&amp;"")=0,"",Base!E118)</f>
        <v>Yes</v>
      </c>
      <c r="F118" s="61" t="n">
        <f aca="false">IF(LEN(A118&amp;"")=0,"",IF(Base!I118="-",0,Base!I118))</f>
        <v>0</v>
      </c>
      <c r="G118" s="61" t="n">
        <f aca="false">IF(LEN(A118&amp;"")=0,"",SUM(Base!F118,F118,Base!K118))</f>
        <v>5</v>
      </c>
      <c r="H118" s="61" t="n">
        <f aca="false">IF(LEN(A118&amp;"")=0,"",Base!L118)</f>
        <v>0</v>
      </c>
      <c r="I118" s="61" t="n">
        <f aca="false">IF(LEN(A118&amp;"")=0,"",G118-H118)</f>
        <v>5</v>
      </c>
      <c r="J118" s="61" t="n">
        <f aca="false">IF(LEN(A118&amp;"")=0,"",Base!M118)</f>
        <v>5</v>
      </c>
      <c r="K118" s="1" t="n">
        <f aca="false">IF(OR(LEN(A118&amp;"")=0,$P$3=0),0,IF(AND(B118&gt;=Painel!$B$8,B118&lt;=Painel!$G$8,OR(Painel!$L$8="Todos",C118=Painel!$L$8),OR(Painel!$Q$8="Todos",D118=Painel!$Q$8),OR(Painel!$V$8="Todas",E118=Painel!$V$8)),1,0))</f>
        <v>1</v>
      </c>
      <c r="L118" s="61" t="n">
        <f aca="false">IF(LEN(A118&amp;"")=0,"",J118-I118)</f>
        <v>0</v>
      </c>
      <c r="M118" s="1" t="n">
        <f aca="false">IF(LEN(A118&amp;"")=0,0,IF(COUNTIFS(Base!$A$7:$A$1006,A118)&gt;1,1,0))</f>
        <v>0</v>
      </c>
      <c r="N118" s="1" t="n">
        <f aca="false">IF(LEN(A118&amp;"")=0,0,IF(ABS(L118)&gt;0.005,1,0))</f>
        <v>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customFormat="false" ht="23" hidden="false" customHeight="true" outlineLevel="0" collapsed="false">
      <c r="A119" s="1" t="n">
        <f aca="false">IF(LEN(Base!A119&amp;"")=0,"",Base!A119)</f>
        <v>3343</v>
      </c>
      <c r="B119" s="60" t="n">
        <f aca="false">IF(LEN(A119&amp;"")=0,"",Base!D119)</f>
        <v>45460</v>
      </c>
      <c r="C119" s="1" t="str">
        <f aca="false">IF(LEN(A119&amp;"")=0,"",Base!C119)</f>
        <v>Ultimate</v>
      </c>
      <c r="D119" s="1" t="str">
        <f aca="false">IF(LEN(A119&amp;"")=0,"",Base!G119)</f>
        <v>Quarterly</v>
      </c>
      <c r="E119" s="1" t="str">
        <f aca="false">IF(LEN(A119&amp;"")=0,"",Base!E119)</f>
        <v>No</v>
      </c>
      <c r="F119" s="61" t="n">
        <f aca="false">IF(LEN(A119&amp;"")=0,"",IF(Base!I119="-",0,Base!I119))</f>
        <v>30</v>
      </c>
      <c r="G119" s="61" t="n">
        <f aca="false">IF(LEN(A119&amp;"")=0,"",SUM(Base!F119,F119,Base!K119))</f>
        <v>65</v>
      </c>
      <c r="H119" s="61" t="n">
        <f aca="false">IF(LEN(A119&amp;"")=0,"",Base!L119)</f>
        <v>20</v>
      </c>
      <c r="I119" s="61" t="n">
        <f aca="false">IF(LEN(A119&amp;"")=0,"",G119-H119)</f>
        <v>45</v>
      </c>
      <c r="J119" s="61" t="n">
        <f aca="false">IF(LEN(A119&amp;"")=0,"",Base!M119)</f>
        <v>45</v>
      </c>
      <c r="K119" s="1" t="n">
        <f aca="false">IF(OR(LEN(A119&amp;"")=0,$P$3=0),0,IF(AND(B119&gt;=Painel!$B$8,B119&lt;=Painel!$G$8,OR(Painel!$L$8="Todos",C119=Painel!$L$8),OR(Painel!$Q$8="Todos",D119=Painel!$Q$8),OR(Painel!$V$8="Todas",E119=Painel!$V$8)),1,0))</f>
        <v>1</v>
      </c>
      <c r="L119" s="61" t="n">
        <f aca="false">IF(LEN(A119&amp;"")=0,"",J119-I119)</f>
        <v>0</v>
      </c>
      <c r="M119" s="1" t="n">
        <f aca="false">IF(LEN(A119&amp;"")=0,0,IF(COUNTIFS(Base!$A$7:$A$1006,A119)&gt;1,1,0))</f>
        <v>0</v>
      </c>
      <c r="N119" s="1" t="n">
        <f aca="false">IF(LEN(A119&amp;"")=0,0,IF(ABS(L119)&gt;0.005,1,0))</f>
        <v>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customFormat="false" ht="23" hidden="false" customHeight="true" outlineLevel="0" collapsed="false">
      <c r="A120" s="1" t="n">
        <f aca="false">IF(LEN(Base!A120&amp;"")=0,"",Base!A120)</f>
        <v>3344</v>
      </c>
      <c r="B120" s="60" t="n">
        <f aca="false">IF(LEN(A120&amp;"")=0,"",Base!D120)</f>
        <v>45461</v>
      </c>
      <c r="C120" s="1" t="str">
        <f aca="false">IF(LEN(A120&amp;"")=0,"",Base!C120)</f>
        <v>Standard</v>
      </c>
      <c r="D120" s="1" t="str">
        <f aca="false">IF(LEN(A120&amp;"")=0,"",Base!G120)</f>
        <v>Quarterly</v>
      </c>
      <c r="E120" s="1" t="str">
        <f aca="false">IF(LEN(A120&amp;"")=0,"",Base!E120)</f>
        <v>Yes</v>
      </c>
      <c r="F120" s="61" t="n">
        <f aca="false">IF(LEN(A120&amp;"")=0,"",IF(Base!I120="-",0,Base!I120))</f>
        <v>0</v>
      </c>
      <c r="G120" s="61" t="n">
        <f aca="false">IF(LEN(A120&amp;"")=0,"",SUM(Base!F120,F120,Base!K120))</f>
        <v>30</v>
      </c>
      <c r="H120" s="61" t="n">
        <f aca="false">IF(LEN(A120&amp;"")=0,"",Base!L120)</f>
        <v>12</v>
      </c>
      <c r="I120" s="61" t="n">
        <f aca="false">IF(LEN(A120&amp;"")=0,"",G120-H120)</f>
        <v>18</v>
      </c>
      <c r="J120" s="61" t="n">
        <f aca="false">IF(LEN(A120&amp;"")=0,"",Base!M120)</f>
        <v>18</v>
      </c>
      <c r="K120" s="1" t="n">
        <f aca="false">IF(OR(LEN(A120&amp;"")=0,$P$3=0),0,IF(AND(B120&gt;=Painel!$B$8,B120&lt;=Painel!$G$8,OR(Painel!$L$8="Todos",C120=Painel!$L$8),OR(Painel!$Q$8="Todos",D120=Painel!$Q$8),OR(Painel!$V$8="Todas",E120=Painel!$V$8)),1,0))</f>
        <v>1</v>
      </c>
      <c r="L120" s="61" t="n">
        <f aca="false">IF(LEN(A120&amp;"")=0,"",J120-I120)</f>
        <v>0</v>
      </c>
      <c r="M120" s="1" t="n">
        <f aca="false">IF(LEN(A120&amp;"")=0,0,IF(COUNTIFS(Base!$A$7:$A$1006,A120)&gt;1,1,0))</f>
        <v>0</v>
      </c>
      <c r="N120" s="1" t="n">
        <f aca="false">IF(LEN(A120&amp;"")=0,0,IF(ABS(L120)&gt;0.005,1,0))</f>
        <v>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customFormat="false" ht="23" hidden="false" customHeight="true" outlineLevel="0" collapsed="false">
      <c r="A121" s="1" t="n">
        <f aca="false">IF(LEN(Base!A121&amp;"")=0,"",Base!A121)</f>
        <v>3345</v>
      </c>
      <c r="B121" s="60" t="n">
        <f aca="false">IF(LEN(A121&amp;"")=0,"",Base!D121)</f>
        <v>45462</v>
      </c>
      <c r="C121" s="1" t="str">
        <f aca="false">IF(LEN(A121&amp;"")=0,"",Base!C121)</f>
        <v>Core</v>
      </c>
      <c r="D121" s="1" t="str">
        <f aca="false">IF(LEN(A121&amp;"")=0,"",Base!G121)</f>
        <v>Monthly</v>
      </c>
      <c r="E121" s="1" t="str">
        <f aca="false">IF(LEN(A121&amp;"")=0,"",Base!E121)</f>
        <v>No</v>
      </c>
      <c r="F121" s="61" t="n">
        <f aca="false">IF(LEN(A121&amp;"")=0,"",IF(Base!I121="-",0,Base!I121))</f>
        <v>0</v>
      </c>
      <c r="G121" s="61" t="n">
        <f aca="false">IF(LEN(A121&amp;"")=0,"",SUM(Base!F121,F121,Base!K121))</f>
        <v>5</v>
      </c>
      <c r="H121" s="61" t="n">
        <f aca="false">IF(LEN(A121&amp;"")=0,"",Base!L121)</f>
        <v>2</v>
      </c>
      <c r="I121" s="61" t="n">
        <f aca="false">IF(LEN(A121&amp;"")=0,"",G121-H121)</f>
        <v>3</v>
      </c>
      <c r="J121" s="61" t="n">
        <f aca="false">IF(LEN(A121&amp;"")=0,"",Base!M121)</f>
        <v>3</v>
      </c>
      <c r="K121" s="1" t="n">
        <f aca="false">IF(OR(LEN(A121&amp;"")=0,$P$3=0),0,IF(AND(B121&gt;=Painel!$B$8,B121&lt;=Painel!$G$8,OR(Painel!$L$8="Todos",C121=Painel!$L$8),OR(Painel!$Q$8="Todos",D121=Painel!$Q$8),OR(Painel!$V$8="Todas",E121=Painel!$V$8)),1,0))</f>
        <v>1</v>
      </c>
      <c r="L121" s="61" t="n">
        <f aca="false">IF(LEN(A121&amp;"")=0,"",J121-I121)</f>
        <v>0</v>
      </c>
      <c r="M121" s="1" t="n">
        <f aca="false">IF(LEN(A121&amp;"")=0,0,IF(COUNTIFS(Base!$A$7:$A$1006,A121)&gt;1,1,0))</f>
        <v>0</v>
      </c>
      <c r="N121" s="1" t="n">
        <f aca="false">IF(LEN(A121&amp;"")=0,0,IF(ABS(L121)&gt;0.005,1,0))</f>
        <v>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customFormat="false" ht="23" hidden="false" customHeight="true" outlineLevel="0" collapsed="false">
      <c r="A122" s="1" t="n">
        <f aca="false">IF(LEN(Base!A122&amp;"")=0,"",Base!A122)</f>
        <v>3346</v>
      </c>
      <c r="B122" s="60" t="n">
        <f aca="false">IF(LEN(A122&amp;"")=0,"",Base!D122)</f>
        <v>45463</v>
      </c>
      <c r="C122" s="1" t="str">
        <f aca="false">IF(LEN(A122&amp;"")=0,"",Base!C122)</f>
        <v>Ultimate</v>
      </c>
      <c r="D122" s="1" t="str">
        <f aca="false">IF(LEN(A122&amp;"")=0,"",Base!G122)</f>
        <v>Annual</v>
      </c>
      <c r="E122" s="1" t="str">
        <f aca="false">IF(LEN(A122&amp;"")=0,"",Base!E122)</f>
        <v>Yes</v>
      </c>
      <c r="F122" s="61" t="n">
        <f aca="false">IF(LEN(A122&amp;"")=0,"",IF(Base!I122="-",0,Base!I122))</f>
        <v>30</v>
      </c>
      <c r="G122" s="61" t="n">
        <f aca="false">IF(LEN(A122&amp;"")=0,"",SUM(Base!F122,F122,Base!K122))</f>
        <v>65</v>
      </c>
      <c r="H122" s="61" t="n">
        <f aca="false">IF(LEN(A122&amp;"")=0,"",Base!L122)</f>
        <v>5</v>
      </c>
      <c r="I122" s="61" t="n">
        <f aca="false">IF(LEN(A122&amp;"")=0,"",G122-H122)</f>
        <v>60</v>
      </c>
      <c r="J122" s="61" t="n">
        <f aca="false">IF(LEN(A122&amp;"")=0,"",Base!M122)</f>
        <v>60</v>
      </c>
      <c r="K122" s="1" t="n">
        <f aca="false">IF(OR(LEN(A122&amp;"")=0,$P$3=0),0,IF(AND(B122&gt;=Painel!$B$8,B122&lt;=Painel!$G$8,OR(Painel!$L$8="Todos",C122=Painel!$L$8),OR(Painel!$Q$8="Todos",D122=Painel!$Q$8),OR(Painel!$V$8="Todas",E122=Painel!$V$8)),1,0))</f>
        <v>1</v>
      </c>
      <c r="L122" s="61" t="n">
        <f aca="false">IF(LEN(A122&amp;"")=0,"",J122-I122)</f>
        <v>0</v>
      </c>
      <c r="M122" s="1" t="n">
        <f aca="false">IF(LEN(A122&amp;"")=0,0,IF(COUNTIFS(Base!$A$7:$A$1006,A122)&gt;1,1,0))</f>
        <v>0</v>
      </c>
      <c r="N122" s="1" t="n">
        <f aca="false">IF(LEN(A122&amp;"")=0,0,IF(ABS(L122)&gt;0.005,1,0))</f>
        <v>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customFormat="false" ht="23" hidden="false" customHeight="true" outlineLevel="0" collapsed="false">
      <c r="A123" s="1" t="n">
        <f aca="false">IF(LEN(Base!A123&amp;"")=0,"",Base!A123)</f>
        <v>3347</v>
      </c>
      <c r="B123" s="60" t="n">
        <f aca="false">IF(LEN(A123&amp;"")=0,"",Base!D123)</f>
        <v>45464</v>
      </c>
      <c r="C123" s="1" t="str">
        <f aca="false">IF(LEN(A123&amp;"")=0,"",Base!C123)</f>
        <v>Standard</v>
      </c>
      <c r="D123" s="1" t="str">
        <f aca="false">IF(LEN(A123&amp;"")=0,"",Base!G123)</f>
        <v>Monthly</v>
      </c>
      <c r="E123" s="1" t="str">
        <f aca="false">IF(LEN(A123&amp;"")=0,"",Base!E123)</f>
        <v>No</v>
      </c>
      <c r="F123" s="61" t="n">
        <f aca="false">IF(LEN(A123&amp;"")=0,"",IF(Base!I123="-",0,Base!I123))</f>
        <v>0</v>
      </c>
      <c r="G123" s="61" t="n">
        <f aca="false">IF(LEN(A123&amp;"")=0,"",SUM(Base!F123,F123,Base!K123))</f>
        <v>30</v>
      </c>
      <c r="H123" s="61" t="n">
        <f aca="false">IF(LEN(A123&amp;"")=0,"",Base!L123)</f>
        <v>10</v>
      </c>
      <c r="I123" s="61" t="n">
        <f aca="false">IF(LEN(A123&amp;"")=0,"",G123-H123)</f>
        <v>20</v>
      </c>
      <c r="J123" s="61" t="n">
        <f aca="false">IF(LEN(A123&amp;"")=0,"",Base!M123)</f>
        <v>20</v>
      </c>
      <c r="K123" s="1" t="n">
        <f aca="false">IF(OR(LEN(A123&amp;"")=0,$P$3=0),0,IF(AND(B123&gt;=Painel!$B$8,B123&lt;=Painel!$G$8,OR(Painel!$L$8="Todos",C123=Painel!$L$8),OR(Painel!$Q$8="Todos",D123=Painel!$Q$8),OR(Painel!$V$8="Todas",E123=Painel!$V$8)),1,0))</f>
        <v>1</v>
      </c>
      <c r="L123" s="61" t="n">
        <f aca="false">IF(LEN(A123&amp;"")=0,"",J123-I123)</f>
        <v>0</v>
      </c>
      <c r="M123" s="1" t="n">
        <f aca="false">IF(LEN(A123&amp;"")=0,0,IF(COUNTIFS(Base!$A$7:$A$1006,A123)&gt;1,1,0))</f>
        <v>0</v>
      </c>
      <c r="N123" s="1" t="n">
        <f aca="false">IF(LEN(A123&amp;"")=0,0,IF(ABS(L123)&gt;0.005,1,0))</f>
        <v>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customFormat="false" ht="23" hidden="false" customHeight="true" outlineLevel="0" collapsed="false">
      <c r="A124" s="1" t="n">
        <f aca="false">IF(LEN(Base!A124&amp;"")=0,"",Base!A124)</f>
        <v>3348</v>
      </c>
      <c r="B124" s="60" t="n">
        <f aca="false">IF(LEN(A124&amp;"")=0,"",Base!D124)</f>
        <v>45465</v>
      </c>
      <c r="C124" s="1" t="str">
        <f aca="false">IF(LEN(A124&amp;"")=0,"",Base!C124)</f>
        <v>Core</v>
      </c>
      <c r="D124" s="1" t="str">
        <f aca="false">IF(LEN(A124&amp;"")=0,"",Base!G124)</f>
        <v>Quarterly</v>
      </c>
      <c r="E124" s="1" t="str">
        <f aca="false">IF(LEN(A124&amp;"")=0,"",Base!E124)</f>
        <v>Yes</v>
      </c>
      <c r="F124" s="61" t="n">
        <f aca="false">IF(LEN(A124&amp;"")=0,"",IF(Base!I124="-",0,Base!I124))</f>
        <v>0</v>
      </c>
      <c r="G124" s="61" t="n">
        <f aca="false">IF(LEN(A124&amp;"")=0,"",SUM(Base!F124,F124,Base!K124))</f>
        <v>5</v>
      </c>
      <c r="H124" s="61" t="n">
        <f aca="false">IF(LEN(A124&amp;"")=0,"",Base!L124)</f>
        <v>0</v>
      </c>
      <c r="I124" s="61" t="n">
        <f aca="false">IF(LEN(A124&amp;"")=0,"",G124-H124)</f>
        <v>5</v>
      </c>
      <c r="J124" s="61" t="n">
        <f aca="false">IF(LEN(A124&amp;"")=0,"",Base!M124)</f>
        <v>5</v>
      </c>
      <c r="K124" s="1" t="n">
        <f aca="false">IF(OR(LEN(A124&amp;"")=0,$P$3=0),0,IF(AND(B124&gt;=Painel!$B$8,B124&lt;=Painel!$G$8,OR(Painel!$L$8="Todos",C124=Painel!$L$8),OR(Painel!$Q$8="Todos",D124=Painel!$Q$8),OR(Painel!$V$8="Todas",E124=Painel!$V$8)),1,0))</f>
        <v>1</v>
      </c>
      <c r="L124" s="61" t="n">
        <f aca="false">IF(LEN(A124&amp;"")=0,"",J124-I124)</f>
        <v>0</v>
      </c>
      <c r="M124" s="1" t="n">
        <f aca="false">IF(LEN(A124&amp;"")=0,0,IF(COUNTIFS(Base!$A$7:$A$1006,A124)&gt;1,1,0))</f>
        <v>0</v>
      </c>
      <c r="N124" s="1" t="n">
        <f aca="false">IF(LEN(A124&amp;"")=0,0,IF(ABS(L124)&gt;0.005,1,0))</f>
        <v>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customFormat="false" ht="23" hidden="false" customHeight="true" outlineLevel="0" collapsed="false">
      <c r="A125" s="1" t="n">
        <f aca="false">IF(LEN(Base!A125&amp;"")=0,"",Base!A125)</f>
        <v>3349</v>
      </c>
      <c r="B125" s="60" t="n">
        <f aca="false">IF(LEN(A125&amp;"")=0,"",Base!D125)</f>
        <v>45466</v>
      </c>
      <c r="C125" s="1" t="str">
        <f aca="false">IF(LEN(A125&amp;"")=0,"",Base!C125)</f>
        <v>Ultimate</v>
      </c>
      <c r="D125" s="1" t="str">
        <f aca="false">IF(LEN(A125&amp;"")=0,"",Base!G125)</f>
        <v>Monthly</v>
      </c>
      <c r="E125" s="1" t="str">
        <f aca="false">IF(LEN(A125&amp;"")=0,"",Base!E125)</f>
        <v>No</v>
      </c>
      <c r="F125" s="61" t="n">
        <f aca="false">IF(LEN(A125&amp;"")=0,"",IF(Base!I125="-",0,Base!I125))</f>
        <v>30</v>
      </c>
      <c r="G125" s="61" t="n">
        <f aca="false">IF(LEN(A125&amp;"")=0,"",SUM(Base!F125,F125,Base!K125))</f>
        <v>65</v>
      </c>
      <c r="H125" s="61" t="n">
        <f aca="false">IF(LEN(A125&amp;"")=0,"",Base!L125)</f>
        <v>3</v>
      </c>
      <c r="I125" s="61" t="n">
        <f aca="false">IF(LEN(A125&amp;"")=0,"",G125-H125)</f>
        <v>62</v>
      </c>
      <c r="J125" s="61" t="n">
        <f aca="false">IF(LEN(A125&amp;"")=0,"",Base!M125)</f>
        <v>62</v>
      </c>
      <c r="K125" s="1" t="n">
        <f aca="false">IF(OR(LEN(A125&amp;"")=0,$P$3=0),0,IF(AND(B125&gt;=Painel!$B$8,B125&lt;=Painel!$G$8,OR(Painel!$L$8="Todos",C125=Painel!$L$8),OR(Painel!$Q$8="Todos",D125=Painel!$Q$8),OR(Painel!$V$8="Todas",E125=Painel!$V$8)),1,0))</f>
        <v>1</v>
      </c>
      <c r="L125" s="61" t="n">
        <f aca="false">IF(LEN(A125&amp;"")=0,"",J125-I125)</f>
        <v>0</v>
      </c>
      <c r="M125" s="1" t="n">
        <f aca="false">IF(LEN(A125&amp;"")=0,0,IF(COUNTIFS(Base!$A$7:$A$1006,A125)&gt;1,1,0))</f>
        <v>0</v>
      </c>
      <c r="N125" s="1" t="n">
        <f aca="false">IF(LEN(A125&amp;"")=0,0,IF(ABS(L125)&gt;0.005,1,0))</f>
        <v>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customFormat="false" ht="23" hidden="false" customHeight="true" outlineLevel="0" collapsed="false">
      <c r="A126" s="1" t="n">
        <f aca="false">IF(LEN(Base!A126&amp;"")=0,"",Base!A126)</f>
        <v>3350</v>
      </c>
      <c r="B126" s="60" t="n">
        <f aca="false">IF(LEN(A126&amp;"")=0,"",Base!D126)</f>
        <v>45467</v>
      </c>
      <c r="C126" s="1" t="str">
        <f aca="false">IF(LEN(A126&amp;"")=0,"",Base!C126)</f>
        <v>Standard</v>
      </c>
      <c r="D126" s="1" t="str">
        <f aca="false">IF(LEN(A126&amp;"")=0,"",Base!G126)</f>
        <v>Annual</v>
      </c>
      <c r="E126" s="1" t="str">
        <f aca="false">IF(LEN(A126&amp;"")=0,"",Base!E126)</f>
        <v>Yes</v>
      </c>
      <c r="F126" s="61" t="n">
        <f aca="false">IF(LEN(A126&amp;"")=0,"",IF(Base!I126="-",0,Base!I126))</f>
        <v>0</v>
      </c>
      <c r="G126" s="61" t="n">
        <f aca="false">IF(LEN(A126&amp;"")=0,"",SUM(Base!F126,F126,Base!K126))</f>
        <v>30</v>
      </c>
      <c r="H126" s="61" t="n">
        <f aca="false">IF(LEN(A126&amp;"")=0,"",Base!L126)</f>
        <v>15</v>
      </c>
      <c r="I126" s="61" t="n">
        <f aca="false">IF(LEN(A126&amp;"")=0,"",G126-H126)</f>
        <v>15</v>
      </c>
      <c r="J126" s="61" t="n">
        <f aca="false">IF(LEN(A126&amp;"")=0,"",Base!M126)</f>
        <v>15</v>
      </c>
      <c r="K126" s="1" t="n">
        <f aca="false">IF(OR(LEN(A126&amp;"")=0,$P$3=0),0,IF(AND(B126&gt;=Painel!$B$8,B126&lt;=Painel!$G$8,OR(Painel!$L$8="Todos",C126=Painel!$L$8),OR(Painel!$Q$8="Todos",D126=Painel!$Q$8),OR(Painel!$V$8="Todas",E126=Painel!$V$8)),1,0))</f>
        <v>1</v>
      </c>
      <c r="L126" s="61" t="n">
        <f aca="false">IF(LEN(A126&amp;"")=0,"",J126-I126)</f>
        <v>0</v>
      </c>
      <c r="M126" s="1" t="n">
        <f aca="false">IF(LEN(A126&amp;"")=0,0,IF(COUNTIFS(Base!$A$7:$A$1006,A126)&gt;1,1,0))</f>
        <v>0</v>
      </c>
      <c r="N126" s="1" t="n">
        <f aca="false">IF(LEN(A126&amp;"")=0,0,IF(ABS(L126)&gt;0.005,1,0))</f>
        <v>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customFormat="false" ht="23" hidden="false" customHeight="true" outlineLevel="0" collapsed="false">
      <c r="A127" s="1" t="n">
        <f aca="false">IF(LEN(Base!A127&amp;"")=0,"",Base!A127)</f>
        <v>3351</v>
      </c>
      <c r="B127" s="60" t="n">
        <f aca="false">IF(LEN(A127&amp;"")=0,"",Base!D127)</f>
        <v>45468</v>
      </c>
      <c r="C127" s="1" t="str">
        <f aca="false">IF(LEN(A127&amp;"")=0,"",Base!C127)</f>
        <v>Core</v>
      </c>
      <c r="D127" s="1" t="str">
        <f aca="false">IF(LEN(A127&amp;"")=0,"",Base!G127)</f>
        <v>Monthly</v>
      </c>
      <c r="E127" s="1" t="str">
        <f aca="false">IF(LEN(A127&amp;"")=0,"",Base!E127)</f>
        <v>No</v>
      </c>
      <c r="F127" s="61" t="n">
        <f aca="false">IF(LEN(A127&amp;"")=0,"",IF(Base!I127="-",0,Base!I127))</f>
        <v>0</v>
      </c>
      <c r="G127" s="61" t="n">
        <f aca="false">IF(LEN(A127&amp;"")=0,"",SUM(Base!F127,F127,Base!K127))</f>
        <v>5</v>
      </c>
      <c r="H127" s="61" t="n">
        <f aca="false">IF(LEN(A127&amp;"")=0,"",Base!L127)</f>
        <v>1</v>
      </c>
      <c r="I127" s="61" t="n">
        <f aca="false">IF(LEN(A127&amp;"")=0,"",G127-H127)</f>
        <v>4</v>
      </c>
      <c r="J127" s="61" t="n">
        <f aca="false">IF(LEN(A127&amp;"")=0,"",Base!M127)</f>
        <v>4</v>
      </c>
      <c r="K127" s="1" t="n">
        <f aca="false">IF(OR(LEN(A127&amp;"")=0,$P$3=0),0,IF(AND(B127&gt;=Painel!$B$8,B127&lt;=Painel!$G$8,OR(Painel!$L$8="Todos",C127=Painel!$L$8),OR(Painel!$Q$8="Todos",D127=Painel!$Q$8),OR(Painel!$V$8="Todas",E127=Painel!$V$8)),1,0))</f>
        <v>1</v>
      </c>
      <c r="L127" s="61" t="n">
        <f aca="false">IF(LEN(A127&amp;"")=0,"",J127-I127)</f>
        <v>0</v>
      </c>
      <c r="M127" s="1" t="n">
        <f aca="false">IF(LEN(A127&amp;"")=0,0,IF(COUNTIFS(Base!$A$7:$A$1006,A127)&gt;1,1,0))</f>
        <v>0</v>
      </c>
      <c r="N127" s="1" t="n">
        <f aca="false">IF(LEN(A127&amp;"")=0,0,IF(ABS(L127)&gt;0.005,1,0))</f>
        <v>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customFormat="false" ht="23" hidden="false" customHeight="true" outlineLevel="0" collapsed="false">
      <c r="A128" s="1" t="n">
        <f aca="false">IF(LEN(Base!A128&amp;"")=0,"",Base!A128)</f>
        <v>3352</v>
      </c>
      <c r="B128" s="60" t="n">
        <f aca="false">IF(LEN(A128&amp;"")=0,"",Base!D128)</f>
        <v>45469</v>
      </c>
      <c r="C128" s="1" t="str">
        <f aca="false">IF(LEN(A128&amp;"")=0,"",Base!C128)</f>
        <v>Ultimate</v>
      </c>
      <c r="D128" s="1" t="str">
        <f aca="false">IF(LEN(A128&amp;"")=0,"",Base!G128)</f>
        <v>Quarterly</v>
      </c>
      <c r="E128" s="1" t="str">
        <f aca="false">IF(LEN(A128&amp;"")=0,"",Base!E128)</f>
        <v>Yes</v>
      </c>
      <c r="F128" s="61" t="n">
        <f aca="false">IF(LEN(A128&amp;"")=0,"",IF(Base!I128="-",0,Base!I128))</f>
        <v>30</v>
      </c>
      <c r="G128" s="61" t="n">
        <f aca="false">IF(LEN(A128&amp;"")=0,"",SUM(Base!F128,F128,Base!K128))</f>
        <v>65</v>
      </c>
      <c r="H128" s="61" t="n">
        <f aca="false">IF(LEN(A128&amp;"")=0,"",Base!L128)</f>
        <v>7</v>
      </c>
      <c r="I128" s="61" t="n">
        <f aca="false">IF(LEN(A128&amp;"")=0,"",G128-H128)</f>
        <v>58</v>
      </c>
      <c r="J128" s="61" t="n">
        <f aca="false">IF(LEN(A128&amp;"")=0,"",Base!M128)</f>
        <v>58</v>
      </c>
      <c r="K128" s="1" t="n">
        <f aca="false">IF(OR(LEN(A128&amp;"")=0,$P$3=0),0,IF(AND(B128&gt;=Painel!$B$8,B128&lt;=Painel!$G$8,OR(Painel!$L$8="Todos",C128=Painel!$L$8),OR(Painel!$Q$8="Todos",D128=Painel!$Q$8),OR(Painel!$V$8="Todas",E128=Painel!$V$8)),1,0))</f>
        <v>1</v>
      </c>
      <c r="L128" s="61" t="n">
        <f aca="false">IF(LEN(A128&amp;"")=0,"",J128-I128)</f>
        <v>0</v>
      </c>
      <c r="M128" s="1" t="n">
        <f aca="false">IF(LEN(A128&amp;"")=0,0,IF(COUNTIFS(Base!$A$7:$A$1006,A128)&gt;1,1,0))</f>
        <v>0</v>
      </c>
      <c r="N128" s="1" t="n">
        <f aca="false">IF(LEN(A128&amp;"")=0,0,IF(ABS(L128)&gt;0.005,1,0))</f>
        <v>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customFormat="false" ht="23" hidden="false" customHeight="true" outlineLevel="0" collapsed="false">
      <c r="A129" s="1" t="n">
        <f aca="false">IF(LEN(Base!A129&amp;"")=0,"",Base!A129)</f>
        <v>3353</v>
      </c>
      <c r="B129" s="60" t="n">
        <f aca="false">IF(LEN(A129&amp;"")=0,"",Base!D129)</f>
        <v>45470</v>
      </c>
      <c r="C129" s="1" t="str">
        <f aca="false">IF(LEN(A129&amp;"")=0,"",Base!C129)</f>
        <v>Standard</v>
      </c>
      <c r="D129" s="1" t="str">
        <f aca="false">IF(LEN(A129&amp;"")=0,"",Base!G129)</f>
        <v>Monthly</v>
      </c>
      <c r="E129" s="1" t="str">
        <f aca="false">IF(LEN(A129&amp;"")=0,"",Base!E129)</f>
        <v>No</v>
      </c>
      <c r="F129" s="61" t="n">
        <f aca="false">IF(LEN(A129&amp;"")=0,"",IF(Base!I129="-",0,Base!I129))</f>
        <v>0</v>
      </c>
      <c r="G129" s="61" t="n">
        <f aca="false">IF(LEN(A129&amp;"")=0,"",SUM(Base!F129,F129,Base!K129))</f>
        <v>30</v>
      </c>
      <c r="H129" s="61" t="n">
        <f aca="false">IF(LEN(A129&amp;"")=0,"",Base!L129)</f>
        <v>10</v>
      </c>
      <c r="I129" s="61" t="n">
        <f aca="false">IF(LEN(A129&amp;"")=0,"",G129-H129)</f>
        <v>20</v>
      </c>
      <c r="J129" s="61" t="n">
        <f aca="false">IF(LEN(A129&amp;"")=0,"",Base!M129)</f>
        <v>20</v>
      </c>
      <c r="K129" s="1" t="n">
        <f aca="false">IF(OR(LEN(A129&amp;"")=0,$P$3=0),0,IF(AND(B129&gt;=Painel!$B$8,B129&lt;=Painel!$G$8,OR(Painel!$L$8="Todos",C129=Painel!$L$8),OR(Painel!$Q$8="Todos",D129=Painel!$Q$8),OR(Painel!$V$8="Todas",E129=Painel!$V$8)),1,0))</f>
        <v>1</v>
      </c>
      <c r="L129" s="61" t="n">
        <f aca="false">IF(LEN(A129&amp;"")=0,"",J129-I129)</f>
        <v>0</v>
      </c>
      <c r="M129" s="1" t="n">
        <f aca="false">IF(LEN(A129&amp;"")=0,0,IF(COUNTIFS(Base!$A$7:$A$1006,A129)&gt;1,1,0))</f>
        <v>0</v>
      </c>
      <c r="N129" s="1" t="n">
        <f aca="false">IF(LEN(A129&amp;"")=0,0,IF(ABS(L129)&gt;0.005,1,0))</f>
        <v>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customFormat="false" ht="23" hidden="false" customHeight="true" outlineLevel="0" collapsed="false">
      <c r="A130" s="1" t="n">
        <f aca="false">IF(LEN(Base!A130&amp;"")=0,"",Base!A130)</f>
        <v>3354</v>
      </c>
      <c r="B130" s="60" t="n">
        <f aca="false">IF(LEN(A130&amp;"")=0,"",Base!D130)</f>
        <v>45471</v>
      </c>
      <c r="C130" s="1" t="str">
        <f aca="false">IF(LEN(A130&amp;"")=0,"",Base!C130)</f>
        <v>Core</v>
      </c>
      <c r="D130" s="1" t="str">
        <f aca="false">IF(LEN(A130&amp;"")=0,"",Base!G130)</f>
        <v>Annual</v>
      </c>
      <c r="E130" s="1" t="str">
        <f aca="false">IF(LEN(A130&amp;"")=0,"",Base!E130)</f>
        <v>Yes</v>
      </c>
      <c r="F130" s="61" t="n">
        <f aca="false">IF(LEN(A130&amp;"")=0,"",IF(Base!I130="-",0,Base!I130))</f>
        <v>0</v>
      </c>
      <c r="G130" s="61" t="n">
        <f aca="false">IF(LEN(A130&amp;"")=0,"",SUM(Base!F130,F130,Base!K130))</f>
        <v>5</v>
      </c>
      <c r="H130" s="61" t="n">
        <f aca="false">IF(LEN(A130&amp;"")=0,"",Base!L130)</f>
        <v>0</v>
      </c>
      <c r="I130" s="61" t="n">
        <f aca="false">IF(LEN(A130&amp;"")=0,"",G130-H130)</f>
        <v>5</v>
      </c>
      <c r="J130" s="61" t="n">
        <f aca="false">IF(LEN(A130&amp;"")=0,"",Base!M130)</f>
        <v>5</v>
      </c>
      <c r="K130" s="1" t="n">
        <f aca="false">IF(OR(LEN(A130&amp;"")=0,$P$3=0),0,IF(AND(B130&gt;=Painel!$B$8,B130&lt;=Painel!$G$8,OR(Painel!$L$8="Todos",C130=Painel!$L$8),OR(Painel!$Q$8="Todos",D130=Painel!$Q$8),OR(Painel!$V$8="Todas",E130=Painel!$V$8)),1,0))</f>
        <v>1</v>
      </c>
      <c r="L130" s="61" t="n">
        <f aca="false">IF(LEN(A130&amp;"")=0,"",J130-I130)</f>
        <v>0</v>
      </c>
      <c r="M130" s="1" t="n">
        <f aca="false">IF(LEN(A130&amp;"")=0,0,IF(COUNTIFS(Base!$A$7:$A$1006,A130)&gt;1,1,0))</f>
        <v>0</v>
      </c>
      <c r="N130" s="1" t="n">
        <f aca="false">IF(LEN(A130&amp;"")=0,0,IF(ABS(L130)&gt;0.005,1,0))</f>
        <v>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customFormat="false" ht="23" hidden="false" customHeight="true" outlineLevel="0" collapsed="false">
      <c r="A131" s="1" t="n">
        <f aca="false">IF(LEN(Base!A131&amp;"")=0,"",Base!A131)</f>
        <v>3355</v>
      </c>
      <c r="B131" s="60" t="n">
        <f aca="false">IF(LEN(A131&amp;"")=0,"",Base!D131)</f>
        <v>45472</v>
      </c>
      <c r="C131" s="1" t="str">
        <f aca="false">IF(LEN(A131&amp;"")=0,"",Base!C131)</f>
        <v>Ultimate</v>
      </c>
      <c r="D131" s="1" t="str">
        <f aca="false">IF(LEN(A131&amp;"")=0,"",Base!G131)</f>
        <v>Monthly</v>
      </c>
      <c r="E131" s="1" t="str">
        <f aca="false">IF(LEN(A131&amp;"")=0,"",Base!E131)</f>
        <v>No</v>
      </c>
      <c r="F131" s="61" t="n">
        <f aca="false">IF(LEN(A131&amp;"")=0,"",IF(Base!I131="-",0,Base!I131))</f>
        <v>30</v>
      </c>
      <c r="G131" s="61" t="n">
        <f aca="false">IF(LEN(A131&amp;"")=0,"",SUM(Base!F131,F131,Base!K131))</f>
        <v>65</v>
      </c>
      <c r="H131" s="61" t="n">
        <f aca="false">IF(LEN(A131&amp;"")=0,"",Base!L131)</f>
        <v>20</v>
      </c>
      <c r="I131" s="61" t="n">
        <f aca="false">IF(LEN(A131&amp;"")=0,"",G131-H131)</f>
        <v>45</v>
      </c>
      <c r="J131" s="61" t="n">
        <f aca="false">IF(LEN(A131&amp;"")=0,"",Base!M131)</f>
        <v>45</v>
      </c>
      <c r="K131" s="1" t="n">
        <f aca="false">IF(OR(LEN(A131&amp;"")=0,$P$3=0),0,IF(AND(B131&gt;=Painel!$B$8,B131&lt;=Painel!$G$8,OR(Painel!$L$8="Todos",C131=Painel!$L$8),OR(Painel!$Q$8="Todos",D131=Painel!$Q$8),OR(Painel!$V$8="Todas",E131=Painel!$V$8)),1,0))</f>
        <v>1</v>
      </c>
      <c r="L131" s="61" t="n">
        <f aca="false">IF(LEN(A131&amp;"")=0,"",J131-I131)</f>
        <v>0</v>
      </c>
      <c r="M131" s="1" t="n">
        <f aca="false">IF(LEN(A131&amp;"")=0,0,IF(COUNTIFS(Base!$A$7:$A$1006,A131)&gt;1,1,0))</f>
        <v>0</v>
      </c>
      <c r="N131" s="1" t="n">
        <f aca="false">IF(LEN(A131&amp;"")=0,0,IF(ABS(L131)&gt;0.005,1,0))</f>
        <v>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customFormat="false" ht="23" hidden="false" customHeight="true" outlineLevel="0" collapsed="false">
      <c r="A132" s="1" t="n">
        <f aca="false">IF(LEN(Base!A132&amp;"")=0,"",Base!A132)</f>
        <v>3356</v>
      </c>
      <c r="B132" s="60" t="n">
        <f aca="false">IF(LEN(A132&amp;"")=0,"",Base!D132)</f>
        <v>45473</v>
      </c>
      <c r="C132" s="1" t="str">
        <f aca="false">IF(LEN(A132&amp;"")=0,"",Base!C132)</f>
        <v>Standard</v>
      </c>
      <c r="D132" s="1" t="str">
        <f aca="false">IF(LEN(A132&amp;"")=0,"",Base!G132)</f>
        <v>Quarterly</v>
      </c>
      <c r="E132" s="1" t="str">
        <f aca="false">IF(LEN(A132&amp;"")=0,"",Base!E132)</f>
        <v>Yes</v>
      </c>
      <c r="F132" s="61" t="n">
        <f aca="false">IF(LEN(A132&amp;"")=0,"",IF(Base!I132="-",0,Base!I132))</f>
        <v>0</v>
      </c>
      <c r="G132" s="61" t="n">
        <f aca="false">IF(LEN(A132&amp;"")=0,"",SUM(Base!F132,F132,Base!K132))</f>
        <v>30</v>
      </c>
      <c r="H132" s="61" t="n">
        <f aca="false">IF(LEN(A132&amp;"")=0,"",Base!L132)</f>
        <v>15</v>
      </c>
      <c r="I132" s="61" t="n">
        <f aca="false">IF(LEN(A132&amp;"")=0,"",G132-H132)</f>
        <v>15</v>
      </c>
      <c r="J132" s="61" t="n">
        <f aca="false">IF(LEN(A132&amp;"")=0,"",Base!M132)</f>
        <v>15</v>
      </c>
      <c r="K132" s="1" t="n">
        <f aca="false">IF(OR(LEN(A132&amp;"")=0,$P$3=0),0,IF(AND(B132&gt;=Painel!$B$8,B132&lt;=Painel!$G$8,OR(Painel!$L$8="Todos",C132=Painel!$L$8),OR(Painel!$Q$8="Todos",D132=Painel!$Q$8),OR(Painel!$V$8="Todas",E132=Painel!$V$8)),1,0))</f>
        <v>1</v>
      </c>
      <c r="L132" s="61" t="n">
        <f aca="false">IF(LEN(A132&amp;"")=0,"",J132-I132)</f>
        <v>0</v>
      </c>
      <c r="M132" s="1" t="n">
        <f aca="false">IF(LEN(A132&amp;"")=0,0,IF(COUNTIFS(Base!$A$7:$A$1006,A132)&gt;1,1,0))</f>
        <v>0</v>
      </c>
      <c r="N132" s="1" t="n">
        <f aca="false">IF(LEN(A132&amp;"")=0,0,IF(ABS(L132)&gt;0.005,1,0))</f>
        <v>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customFormat="false" ht="23" hidden="false" customHeight="true" outlineLevel="0" collapsed="false">
      <c r="A133" s="1" t="n">
        <f aca="false">IF(LEN(Base!A133&amp;"")=0,"",Base!A133)</f>
        <v>3357</v>
      </c>
      <c r="B133" s="60" t="n">
        <f aca="false">IF(LEN(A133&amp;"")=0,"",Base!D133)</f>
        <v>45474</v>
      </c>
      <c r="C133" s="1" t="str">
        <f aca="false">IF(LEN(A133&amp;"")=0,"",Base!C133)</f>
        <v>Core</v>
      </c>
      <c r="D133" s="1" t="str">
        <f aca="false">IF(LEN(A133&amp;"")=0,"",Base!G133)</f>
        <v>Monthly</v>
      </c>
      <c r="E133" s="1" t="str">
        <f aca="false">IF(LEN(A133&amp;"")=0,"",Base!E133)</f>
        <v>No</v>
      </c>
      <c r="F133" s="61" t="n">
        <f aca="false">IF(LEN(A133&amp;"")=0,"",IF(Base!I133="-",0,Base!I133))</f>
        <v>0</v>
      </c>
      <c r="G133" s="61" t="n">
        <f aca="false">IF(LEN(A133&amp;"")=0,"",SUM(Base!F133,F133,Base!K133))</f>
        <v>5</v>
      </c>
      <c r="H133" s="61" t="n">
        <f aca="false">IF(LEN(A133&amp;"")=0,"",Base!L133)</f>
        <v>1</v>
      </c>
      <c r="I133" s="61" t="n">
        <f aca="false">IF(LEN(A133&amp;"")=0,"",G133-H133)</f>
        <v>4</v>
      </c>
      <c r="J133" s="61" t="n">
        <f aca="false">IF(LEN(A133&amp;"")=0,"",Base!M133)</f>
        <v>4</v>
      </c>
      <c r="K133" s="1" t="n">
        <f aca="false">IF(OR(LEN(A133&amp;"")=0,$P$3=0),0,IF(AND(B133&gt;=Painel!$B$8,B133&lt;=Painel!$G$8,OR(Painel!$L$8="Todos",C133=Painel!$L$8),OR(Painel!$Q$8="Todos",D133=Painel!$Q$8),OR(Painel!$V$8="Todas",E133=Painel!$V$8)),1,0))</f>
        <v>1</v>
      </c>
      <c r="L133" s="61" t="n">
        <f aca="false">IF(LEN(A133&amp;"")=0,"",J133-I133)</f>
        <v>0</v>
      </c>
      <c r="M133" s="1" t="n">
        <f aca="false">IF(LEN(A133&amp;"")=0,0,IF(COUNTIFS(Base!$A$7:$A$1006,A133)&gt;1,1,0))</f>
        <v>0</v>
      </c>
      <c r="N133" s="1" t="n">
        <f aca="false">IF(LEN(A133&amp;"")=0,0,IF(ABS(L133)&gt;0.005,1,0))</f>
        <v>0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customFormat="false" ht="23" hidden="false" customHeight="true" outlineLevel="0" collapsed="false">
      <c r="A134" s="1" t="n">
        <f aca="false">IF(LEN(Base!A134&amp;"")=0,"",Base!A134)</f>
        <v>3358</v>
      </c>
      <c r="B134" s="60" t="n">
        <f aca="false">IF(LEN(A134&amp;"")=0,"",Base!D134)</f>
        <v>45475</v>
      </c>
      <c r="C134" s="1" t="str">
        <f aca="false">IF(LEN(A134&amp;"")=0,"",Base!C134)</f>
        <v>Ultimate</v>
      </c>
      <c r="D134" s="1" t="str">
        <f aca="false">IF(LEN(A134&amp;"")=0,"",Base!G134)</f>
        <v>Annual</v>
      </c>
      <c r="E134" s="1" t="str">
        <f aca="false">IF(LEN(A134&amp;"")=0,"",Base!E134)</f>
        <v>Yes</v>
      </c>
      <c r="F134" s="61" t="n">
        <f aca="false">IF(LEN(A134&amp;"")=0,"",IF(Base!I134="-",0,Base!I134))</f>
        <v>30</v>
      </c>
      <c r="G134" s="61" t="n">
        <f aca="false">IF(LEN(A134&amp;"")=0,"",SUM(Base!F134,F134,Base!K134))</f>
        <v>65</v>
      </c>
      <c r="H134" s="61" t="n">
        <f aca="false">IF(LEN(A134&amp;"")=0,"",Base!L134)</f>
        <v>3</v>
      </c>
      <c r="I134" s="61" t="n">
        <f aca="false">IF(LEN(A134&amp;"")=0,"",G134-H134)</f>
        <v>62</v>
      </c>
      <c r="J134" s="61" t="n">
        <f aca="false">IF(LEN(A134&amp;"")=0,"",Base!M134)</f>
        <v>62</v>
      </c>
      <c r="K134" s="1" t="n">
        <f aca="false">IF(OR(LEN(A134&amp;"")=0,$P$3=0),0,IF(AND(B134&gt;=Painel!$B$8,B134&lt;=Painel!$G$8,OR(Painel!$L$8="Todos",C134=Painel!$L$8),OR(Painel!$Q$8="Todos",D134=Painel!$Q$8),OR(Painel!$V$8="Todas",E134=Painel!$V$8)),1,0))</f>
        <v>1</v>
      </c>
      <c r="L134" s="61" t="n">
        <f aca="false">IF(LEN(A134&amp;"")=0,"",J134-I134)</f>
        <v>0</v>
      </c>
      <c r="M134" s="1" t="n">
        <f aca="false">IF(LEN(A134&amp;"")=0,0,IF(COUNTIFS(Base!$A$7:$A$1006,A134)&gt;1,1,0))</f>
        <v>0</v>
      </c>
      <c r="N134" s="1" t="n">
        <f aca="false">IF(LEN(A134&amp;"")=0,0,IF(ABS(L134)&gt;0.005,1,0))</f>
        <v>0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customFormat="false" ht="23" hidden="false" customHeight="true" outlineLevel="0" collapsed="false">
      <c r="A135" s="1" t="n">
        <f aca="false">IF(LEN(Base!A135&amp;"")=0,"",Base!A135)</f>
        <v>3359</v>
      </c>
      <c r="B135" s="60" t="n">
        <f aca="false">IF(LEN(A135&amp;"")=0,"",Base!D135)</f>
        <v>45476</v>
      </c>
      <c r="C135" s="1" t="str">
        <f aca="false">IF(LEN(A135&amp;"")=0,"",Base!C135)</f>
        <v>Standard</v>
      </c>
      <c r="D135" s="1" t="str">
        <f aca="false">IF(LEN(A135&amp;"")=0,"",Base!G135)</f>
        <v>Monthly</v>
      </c>
      <c r="E135" s="1" t="str">
        <f aca="false">IF(LEN(A135&amp;"")=0,"",Base!E135)</f>
        <v>No</v>
      </c>
      <c r="F135" s="61" t="n">
        <f aca="false">IF(LEN(A135&amp;"")=0,"",IF(Base!I135="-",0,Base!I135))</f>
        <v>0</v>
      </c>
      <c r="G135" s="61" t="n">
        <f aca="false">IF(LEN(A135&amp;"")=0,"",SUM(Base!F135,F135,Base!K135))</f>
        <v>30</v>
      </c>
      <c r="H135" s="61" t="n">
        <f aca="false">IF(LEN(A135&amp;"")=0,"",Base!L135)</f>
        <v>10</v>
      </c>
      <c r="I135" s="61" t="n">
        <f aca="false">IF(LEN(A135&amp;"")=0,"",G135-H135)</f>
        <v>20</v>
      </c>
      <c r="J135" s="61" t="n">
        <f aca="false">IF(LEN(A135&amp;"")=0,"",Base!M135)</f>
        <v>20</v>
      </c>
      <c r="K135" s="1" t="n">
        <f aca="false">IF(OR(LEN(A135&amp;"")=0,$P$3=0),0,IF(AND(B135&gt;=Painel!$B$8,B135&lt;=Painel!$G$8,OR(Painel!$L$8="Todos",C135=Painel!$L$8),OR(Painel!$Q$8="Todos",D135=Painel!$Q$8),OR(Painel!$V$8="Todas",E135=Painel!$V$8)),1,0))</f>
        <v>1</v>
      </c>
      <c r="L135" s="61" t="n">
        <f aca="false">IF(LEN(A135&amp;"")=0,"",J135-I135)</f>
        <v>0</v>
      </c>
      <c r="M135" s="1" t="n">
        <f aca="false">IF(LEN(A135&amp;"")=0,0,IF(COUNTIFS(Base!$A$7:$A$1006,A135)&gt;1,1,0))</f>
        <v>0</v>
      </c>
      <c r="N135" s="1" t="n">
        <f aca="false">IF(LEN(A135&amp;"")=0,0,IF(ABS(L135)&gt;0.005,1,0))</f>
        <v>0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customFormat="false" ht="23" hidden="false" customHeight="true" outlineLevel="0" collapsed="false">
      <c r="A136" s="1" t="n">
        <f aca="false">IF(LEN(Base!A136&amp;"")=0,"",Base!A136)</f>
        <v>3360</v>
      </c>
      <c r="B136" s="60" t="n">
        <f aca="false">IF(LEN(A136&amp;"")=0,"",Base!D136)</f>
        <v>45477</v>
      </c>
      <c r="C136" s="1" t="str">
        <f aca="false">IF(LEN(A136&amp;"")=0,"",Base!C136)</f>
        <v>Core</v>
      </c>
      <c r="D136" s="1" t="str">
        <f aca="false">IF(LEN(A136&amp;"")=0,"",Base!G136)</f>
        <v>Quarterly</v>
      </c>
      <c r="E136" s="1" t="str">
        <f aca="false">IF(LEN(A136&amp;"")=0,"",Base!E136)</f>
        <v>Yes</v>
      </c>
      <c r="F136" s="61" t="n">
        <f aca="false">IF(LEN(A136&amp;"")=0,"",IF(Base!I136="-",0,Base!I136))</f>
        <v>0</v>
      </c>
      <c r="G136" s="61" t="n">
        <f aca="false">IF(LEN(A136&amp;"")=0,"",SUM(Base!F136,F136,Base!K136))</f>
        <v>5</v>
      </c>
      <c r="H136" s="61" t="n">
        <f aca="false">IF(LEN(A136&amp;"")=0,"",Base!L136)</f>
        <v>0</v>
      </c>
      <c r="I136" s="61" t="n">
        <f aca="false">IF(LEN(A136&amp;"")=0,"",G136-H136)</f>
        <v>5</v>
      </c>
      <c r="J136" s="61" t="n">
        <f aca="false">IF(LEN(A136&amp;"")=0,"",Base!M136)</f>
        <v>5</v>
      </c>
      <c r="K136" s="1" t="n">
        <f aca="false">IF(OR(LEN(A136&amp;"")=0,$P$3=0),0,IF(AND(B136&gt;=Painel!$B$8,B136&lt;=Painel!$G$8,OR(Painel!$L$8="Todos",C136=Painel!$L$8),OR(Painel!$Q$8="Todos",D136=Painel!$Q$8),OR(Painel!$V$8="Todas",E136=Painel!$V$8)),1,0))</f>
        <v>1</v>
      </c>
      <c r="L136" s="61" t="n">
        <f aca="false">IF(LEN(A136&amp;"")=0,"",J136-I136)</f>
        <v>0</v>
      </c>
      <c r="M136" s="1" t="n">
        <f aca="false">IF(LEN(A136&amp;"")=0,0,IF(COUNTIFS(Base!$A$7:$A$1006,A136)&gt;1,1,0))</f>
        <v>0</v>
      </c>
      <c r="N136" s="1" t="n">
        <f aca="false">IF(LEN(A136&amp;"")=0,0,IF(ABS(L136)&gt;0.005,1,0))</f>
        <v>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customFormat="false" ht="23" hidden="false" customHeight="true" outlineLevel="0" collapsed="false">
      <c r="A137" s="1" t="n">
        <f aca="false">IF(LEN(Base!A137&amp;"")=0,"",Base!A137)</f>
        <v>3361</v>
      </c>
      <c r="B137" s="60" t="n">
        <f aca="false">IF(LEN(A137&amp;"")=0,"",Base!D137)</f>
        <v>45478</v>
      </c>
      <c r="C137" s="1" t="str">
        <f aca="false">IF(LEN(A137&amp;"")=0,"",Base!C137)</f>
        <v>Ultimate</v>
      </c>
      <c r="D137" s="1" t="str">
        <f aca="false">IF(LEN(A137&amp;"")=0,"",Base!G137)</f>
        <v>Monthly</v>
      </c>
      <c r="E137" s="1" t="str">
        <f aca="false">IF(LEN(A137&amp;"")=0,"",Base!E137)</f>
        <v>No</v>
      </c>
      <c r="F137" s="61" t="n">
        <f aca="false">IF(LEN(A137&amp;"")=0,"",IF(Base!I137="-",0,Base!I137))</f>
        <v>30</v>
      </c>
      <c r="G137" s="61" t="n">
        <f aca="false">IF(LEN(A137&amp;"")=0,"",SUM(Base!F137,F137,Base!K137))</f>
        <v>65</v>
      </c>
      <c r="H137" s="61" t="n">
        <f aca="false">IF(LEN(A137&amp;"")=0,"",Base!L137)</f>
        <v>15</v>
      </c>
      <c r="I137" s="61" t="n">
        <f aca="false">IF(LEN(A137&amp;"")=0,"",G137-H137)</f>
        <v>50</v>
      </c>
      <c r="J137" s="61" t="n">
        <f aca="false">IF(LEN(A137&amp;"")=0,"",Base!M137)</f>
        <v>50</v>
      </c>
      <c r="K137" s="1" t="n">
        <f aca="false">IF(OR(LEN(A137&amp;"")=0,$P$3=0),0,IF(AND(B137&gt;=Painel!$B$8,B137&lt;=Painel!$G$8,OR(Painel!$L$8="Todos",C137=Painel!$L$8),OR(Painel!$Q$8="Todos",D137=Painel!$Q$8),OR(Painel!$V$8="Todas",E137=Painel!$V$8)),1,0))</f>
        <v>1</v>
      </c>
      <c r="L137" s="61" t="n">
        <f aca="false">IF(LEN(A137&amp;"")=0,"",J137-I137)</f>
        <v>0</v>
      </c>
      <c r="M137" s="1" t="n">
        <f aca="false">IF(LEN(A137&amp;"")=0,0,IF(COUNTIFS(Base!$A$7:$A$1006,A137)&gt;1,1,0))</f>
        <v>0</v>
      </c>
      <c r="N137" s="1" t="n">
        <f aca="false">IF(LEN(A137&amp;"")=0,0,IF(ABS(L137)&gt;0.005,1,0))</f>
        <v>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customFormat="false" ht="23" hidden="false" customHeight="true" outlineLevel="0" collapsed="false">
      <c r="A138" s="1" t="n">
        <f aca="false">IF(LEN(Base!A138&amp;"")=0,"",Base!A138)</f>
        <v>3362</v>
      </c>
      <c r="B138" s="60" t="n">
        <f aca="false">IF(LEN(A138&amp;"")=0,"",Base!D138)</f>
        <v>45479</v>
      </c>
      <c r="C138" s="1" t="str">
        <f aca="false">IF(LEN(A138&amp;"")=0,"",Base!C138)</f>
        <v>Standard</v>
      </c>
      <c r="D138" s="1" t="str">
        <f aca="false">IF(LEN(A138&amp;"")=0,"",Base!G138)</f>
        <v>Annual</v>
      </c>
      <c r="E138" s="1" t="str">
        <f aca="false">IF(LEN(A138&amp;"")=0,"",Base!E138)</f>
        <v>Yes</v>
      </c>
      <c r="F138" s="61" t="n">
        <f aca="false">IF(LEN(A138&amp;"")=0,"",IF(Base!I138="-",0,Base!I138))</f>
        <v>0</v>
      </c>
      <c r="G138" s="61" t="n">
        <f aca="false">IF(LEN(A138&amp;"")=0,"",SUM(Base!F138,F138,Base!K138))</f>
        <v>30</v>
      </c>
      <c r="H138" s="61" t="n">
        <f aca="false">IF(LEN(A138&amp;"")=0,"",Base!L138)</f>
        <v>15</v>
      </c>
      <c r="I138" s="61" t="n">
        <f aca="false">IF(LEN(A138&amp;"")=0,"",G138-H138)</f>
        <v>15</v>
      </c>
      <c r="J138" s="61" t="n">
        <f aca="false">IF(LEN(A138&amp;"")=0,"",Base!M138)</f>
        <v>15</v>
      </c>
      <c r="K138" s="1" t="n">
        <f aca="false">IF(OR(LEN(A138&amp;"")=0,$P$3=0),0,IF(AND(B138&gt;=Painel!$B$8,B138&lt;=Painel!$G$8,OR(Painel!$L$8="Todos",C138=Painel!$L$8),OR(Painel!$Q$8="Todos",D138=Painel!$Q$8),OR(Painel!$V$8="Todas",E138=Painel!$V$8)),1,0))</f>
        <v>1</v>
      </c>
      <c r="L138" s="61" t="n">
        <f aca="false">IF(LEN(A138&amp;"")=0,"",J138-I138)</f>
        <v>0</v>
      </c>
      <c r="M138" s="1" t="n">
        <f aca="false">IF(LEN(A138&amp;"")=0,0,IF(COUNTIFS(Base!$A$7:$A$1006,A138)&gt;1,1,0))</f>
        <v>0</v>
      </c>
      <c r="N138" s="1" t="n">
        <f aca="false">IF(LEN(A138&amp;"")=0,0,IF(ABS(L138)&gt;0.005,1,0))</f>
        <v>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customFormat="false" ht="23" hidden="false" customHeight="true" outlineLevel="0" collapsed="false">
      <c r="A139" s="1" t="n">
        <f aca="false">IF(LEN(Base!A139&amp;"")=0,"",Base!A139)</f>
        <v>3363</v>
      </c>
      <c r="B139" s="60" t="n">
        <f aca="false">IF(LEN(A139&amp;"")=0,"",Base!D139)</f>
        <v>45480</v>
      </c>
      <c r="C139" s="1" t="str">
        <f aca="false">IF(LEN(A139&amp;"")=0,"",Base!C139)</f>
        <v>Core</v>
      </c>
      <c r="D139" s="1" t="str">
        <f aca="false">IF(LEN(A139&amp;"")=0,"",Base!G139)</f>
        <v>Monthly</v>
      </c>
      <c r="E139" s="1" t="str">
        <f aca="false">IF(LEN(A139&amp;"")=0,"",Base!E139)</f>
        <v>No</v>
      </c>
      <c r="F139" s="61" t="n">
        <f aca="false">IF(LEN(A139&amp;"")=0,"",IF(Base!I139="-",0,Base!I139))</f>
        <v>0</v>
      </c>
      <c r="G139" s="61" t="n">
        <f aca="false">IF(LEN(A139&amp;"")=0,"",SUM(Base!F139,F139,Base!K139))</f>
        <v>5</v>
      </c>
      <c r="H139" s="61" t="n">
        <f aca="false">IF(LEN(A139&amp;"")=0,"",Base!L139)</f>
        <v>1</v>
      </c>
      <c r="I139" s="61" t="n">
        <f aca="false">IF(LEN(A139&amp;"")=0,"",G139-H139)</f>
        <v>4</v>
      </c>
      <c r="J139" s="61" t="n">
        <f aca="false">IF(LEN(A139&amp;"")=0,"",Base!M139)</f>
        <v>4</v>
      </c>
      <c r="K139" s="1" t="n">
        <f aca="false">IF(OR(LEN(A139&amp;"")=0,$P$3=0),0,IF(AND(B139&gt;=Painel!$B$8,B139&lt;=Painel!$G$8,OR(Painel!$L$8="Todos",C139=Painel!$L$8),OR(Painel!$Q$8="Todos",D139=Painel!$Q$8),OR(Painel!$V$8="Todas",E139=Painel!$V$8)),1,0))</f>
        <v>1</v>
      </c>
      <c r="L139" s="61" t="n">
        <f aca="false">IF(LEN(A139&amp;"")=0,"",J139-I139)</f>
        <v>0</v>
      </c>
      <c r="M139" s="1" t="n">
        <f aca="false">IF(LEN(A139&amp;"")=0,0,IF(COUNTIFS(Base!$A$7:$A$1006,A139)&gt;1,1,0))</f>
        <v>0</v>
      </c>
      <c r="N139" s="1" t="n">
        <f aca="false">IF(LEN(A139&amp;"")=0,0,IF(ABS(L139)&gt;0.005,1,0))</f>
        <v>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customFormat="false" ht="23" hidden="false" customHeight="true" outlineLevel="0" collapsed="false">
      <c r="A140" s="1" t="n">
        <f aca="false">IF(LEN(Base!A140&amp;"")=0,"",Base!A140)</f>
        <v>3364</v>
      </c>
      <c r="B140" s="60" t="n">
        <f aca="false">IF(LEN(A140&amp;"")=0,"",Base!D140)</f>
        <v>45481</v>
      </c>
      <c r="C140" s="1" t="str">
        <f aca="false">IF(LEN(A140&amp;"")=0,"",Base!C140)</f>
        <v>Ultimate</v>
      </c>
      <c r="D140" s="1" t="str">
        <f aca="false">IF(LEN(A140&amp;"")=0,"",Base!G140)</f>
        <v>Quarterly</v>
      </c>
      <c r="E140" s="1" t="str">
        <f aca="false">IF(LEN(A140&amp;"")=0,"",Base!E140)</f>
        <v>Yes</v>
      </c>
      <c r="F140" s="61" t="n">
        <f aca="false">IF(LEN(A140&amp;"")=0,"",IF(Base!I140="-",0,Base!I140))</f>
        <v>30</v>
      </c>
      <c r="G140" s="61" t="n">
        <f aca="false">IF(LEN(A140&amp;"")=0,"",SUM(Base!F140,F140,Base!K140))</f>
        <v>65</v>
      </c>
      <c r="H140" s="61" t="n">
        <f aca="false">IF(LEN(A140&amp;"")=0,"",Base!L140)</f>
        <v>7</v>
      </c>
      <c r="I140" s="61" t="n">
        <f aca="false">IF(LEN(A140&amp;"")=0,"",G140-H140)</f>
        <v>58</v>
      </c>
      <c r="J140" s="61" t="n">
        <f aca="false">IF(LEN(A140&amp;"")=0,"",Base!M140)</f>
        <v>58</v>
      </c>
      <c r="K140" s="1" t="n">
        <f aca="false">IF(OR(LEN(A140&amp;"")=0,$P$3=0),0,IF(AND(B140&gt;=Painel!$B$8,B140&lt;=Painel!$G$8,OR(Painel!$L$8="Todos",C140=Painel!$L$8),OR(Painel!$Q$8="Todos",D140=Painel!$Q$8),OR(Painel!$V$8="Todas",E140=Painel!$V$8)),1,0))</f>
        <v>1</v>
      </c>
      <c r="L140" s="61" t="n">
        <f aca="false">IF(LEN(A140&amp;"")=0,"",J140-I140)</f>
        <v>0</v>
      </c>
      <c r="M140" s="1" t="n">
        <f aca="false">IF(LEN(A140&amp;"")=0,0,IF(COUNTIFS(Base!$A$7:$A$1006,A140)&gt;1,1,0))</f>
        <v>0</v>
      </c>
      <c r="N140" s="1" t="n">
        <f aca="false">IF(LEN(A140&amp;"")=0,0,IF(ABS(L140)&gt;0.005,1,0))</f>
        <v>0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customFormat="false" ht="23" hidden="false" customHeight="true" outlineLevel="0" collapsed="false">
      <c r="A141" s="1" t="n">
        <f aca="false">IF(LEN(Base!A141&amp;"")=0,"",Base!A141)</f>
        <v>3365</v>
      </c>
      <c r="B141" s="60" t="n">
        <f aca="false">IF(LEN(A141&amp;"")=0,"",Base!D141)</f>
        <v>45482</v>
      </c>
      <c r="C141" s="1" t="str">
        <f aca="false">IF(LEN(A141&amp;"")=0,"",Base!C141)</f>
        <v>Standard</v>
      </c>
      <c r="D141" s="1" t="str">
        <f aca="false">IF(LEN(A141&amp;"")=0,"",Base!G141)</f>
        <v>Monthly</v>
      </c>
      <c r="E141" s="1" t="str">
        <f aca="false">IF(LEN(A141&amp;"")=0,"",Base!E141)</f>
        <v>No</v>
      </c>
      <c r="F141" s="61" t="n">
        <f aca="false">IF(LEN(A141&amp;"")=0,"",IF(Base!I141="-",0,Base!I141))</f>
        <v>0</v>
      </c>
      <c r="G141" s="61" t="n">
        <f aca="false">IF(LEN(A141&amp;"")=0,"",SUM(Base!F141,F141,Base!K141))</f>
        <v>30</v>
      </c>
      <c r="H141" s="61" t="n">
        <f aca="false">IF(LEN(A141&amp;"")=0,"",Base!L141)</f>
        <v>10</v>
      </c>
      <c r="I141" s="61" t="n">
        <f aca="false">IF(LEN(A141&amp;"")=0,"",G141-H141)</f>
        <v>20</v>
      </c>
      <c r="J141" s="61" t="n">
        <f aca="false">IF(LEN(A141&amp;"")=0,"",Base!M141)</f>
        <v>20</v>
      </c>
      <c r="K141" s="1" t="n">
        <f aca="false">IF(OR(LEN(A141&amp;"")=0,$P$3=0),0,IF(AND(B141&gt;=Painel!$B$8,B141&lt;=Painel!$G$8,OR(Painel!$L$8="Todos",C141=Painel!$L$8),OR(Painel!$Q$8="Todos",D141=Painel!$Q$8),OR(Painel!$V$8="Todas",E141=Painel!$V$8)),1,0))</f>
        <v>1</v>
      </c>
      <c r="L141" s="61" t="n">
        <f aca="false">IF(LEN(A141&amp;"")=0,"",J141-I141)</f>
        <v>0</v>
      </c>
      <c r="M141" s="1" t="n">
        <f aca="false">IF(LEN(A141&amp;"")=0,0,IF(COUNTIFS(Base!$A$7:$A$1006,A141)&gt;1,1,0))</f>
        <v>0</v>
      </c>
      <c r="N141" s="1" t="n">
        <f aca="false">IF(LEN(A141&amp;"")=0,0,IF(ABS(L141)&gt;0.005,1,0))</f>
        <v>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customFormat="false" ht="23" hidden="false" customHeight="true" outlineLevel="0" collapsed="false">
      <c r="A142" s="1" t="n">
        <f aca="false">IF(LEN(Base!A142&amp;"")=0,"",Base!A142)</f>
        <v>3366</v>
      </c>
      <c r="B142" s="60" t="n">
        <f aca="false">IF(LEN(A142&amp;"")=0,"",Base!D142)</f>
        <v>45483</v>
      </c>
      <c r="C142" s="1" t="str">
        <f aca="false">IF(LEN(A142&amp;"")=0,"",Base!C142)</f>
        <v>Core</v>
      </c>
      <c r="D142" s="1" t="str">
        <f aca="false">IF(LEN(A142&amp;"")=0,"",Base!G142)</f>
        <v>Monthly</v>
      </c>
      <c r="E142" s="1" t="str">
        <f aca="false">IF(LEN(A142&amp;"")=0,"",Base!E142)</f>
        <v>Yes</v>
      </c>
      <c r="F142" s="61" t="n">
        <f aca="false">IF(LEN(A142&amp;"")=0,"",IF(Base!I142="-",0,Base!I142))</f>
        <v>0</v>
      </c>
      <c r="G142" s="61" t="n">
        <f aca="false">IF(LEN(A142&amp;"")=0,"",SUM(Base!F142,F142,Base!K142))</f>
        <v>5</v>
      </c>
      <c r="H142" s="61" t="n">
        <f aca="false">IF(LEN(A142&amp;"")=0,"",Base!L142)</f>
        <v>0</v>
      </c>
      <c r="I142" s="61" t="n">
        <f aca="false">IF(LEN(A142&amp;"")=0,"",G142-H142)</f>
        <v>5</v>
      </c>
      <c r="J142" s="61" t="n">
        <f aca="false">IF(LEN(A142&amp;"")=0,"",Base!M142)</f>
        <v>5</v>
      </c>
      <c r="K142" s="1" t="n">
        <f aca="false">IF(OR(LEN(A142&amp;"")=0,$P$3=0),0,IF(AND(B142&gt;=Painel!$B$8,B142&lt;=Painel!$G$8,OR(Painel!$L$8="Todos",C142=Painel!$L$8),OR(Painel!$Q$8="Todos",D142=Painel!$Q$8),OR(Painel!$V$8="Todas",E142=Painel!$V$8)),1,0))</f>
        <v>1</v>
      </c>
      <c r="L142" s="61" t="n">
        <f aca="false">IF(LEN(A142&amp;"")=0,"",J142-I142)</f>
        <v>0</v>
      </c>
      <c r="M142" s="1" t="n">
        <f aca="false">IF(LEN(A142&amp;"")=0,0,IF(COUNTIFS(Base!$A$7:$A$1006,A142)&gt;1,1,0))</f>
        <v>0</v>
      </c>
      <c r="N142" s="1" t="n">
        <f aca="false">IF(LEN(A142&amp;"")=0,0,IF(ABS(L142)&gt;0.005,1,0))</f>
        <v>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customFormat="false" ht="23" hidden="false" customHeight="true" outlineLevel="0" collapsed="false">
      <c r="A143" s="1" t="n">
        <f aca="false">IF(LEN(Base!A143&amp;"")=0,"",Base!A143)</f>
        <v>3367</v>
      </c>
      <c r="B143" s="60" t="n">
        <f aca="false">IF(LEN(A143&amp;"")=0,"",Base!D143)</f>
        <v>45484</v>
      </c>
      <c r="C143" s="1" t="str">
        <f aca="false">IF(LEN(A143&amp;"")=0,"",Base!C143)</f>
        <v>Ultimate</v>
      </c>
      <c r="D143" s="1" t="str">
        <f aca="false">IF(LEN(A143&amp;"")=0,"",Base!G143)</f>
        <v>Quarterly</v>
      </c>
      <c r="E143" s="1" t="str">
        <f aca="false">IF(LEN(A143&amp;"")=0,"",Base!E143)</f>
        <v>No</v>
      </c>
      <c r="F143" s="61" t="n">
        <f aca="false">IF(LEN(A143&amp;"")=0,"",IF(Base!I143="-",0,Base!I143))</f>
        <v>30</v>
      </c>
      <c r="G143" s="61" t="n">
        <f aca="false">IF(LEN(A143&amp;"")=0,"",SUM(Base!F143,F143,Base!K143))</f>
        <v>65</v>
      </c>
      <c r="H143" s="61" t="n">
        <f aca="false">IF(LEN(A143&amp;"")=0,"",Base!L143)</f>
        <v>7</v>
      </c>
      <c r="I143" s="61" t="n">
        <f aca="false">IF(LEN(A143&amp;"")=0,"",G143-H143)</f>
        <v>58</v>
      </c>
      <c r="J143" s="61" t="n">
        <f aca="false">IF(LEN(A143&amp;"")=0,"",Base!M143)</f>
        <v>58</v>
      </c>
      <c r="K143" s="1" t="n">
        <f aca="false">IF(OR(LEN(A143&amp;"")=0,$P$3=0),0,IF(AND(B143&gt;=Painel!$B$8,B143&lt;=Painel!$G$8,OR(Painel!$L$8="Todos",C143=Painel!$L$8),OR(Painel!$Q$8="Todos",D143=Painel!$Q$8),OR(Painel!$V$8="Todas",E143=Painel!$V$8)),1,0))</f>
        <v>1</v>
      </c>
      <c r="L143" s="61" t="n">
        <f aca="false">IF(LEN(A143&amp;"")=0,"",J143-I143)</f>
        <v>0</v>
      </c>
      <c r="M143" s="1" t="n">
        <f aca="false">IF(LEN(A143&amp;"")=0,0,IF(COUNTIFS(Base!$A$7:$A$1006,A143)&gt;1,1,0))</f>
        <v>0</v>
      </c>
      <c r="N143" s="1" t="n">
        <f aca="false">IF(LEN(A143&amp;"")=0,0,IF(ABS(L143)&gt;0.005,1,0))</f>
        <v>0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customFormat="false" ht="23" hidden="false" customHeight="true" outlineLevel="0" collapsed="false">
      <c r="A144" s="1" t="n">
        <f aca="false">IF(LEN(Base!A144&amp;"")=0,"",Base!A144)</f>
        <v>3368</v>
      </c>
      <c r="B144" s="60" t="n">
        <f aca="false">IF(LEN(A144&amp;"")=0,"",Base!D144)</f>
        <v>45485</v>
      </c>
      <c r="C144" s="1" t="str">
        <f aca="false">IF(LEN(A144&amp;"")=0,"",Base!C144)</f>
        <v>Standard</v>
      </c>
      <c r="D144" s="1" t="str">
        <f aca="false">IF(LEN(A144&amp;"")=0,"",Base!G144)</f>
        <v>Annual</v>
      </c>
      <c r="E144" s="1" t="str">
        <f aca="false">IF(LEN(A144&amp;"")=0,"",Base!E144)</f>
        <v>Yes</v>
      </c>
      <c r="F144" s="61" t="n">
        <f aca="false">IF(LEN(A144&amp;"")=0,"",IF(Base!I144="-",0,Base!I144))</f>
        <v>0</v>
      </c>
      <c r="G144" s="61" t="n">
        <f aca="false">IF(LEN(A144&amp;"")=0,"",SUM(Base!F144,F144,Base!K144))</f>
        <v>30</v>
      </c>
      <c r="H144" s="61" t="n">
        <f aca="false">IF(LEN(A144&amp;"")=0,"",Base!L144)</f>
        <v>10</v>
      </c>
      <c r="I144" s="61" t="n">
        <f aca="false">IF(LEN(A144&amp;"")=0,"",G144-H144)</f>
        <v>20</v>
      </c>
      <c r="J144" s="61" t="n">
        <f aca="false">IF(LEN(A144&amp;"")=0,"",Base!M144)</f>
        <v>20</v>
      </c>
      <c r="K144" s="1" t="n">
        <f aca="false">IF(OR(LEN(A144&amp;"")=0,$P$3=0),0,IF(AND(B144&gt;=Painel!$B$8,B144&lt;=Painel!$G$8,OR(Painel!$L$8="Todos",C144=Painel!$L$8),OR(Painel!$Q$8="Todos",D144=Painel!$Q$8),OR(Painel!$V$8="Todas",E144=Painel!$V$8)),1,0))</f>
        <v>1</v>
      </c>
      <c r="L144" s="61" t="n">
        <f aca="false">IF(LEN(A144&amp;"")=0,"",J144-I144)</f>
        <v>0</v>
      </c>
      <c r="M144" s="1" t="n">
        <f aca="false">IF(LEN(A144&amp;"")=0,0,IF(COUNTIFS(Base!$A$7:$A$1006,A144)&gt;1,1,0))</f>
        <v>0</v>
      </c>
      <c r="N144" s="1" t="n">
        <f aca="false">IF(LEN(A144&amp;"")=0,0,IF(ABS(L144)&gt;0.005,1,0))</f>
        <v>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customFormat="false" ht="23" hidden="false" customHeight="true" outlineLevel="0" collapsed="false">
      <c r="A145" s="1" t="n">
        <f aca="false">IF(LEN(Base!A145&amp;"")=0,"",Base!A145)</f>
        <v>3369</v>
      </c>
      <c r="B145" s="60" t="n">
        <f aca="false">IF(LEN(A145&amp;"")=0,"",Base!D145)</f>
        <v>45486</v>
      </c>
      <c r="C145" s="1" t="str">
        <f aca="false">IF(LEN(A145&amp;"")=0,"",Base!C145)</f>
        <v>Core</v>
      </c>
      <c r="D145" s="1" t="str">
        <f aca="false">IF(LEN(A145&amp;"")=0,"",Base!G145)</f>
        <v>Quarterly</v>
      </c>
      <c r="E145" s="1" t="str">
        <f aca="false">IF(LEN(A145&amp;"")=0,"",Base!E145)</f>
        <v>No</v>
      </c>
      <c r="F145" s="61" t="n">
        <f aca="false">IF(LEN(A145&amp;"")=0,"",IF(Base!I145="-",0,Base!I145))</f>
        <v>0</v>
      </c>
      <c r="G145" s="61" t="n">
        <f aca="false">IF(LEN(A145&amp;"")=0,"",SUM(Base!F145,F145,Base!K145))</f>
        <v>5</v>
      </c>
      <c r="H145" s="61" t="n">
        <f aca="false">IF(LEN(A145&amp;"")=0,"",Base!L145)</f>
        <v>1</v>
      </c>
      <c r="I145" s="61" t="n">
        <f aca="false">IF(LEN(A145&amp;"")=0,"",G145-H145)</f>
        <v>4</v>
      </c>
      <c r="J145" s="61" t="n">
        <f aca="false">IF(LEN(A145&amp;"")=0,"",Base!M145)</f>
        <v>4</v>
      </c>
      <c r="K145" s="1" t="n">
        <f aca="false">IF(OR(LEN(A145&amp;"")=0,$P$3=0),0,IF(AND(B145&gt;=Painel!$B$8,B145&lt;=Painel!$G$8,OR(Painel!$L$8="Todos",C145=Painel!$L$8),OR(Painel!$Q$8="Todos",D145=Painel!$Q$8),OR(Painel!$V$8="Todas",E145=Painel!$V$8)),1,0))</f>
        <v>1</v>
      </c>
      <c r="L145" s="61" t="n">
        <f aca="false">IF(LEN(A145&amp;"")=0,"",J145-I145)</f>
        <v>0</v>
      </c>
      <c r="M145" s="1" t="n">
        <f aca="false">IF(LEN(A145&amp;"")=0,0,IF(COUNTIFS(Base!$A$7:$A$1006,A145)&gt;1,1,0))</f>
        <v>0</v>
      </c>
      <c r="N145" s="1" t="n">
        <f aca="false">IF(LEN(A145&amp;"")=0,0,IF(ABS(L145)&gt;0.005,1,0))</f>
        <v>0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customFormat="false" ht="23" hidden="false" customHeight="true" outlineLevel="0" collapsed="false">
      <c r="A146" s="1" t="n">
        <f aca="false">IF(LEN(Base!A146&amp;"")=0,"",Base!A146)</f>
        <v>3370</v>
      </c>
      <c r="B146" s="60" t="n">
        <f aca="false">IF(LEN(A146&amp;"")=0,"",Base!D146)</f>
        <v>45487</v>
      </c>
      <c r="C146" s="1" t="str">
        <f aca="false">IF(LEN(A146&amp;"")=0,"",Base!C146)</f>
        <v>Ultimate</v>
      </c>
      <c r="D146" s="1" t="str">
        <f aca="false">IF(LEN(A146&amp;"")=0,"",Base!G146)</f>
        <v>Monthly</v>
      </c>
      <c r="E146" s="1" t="str">
        <f aca="false">IF(LEN(A146&amp;"")=0,"",Base!E146)</f>
        <v>Yes</v>
      </c>
      <c r="F146" s="61" t="n">
        <f aca="false">IF(LEN(A146&amp;"")=0,"",IF(Base!I146="-",0,Base!I146))</f>
        <v>30</v>
      </c>
      <c r="G146" s="61" t="n">
        <f aca="false">IF(LEN(A146&amp;"")=0,"",SUM(Base!F146,F146,Base!K146))</f>
        <v>65</v>
      </c>
      <c r="H146" s="61" t="n">
        <f aca="false">IF(LEN(A146&amp;"")=0,"",Base!L146)</f>
        <v>15</v>
      </c>
      <c r="I146" s="61" t="n">
        <f aca="false">IF(LEN(A146&amp;"")=0,"",G146-H146)</f>
        <v>50</v>
      </c>
      <c r="J146" s="61" t="n">
        <f aca="false">IF(LEN(A146&amp;"")=0,"",Base!M146)</f>
        <v>50</v>
      </c>
      <c r="K146" s="1" t="n">
        <f aca="false">IF(OR(LEN(A146&amp;"")=0,$P$3=0),0,IF(AND(B146&gt;=Painel!$B$8,B146&lt;=Painel!$G$8,OR(Painel!$L$8="Todos",C146=Painel!$L$8),OR(Painel!$Q$8="Todos",D146=Painel!$Q$8),OR(Painel!$V$8="Todas",E146=Painel!$V$8)),1,0))</f>
        <v>1</v>
      </c>
      <c r="L146" s="61" t="n">
        <f aca="false">IF(LEN(A146&amp;"")=0,"",J146-I146)</f>
        <v>0</v>
      </c>
      <c r="M146" s="1" t="n">
        <f aca="false">IF(LEN(A146&amp;"")=0,0,IF(COUNTIFS(Base!$A$7:$A$1006,A146)&gt;1,1,0))</f>
        <v>0</v>
      </c>
      <c r="N146" s="1" t="n">
        <f aca="false">IF(LEN(A146&amp;"")=0,0,IF(ABS(L146)&gt;0.005,1,0))</f>
        <v>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customFormat="false" ht="23" hidden="false" customHeight="true" outlineLevel="0" collapsed="false">
      <c r="A147" s="1" t="n">
        <f aca="false">IF(LEN(Base!A147&amp;"")=0,"",Base!A147)</f>
        <v>3371</v>
      </c>
      <c r="B147" s="60" t="n">
        <f aca="false">IF(LEN(A147&amp;"")=0,"",Base!D147)</f>
        <v>45488</v>
      </c>
      <c r="C147" s="1" t="str">
        <f aca="false">IF(LEN(A147&amp;"")=0,"",Base!C147)</f>
        <v>Standard</v>
      </c>
      <c r="D147" s="1" t="str">
        <f aca="false">IF(LEN(A147&amp;"")=0,"",Base!G147)</f>
        <v>Monthly</v>
      </c>
      <c r="E147" s="1" t="str">
        <f aca="false">IF(LEN(A147&amp;"")=0,"",Base!E147)</f>
        <v>No</v>
      </c>
      <c r="F147" s="61" t="n">
        <f aca="false">IF(LEN(A147&amp;"")=0,"",IF(Base!I147="-",0,Base!I147))</f>
        <v>0</v>
      </c>
      <c r="G147" s="61" t="n">
        <f aca="false">IF(LEN(A147&amp;"")=0,"",SUM(Base!F147,F147,Base!K147))</f>
        <v>30</v>
      </c>
      <c r="H147" s="61" t="n">
        <f aca="false">IF(LEN(A147&amp;"")=0,"",Base!L147)</f>
        <v>5</v>
      </c>
      <c r="I147" s="61" t="n">
        <f aca="false">IF(LEN(A147&amp;"")=0,"",G147-H147)</f>
        <v>25</v>
      </c>
      <c r="J147" s="61" t="n">
        <f aca="false">IF(LEN(A147&amp;"")=0,"",Base!M147)</f>
        <v>25</v>
      </c>
      <c r="K147" s="1" t="n">
        <f aca="false">IF(OR(LEN(A147&amp;"")=0,$P$3=0),0,IF(AND(B147&gt;=Painel!$B$8,B147&lt;=Painel!$G$8,OR(Painel!$L$8="Todos",C147=Painel!$L$8),OR(Painel!$Q$8="Todos",D147=Painel!$Q$8),OR(Painel!$V$8="Todas",E147=Painel!$V$8)),1,0))</f>
        <v>1</v>
      </c>
      <c r="L147" s="61" t="n">
        <f aca="false">IF(LEN(A147&amp;"")=0,"",J147-I147)</f>
        <v>0</v>
      </c>
      <c r="M147" s="1" t="n">
        <f aca="false">IF(LEN(A147&amp;"")=0,0,IF(COUNTIFS(Base!$A$7:$A$1006,A147)&gt;1,1,0))</f>
        <v>0</v>
      </c>
      <c r="N147" s="1" t="n">
        <f aca="false">IF(LEN(A147&amp;"")=0,0,IF(ABS(L147)&gt;0.005,1,0))</f>
        <v>0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customFormat="false" ht="23" hidden="false" customHeight="true" outlineLevel="0" collapsed="false">
      <c r="A148" s="1" t="n">
        <f aca="false">IF(LEN(Base!A148&amp;"")=0,"",Base!A148)</f>
        <v>3372</v>
      </c>
      <c r="B148" s="60" t="n">
        <f aca="false">IF(LEN(A148&amp;"")=0,"",Base!D148)</f>
        <v>45489</v>
      </c>
      <c r="C148" s="1" t="str">
        <f aca="false">IF(LEN(A148&amp;"")=0,"",Base!C148)</f>
        <v>Core</v>
      </c>
      <c r="D148" s="1" t="str">
        <f aca="false">IF(LEN(A148&amp;"")=0,"",Base!G148)</f>
        <v>Annual</v>
      </c>
      <c r="E148" s="1" t="str">
        <f aca="false">IF(LEN(A148&amp;"")=0,"",Base!E148)</f>
        <v>Yes</v>
      </c>
      <c r="F148" s="61" t="n">
        <f aca="false">IF(LEN(A148&amp;"")=0,"",IF(Base!I148="-",0,Base!I148))</f>
        <v>0</v>
      </c>
      <c r="G148" s="61" t="n">
        <f aca="false">IF(LEN(A148&amp;"")=0,"",SUM(Base!F148,F148,Base!K148))</f>
        <v>5</v>
      </c>
      <c r="H148" s="61" t="n">
        <f aca="false">IF(LEN(A148&amp;"")=0,"",Base!L148)</f>
        <v>0</v>
      </c>
      <c r="I148" s="61" t="n">
        <f aca="false">IF(LEN(A148&amp;"")=0,"",G148-H148)</f>
        <v>5</v>
      </c>
      <c r="J148" s="61" t="n">
        <f aca="false">IF(LEN(A148&amp;"")=0,"",Base!M148)</f>
        <v>5</v>
      </c>
      <c r="K148" s="1" t="n">
        <f aca="false">IF(OR(LEN(A148&amp;"")=0,$P$3=0),0,IF(AND(B148&gt;=Painel!$B$8,B148&lt;=Painel!$G$8,OR(Painel!$L$8="Todos",C148=Painel!$L$8),OR(Painel!$Q$8="Todos",D148=Painel!$Q$8),OR(Painel!$V$8="Todas",E148=Painel!$V$8)),1,0))</f>
        <v>1</v>
      </c>
      <c r="L148" s="61" t="n">
        <f aca="false">IF(LEN(A148&amp;"")=0,"",J148-I148)</f>
        <v>0</v>
      </c>
      <c r="M148" s="1" t="n">
        <f aca="false">IF(LEN(A148&amp;"")=0,0,IF(COUNTIFS(Base!$A$7:$A$1006,A148)&gt;1,1,0))</f>
        <v>0</v>
      </c>
      <c r="N148" s="1" t="n">
        <f aca="false">IF(LEN(A148&amp;"")=0,0,IF(ABS(L148)&gt;0.005,1,0))</f>
        <v>0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customFormat="false" ht="23" hidden="false" customHeight="true" outlineLevel="0" collapsed="false">
      <c r="A149" s="1" t="n">
        <f aca="false">IF(LEN(Base!A149&amp;"")=0,"",Base!A149)</f>
        <v>3373</v>
      </c>
      <c r="B149" s="60" t="n">
        <f aca="false">IF(LEN(A149&amp;"")=0,"",Base!D149)</f>
        <v>45490</v>
      </c>
      <c r="C149" s="1" t="str">
        <f aca="false">IF(LEN(A149&amp;"")=0,"",Base!C149)</f>
        <v>Ultimate</v>
      </c>
      <c r="D149" s="1" t="str">
        <f aca="false">IF(LEN(A149&amp;"")=0,"",Base!G149)</f>
        <v>Quarterly</v>
      </c>
      <c r="E149" s="1" t="str">
        <f aca="false">IF(LEN(A149&amp;"")=0,"",Base!E149)</f>
        <v>No</v>
      </c>
      <c r="F149" s="61" t="n">
        <f aca="false">IF(LEN(A149&amp;"")=0,"",IF(Base!I149="-",0,Base!I149))</f>
        <v>30</v>
      </c>
      <c r="G149" s="61" t="n">
        <f aca="false">IF(LEN(A149&amp;"")=0,"",SUM(Base!F149,F149,Base!K149))</f>
        <v>65</v>
      </c>
      <c r="H149" s="61" t="n">
        <f aca="false">IF(LEN(A149&amp;"")=0,"",Base!L149)</f>
        <v>20</v>
      </c>
      <c r="I149" s="61" t="n">
        <f aca="false">IF(LEN(A149&amp;"")=0,"",G149-H149)</f>
        <v>45</v>
      </c>
      <c r="J149" s="61" t="n">
        <f aca="false">IF(LEN(A149&amp;"")=0,"",Base!M149)</f>
        <v>45</v>
      </c>
      <c r="K149" s="1" t="n">
        <f aca="false">IF(OR(LEN(A149&amp;"")=0,$P$3=0),0,IF(AND(B149&gt;=Painel!$B$8,B149&lt;=Painel!$G$8,OR(Painel!$L$8="Todos",C149=Painel!$L$8),OR(Painel!$Q$8="Todos",D149=Painel!$Q$8),OR(Painel!$V$8="Todas",E149=Painel!$V$8)),1,0))</f>
        <v>1</v>
      </c>
      <c r="L149" s="61" t="n">
        <f aca="false">IF(LEN(A149&amp;"")=0,"",J149-I149)</f>
        <v>0</v>
      </c>
      <c r="M149" s="1" t="n">
        <f aca="false">IF(LEN(A149&amp;"")=0,0,IF(COUNTIFS(Base!$A$7:$A$1006,A149)&gt;1,1,0))</f>
        <v>0</v>
      </c>
      <c r="N149" s="1" t="n">
        <f aca="false">IF(LEN(A149&amp;"")=0,0,IF(ABS(L149)&gt;0.005,1,0))</f>
        <v>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customFormat="false" ht="23" hidden="false" customHeight="true" outlineLevel="0" collapsed="false">
      <c r="A150" s="1" t="n">
        <f aca="false">IF(LEN(Base!A150&amp;"")=0,"",Base!A150)</f>
        <v>3374</v>
      </c>
      <c r="B150" s="60" t="n">
        <f aca="false">IF(LEN(A150&amp;"")=0,"",Base!D150)</f>
        <v>45491</v>
      </c>
      <c r="C150" s="1" t="str">
        <f aca="false">IF(LEN(A150&amp;"")=0,"",Base!C150)</f>
        <v>Standard</v>
      </c>
      <c r="D150" s="1" t="str">
        <f aca="false">IF(LEN(A150&amp;"")=0,"",Base!G150)</f>
        <v>Quarterly</v>
      </c>
      <c r="E150" s="1" t="str">
        <f aca="false">IF(LEN(A150&amp;"")=0,"",Base!E150)</f>
        <v>Yes</v>
      </c>
      <c r="F150" s="61" t="n">
        <f aca="false">IF(LEN(A150&amp;"")=0,"",IF(Base!I150="-",0,Base!I150))</f>
        <v>0</v>
      </c>
      <c r="G150" s="61" t="n">
        <f aca="false">IF(LEN(A150&amp;"")=0,"",SUM(Base!F150,F150,Base!K150))</f>
        <v>30</v>
      </c>
      <c r="H150" s="61" t="n">
        <f aca="false">IF(LEN(A150&amp;"")=0,"",Base!L150)</f>
        <v>12</v>
      </c>
      <c r="I150" s="61" t="n">
        <f aca="false">IF(LEN(A150&amp;"")=0,"",G150-H150)</f>
        <v>18</v>
      </c>
      <c r="J150" s="61" t="n">
        <f aca="false">IF(LEN(A150&amp;"")=0,"",Base!M150)</f>
        <v>18</v>
      </c>
      <c r="K150" s="1" t="n">
        <f aca="false">IF(OR(LEN(A150&amp;"")=0,$P$3=0),0,IF(AND(B150&gt;=Painel!$B$8,B150&lt;=Painel!$G$8,OR(Painel!$L$8="Todos",C150=Painel!$L$8),OR(Painel!$Q$8="Todos",D150=Painel!$Q$8),OR(Painel!$V$8="Todas",E150=Painel!$V$8)),1,0))</f>
        <v>1</v>
      </c>
      <c r="L150" s="61" t="n">
        <f aca="false">IF(LEN(A150&amp;"")=0,"",J150-I150)</f>
        <v>0</v>
      </c>
      <c r="M150" s="1" t="n">
        <f aca="false">IF(LEN(A150&amp;"")=0,0,IF(COUNTIFS(Base!$A$7:$A$1006,A150)&gt;1,1,0))</f>
        <v>0</v>
      </c>
      <c r="N150" s="1" t="n">
        <f aca="false">IF(LEN(A150&amp;"")=0,0,IF(ABS(L150)&gt;0.005,1,0))</f>
        <v>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customFormat="false" ht="23" hidden="false" customHeight="true" outlineLevel="0" collapsed="false">
      <c r="A151" s="1" t="n">
        <f aca="false">IF(LEN(Base!A151&amp;"")=0,"",Base!A151)</f>
        <v>3375</v>
      </c>
      <c r="B151" s="60" t="n">
        <f aca="false">IF(LEN(A151&amp;"")=0,"",Base!D151)</f>
        <v>45492</v>
      </c>
      <c r="C151" s="1" t="str">
        <f aca="false">IF(LEN(A151&amp;"")=0,"",Base!C151)</f>
        <v>Core</v>
      </c>
      <c r="D151" s="1" t="str">
        <f aca="false">IF(LEN(A151&amp;"")=0,"",Base!G151)</f>
        <v>Monthly</v>
      </c>
      <c r="E151" s="1" t="str">
        <f aca="false">IF(LEN(A151&amp;"")=0,"",Base!E151)</f>
        <v>No</v>
      </c>
      <c r="F151" s="61" t="n">
        <f aca="false">IF(LEN(A151&amp;"")=0,"",IF(Base!I151="-",0,Base!I151))</f>
        <v>0</v>
      </c>
      <c r="G151" s="61" t="n">
        <f aca="false">IF(LEN(A151&amp;"")=0,"",SUM(Base!F151,F151,Base!K151))</f>
        <v>5</v>
      </c>
      <c r="H151" s="61" t="n">
        <f aca="false">IF(LEN(A151&amp;"")=0,"",Base!L151)</f>
        <v>2</v>
      </c>
      <c r="I151" s="61" t="n">
        <f aca="false">IF(LEN(A151&amp;"")=0,"",G151-H151)</f>
        <v>3</v>
      </c>
      <c r="J151" s="61" t="n">
        <f aca="false">IF(LEN(A151&amp;"")=0,"",Base!M151)</f>
        <v>3</v>
      </c>
      <c r="K151" s="1" t="n">
        <f aca="false">IF(OR(LEN(A151&amp;"")=0,$P$3=0),0,IF(AND(B151&gt;=Painel!$B$8,B151&lt;=Painel!$G$8,OR(Painel!$L$8="Todos",C151=Painel!$L$8),OR(Painel!$Q$8="Todos",D151=Painel!$Q$8),OR(Painel!$V$8="Todas",E151=Painel!$V$8)),1,0))</f>
        <v>1</v>
      </c>
      <c r="L151" s="61" t="n">
        <f aca="false">IF(LEN(A151&amp;"")=0,"",J151-I151)</f>
        <v>0</v>
      </c>
      <c r="M151" s="1" t="n">
        <f aca="false">IF(LEN(A151&amp;"")=0,0,IF(COUNTIFS(Base!$A$7:$A$1006,A151)&gt;1,1,0))</f>
        <v>0</v>
      </c>
      <c r="N151" s="1" t="n">
        <f aca="false">IF(LEN(A151&amp;"")=0,0,IF(ABS(L151)&gt;0.005,1,0))</f>
        <v>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customFormat="false" ht="23" hidden="false" customHeight="true" outlineLevel="0" collapsed="false">
      <c r="A152" s="1" t="n">
        <f aca="false">IF(LEN(Base!A152&amp;"")=0,"",Base!A152)</f>
        <v>3376</v>
      </c>
      <c r="B152" s="60" t="n">
        <f aca="false">IF(LEN(A152&amp;"")=0,"",Base!D152)</f>
        <v>45493</v>
      </c>
      <c r="C152" s="1" t="str">
        <f aca="false">IF(LEN(A152&amp;"")=0,"",Base!C152)</f>
        <v>Ultimate</v>
      </c>
      <c r="D152" s="1" t="str">
        <f aca="false">IF(LEN(A152&amp;"")=0,"",Base!G152)</f>
        <v>Annual</v>
      </c>
      <c r="E152" s="1" t="str">
        <f aca="false">IF(LEN(A152&amp;"")=0,"",Base!E152)</f>
        <v>Yes</v>
      </c>
      <c r="F152" s="61" t="n">
        <f aca="false">IF(LEN(A152&amp;"")=0,"",IF(Base!I152="-",0,Base!I152))</f>
        <v>30</v>
      </c>
      <c r="G152" s="61" t="n">
        <f aca="false">IF(LEN(A152&amp;"")=0,"",SUM(Base!F152,F152,Base!K152))</f>
        <v>65</v>
      </c>
      <c r="H152" s="61" t="n">
        <f aca="false">IF(LEN(A152&amp;"")=0,"",Base!L152)</f>
        <v>5</v>
      </c>
      <c r="I152" s="61" t="n">
        <f aca="false">IF(LEN(A152&amp;"")=0,"",G152-H152)</f>
        <v>60</v>
      </c>
      <c r="J152" s="61" t="n">
        <f aca="false">IF(LEN(A152&amp;"")=0,"",Base!M152)</f>
        <v>60</v>
      </c>
      <c r="K152" s="1" t="n">
        <f aca="false">IF(OR(LEN(A152&amp;"")=0,$P$3=0),0,IF(AND(B152&gt;=Painel!$B$8,B152&lt;=Painel!$G$8,OR(Painel!$L$8="Todos",C152=Painel!$L$8),OR(Painel!$Q$8="Todos",D152=Painel!$Q$8),OR(Painel!$V$8="Todas",E152=Painel!$V$8)),1,0))</f>
        <v>1</v>
      </c>
      <c r="L152" s="61" t="n">
        <f aca="false">IF(LEN(A152&amp;"")=0,"",J152-I152)</f>
        <v>0</v>
      </c>
      <c r="M152" s="1" t="n">
        <f aca="false">IF(LEN(A152&amp;"")=0,0,IF(COUNTIFS(Base!$A$7:$A$1006,A152)&gt;1,1,0))</f>
        <v>0</v>
      </c>
      <c r="N152" s="1" t="n">
        <f aca="false">IF(LEN(A152&amp;"")=0,0,IF(ABS(L152)&gt;0.005,1,0))</f>
        <v>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customFormat="false" ht="23" hidden="false" customHeight="true" outlineLevel="0" collapsed="false">
      <c r="A153" s="1" t="n">
        <f aca="false">IF(LEN(Base!A153&amp;"")=0,"",Base!A153)</f>
        <v>3377</v>
      </c>
      <c r="B153" s="60" t="n">
        <f aca="false">IF(LEN(A153&amp;"")=0,"",Base!D153)</f>
        <v>45494</v>
      </c>
      <c r="C153" s="1" t="str">
        <f aca="false">IF(LEN(A153&amp;"")=0,"",Base!C153)</f>
        <v>Standard</v>
      </c>
      <c r="D153" s="1" t="str">
        <f aca="false">IF(LEN(A153&amp;"")=0,"",Base!G153)</f>
        <v>Monthly</v>
      </c>
      <c r="E153" s="1" t="str">
        <f aca="false">IF(LEN(A153&amp;"")=0,"",Base!E153)</f>
        <v>No</v>
      </c>
      <c r="F153" s="61" t="n">
        <f aca="false">IF(LEN(A153&amp;"")=0,"",IF(Base!I153="-",0,Base!I153))</f>
        <v>0</v>
      </c>
      <c r="G153" s="61" t="n">
        <f aca="false">IF(LEN(A153&amp;"")=0,"",SUM(Base!F153,F153,Base!K153))</f>
        <v>30</v>
      </c>
      <c r="H153" s="61" t="n">
        <f aca="false">IF(LEN(A153&amp;"")=0,"",Base!L153)</f>
        <v>10</v>
      </c>
      <c r="I153" s="61" t="n">
        <f aca="false">IF(LEN(A153&amp;"")=0,"",G153-H153)</f>
        <v>20</v>
      </c>
      <c r="J153" s="61" t="n">
        <f aca="false">IF(LEN(A153&amp;"")=0,"",Base!M153)</f>
        <v>20</v>
      </c>
      <c r="K153" s="1" t="n">
        <f aca="false">IF(OR(LEN(A153&amp;"")=0,$P$3=0),0,IF(AND(B153&gt;=Painel!$B$8,B153&lt;=Painel!$G$8,OR(Painel!$L$8="Todos",C153=Painel!$L$8),OR(Painel!$Q$8="Todos",D153=Painel!$Q$8),OR(Painel!$V$8="Todas",E153=Painel!$V$8)),1,0))</f>
        <v>1</v>
      </c>
      <c r="L153" s="61" t="n">
        <f aca="false">IF(LEN(A153&amp;"")=0,"",J153-I153)</f>
        <v>0</v>
      </c>
      <c r="M153" s="1" t="n">
        <f aca="false">IF(LEN(A153&amp;"")=0,0,IF(COUNTIFS(Base!$A$7:$A$1006,A153)&gt;1,1,0))</f>
        <v>0</v>
      </c>
      <c r="N153" s="1" t="n">
        <f aca="false">IF(LEN(A153&amp;"")=0,0,IF(ABS(L153)&gt;0.005,1,0))</f>
        <v>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customFormat="false" ht="23" hidden="false" customHeight="true" outlineLevel="0" collapsed="false">
      <c r="A154" s="1" t="n">
        <f aca="false">IF(LEN(Base!A154&amp;"")=0,"",Base!A154)</f>
        <v>3378</v>
      </c>
      <c r="B154" s="60" t="n">
        <f aca="false">IF(LEN(A154&amp;"")=0,"",Base!D154)</f>
        <v>45495</v>
      </c>
      <c r="C154" s="1" t="str">
        <f aca="false">IF(LEN(A154&amp;"")=0,"",Base!C154)</f>
        <v>Core</v>
      </c>
      <c r="D154" s="1" t="str">
        <f aca="false">IF(LEN(A154&amp;"")=0,"",Base!G154)</f>
        <v>Quarterly</v>
      </c>
      <c r="E154" s="1" t="str">
        <f aca="false">IF(LEN(A154&amp;"")=0,"",Base!E154)</f>
        <v>Yes</v>
      </c>
      <c r="F154" s="61" t="n">
        <f aca="false">IF(LEN(A154&amp;"")=0,"",IF(Base!I154="-",0,Base!I154))</f>
        <v>0</v>
      </c>
      <c r="G154" s="61" t="n">
        <f aca="false">IF(LEN(A154&amp;"")=0,"",SUM(Base!F154,F154,Base!K154))</f>
        <v>5</v>
      </c>
      <c r="H154" s="61" t="n">
        <f aca="false">IF(LEN(A154&amp;"")=0,"",Base!L154)</f>
        <v>0</v>
      </c>
      <c r="I154" s="61" t="n">
        <f aca="false">IF(LEN(A154&amp;"")=0,"",G154-H154)</f>
        <v>5</v>
      </c>
      <c r="J154" s="61" t="n">
        <f aca="false">IF(LEN(A154&amp;"")=0,"",Base!M154)</f>
        <v>5</v>
      </c>
      <c r="K154" s="1" t="n">
        <f aca="false">IF(OR(LEN(A154&amp;"")=0,$P$3=0),0,IF(AND(B154&gt;=Painel!$B$8,B154&lt;=Painel!$G$8,OR(Painel!$L$8="Todos",C154=Painel!$L$8),OR(Painel!$Q$8="Todos",D154=Painel!$Q$8),OR(Painel!$V$8="Todas",E154=Painel!$V$8)),1,0))</f>
        <v>1</v>
      </c>
      <c r="L154" s="61" t="n">
        <f aca="false">IF(LEN(A154&amp;"")=0,"",J154-I154)</f>
        <v>0</v>
      </c>
      <c r="M154" s="1" t="n">
        <f aca="false">IF(LEN(A154&amp;"")=0,0,IF(COUNTIFS(Base!$A$7:$A$1006,A154)&gt;1,1,0))</f>
        <v>0</v>
      </c>
      <c r="N154" s="1" t="n">
        <f aca="false">IF(LEN(A154&amp;"")=0,0,IF(ABS(L154)&gt;0.005,1,0))</f>
        <v>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customFormat="false" ht="23" hidden="false" customHeight="true" outlineLevel="0" collapsed="false">
      <c r="A155" s="1" t="n">
        <f aca="false">IF(LEN(Base!A155&amp;"")=0,"",Base!A155)</f>
        <v>3379</v>
      </c>
      <c r="B155" s="60" t="n">
        <f aca="false">IF(LEN(A155&amp;"")=0,"",Base!D155)</f>
        <v>45496</v>
      </c>
      <c r="C155" s="1" t="str">
        <f aca="false">IF(LEN(A155&amp;"")=0,"",Base!C155)</f>
        <v>Ultimate</v>
      </c>
      <c r="D155" s="1" t="str">
        <f aca="false">IF(LEN(A155&amp;"")=0,"",Base!G155)</f>
        <v>Monthly</v>
      </c>
      <c r="E155" s="1" t="str">
        <f aca="false">IF(LEN(A155&amp;"")=0,"",Base!E155)</f>
        <v>No</v>
      </c>
      <c r="F155" s="61" t="n">
        <f aca="false">IF(LEN(A155&amp;"")=0,"",IF(Base!I155="-",0,Base!I155))</f>
        <v>30</v>
      </c>
      <c r="G155" s="61" t="n">
        <f aca="false">IF(LEN(A155&amp;"")=0,"",SUM(Base!F155,F155,Base!K155))</f>
        <v>65</v>
      </c>
      <c r="H155" s="61" t="n">
        <f aca="false">IF(LEN(A155&amp;"")=0,"",Base!L155)</f>
        <v>3</v>
      </c>
      <c r="I155" s="61" t="n">
        <f aca="false">IF(LEN(A155&amp;"")=0,"",G155-H155)</f>
        <v>62</v>
      </c>
      <c r="J155" s="61" t="n">
        <f aca="false">IF(LEN(A155&amp;"")=0,"",Base!M155)</f>
        <v>62</v>
      </c>
      <c r="K155" s="1" t="n">
        <f aca="false">IF(OR(LEN(A155&amp;"")=0,$P$3=0),0,IF(AND(B155&gt;=Painel!$B$8,B155&lt;=Painel!$G$8,OR(Painel!$L$8="Todos",C155=Painel!$L$8),OR(Painel!$Q$8="Todos",D155=Painel!$Q$8),OR(Painel!$V$8="Todas",E155=Painel!$V$8)),1,0))</f>
        <v>1</v>
      </c>
      <c r="L155" s="61" t="n">
        <f aca="false">IF(LEN(A155&amp;"")=0,"",J155-I155)</f>
        <v>0</v>
      </c>
      <c r="M155" s="1" t="n">
        <f aca="false">IF(LEN(A155&amp;"")=0,0,IF(COUNTIFS(Base!$A$7:$A$1006,A155)&gt;1,1,0))</f>
        <v>0</v>
      </c>
      <c r="N155" s="1" t="n">
        <f aca="false">IF(LEN(A155&amp;"")=0,0,IF(ABS(L155)&gt;0.005,1,0))</f>
        <v>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customFormat="false" ht="23" hidden="false" customHeight="true" outlineLevel="0" collapsed="false">
      <c r="A156" s="1" t="n">
        <f aca="false">IF(LEN(Base!A156&amp;"")=0,"",Base!A156)</f>
        <v>3380</v>
      </c>
      <c r="B156" s="60" t="n">
        <f aca="false">IF(LEN(A156&amp;"")=0,"",Base!D156)</f>
        <v>45497</v>
      </c>
      <c r="C156" s="1" t="str">
        <f aca="false">IF(LEN(A156&amp;"")=0,"",Base!C156)</f>
        <v>Standard</v>
      </c>
      <c r="D156" s="1" t="str">
        <f aca="false">IF(LEN(A156&amp;"")=0,"",Base!G156)</f>
        <v>Annual</v>
      </c>
      <c r="E156" s="1" t="str">
        <f aca="false">IF(LEN(A156&amp;"")=0,"",Base!E156)</f>
        <v>Yes</v>
      </c>
      <c r="F156" s="61" t="n">
        <f aca="false">IF(LEN(A156&amp;"")=0,"",IF(Base!I156="-",0,Base!I156))</f>
        <v>0</v>
      </c>
      <c r="G156" s="61" t="n">
        <f aca="false">IF(LEN(A156&amp;"")=0,"",SUM(Base!F156,F156,Base!K156))</f>
        <v>30</v>
      </c>
      <c r="H156" s="61" t="n">
        <f aca="false">IF(LEN(A156&amp;"")=0,"",Base!L156)</f>
        <v>15</v>
      </c>
      <c r="I156" s="61" t="n">
        <f aca="false">IF(LEN(A156&amp;"")=0,"",G156-H156)</f>
        <v>15</v>
      </c>
      <c r="J156" s="61" t="n">
        <f aca="false">IF(LEN(A156&amp;"")=0,"",Base!M156)</f>
        <v>15</v>
      </c>
      <c r="K156" s="1" t="n">
        <f aca="false">IF(OR(LEN(A156&amp;"")=0,$P$3=0),0,IF(AND(B156&gt;=Painel!$B$8,B156&lt;=Painel!$G$8,OR(Painel!$L$8="Todos",C156=Painel!$L$8),OR(Painel!$Q$8="Todos",D156=Painel!$Q$8),OR(Painel!$V$8="Todas",E156=Painel!$V$8)),1,0))</f>
        <v>1</v>
      </c>
      <c r="L156" s="61" t="n">
        <f aca="false">IF(LEN(A156&amp;"")=0,"",J156-I156)</f>
        <v>0</v>
      </c>
      <c r="M156" s="1" t="n">
        <f aca="false">IF(LEN(A156&amp;"")=0,0,IF(COUNTIFS(Base!$A$7:$A$1006,A156)&gt;1,1,0))</f>
        <v>0</v>
      </c>
      <c r="N156" s="1" t="n">
        <f aca="false">IF(LEN(A156&amp;"")=0,0,IF(ABS(L156)&gt;0.005,1,0))</f>
        <v>0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customFormat="false" ht="23" hidden="false" customHeight="true" outlineLevel="0" collapsed="false">
      <c r="A157" s="1" t="n">
        <f aca="false">IF(LEN(Base!A157&amp;"")=0,"",Base!A157)</f>
        <v>3381</v>
      </c>
      <c r="B157" s="60" t="n">
        <f aca="false">IF(LEN(A157&amp;"")=0,"",Base!D157)</f>
        <v>45498</v>
      </c>
      <c r="C157" s="1" t="str">
        <f aca="false">IF(LEN(A157&amp;"")=0,"",Base!C157)</f>
        <v>Core</v>
      </c>
      <c r="D157" s="1" t="str">
        <f aca="false">IF(LEN(A157&amp;"")=0,"",Base!G157)</f>
        <v>Monthly</v>
      </c>
      <c r="E157" s="1" t="str">
        <f aca="false">IF(LEN(A157&amp;"")=0,"",Base!E157)</f>
        <v>No</v>
      </c>
      <c r="F157" s="61" t="n">
        <f aca="false">IF(LEN(A157&amp;"")=0,"",IF(Base!I157="-",0,Base!I157))</f>
        <v>0</v>
      </c>
      <c r="G157" s="61" t="n">
        <f aca="false">IF(LEN(A157&amp;"")=0,"",SUM(Base!F157,F157,Base!K157))</f>
        <v>5</v>
      </c>
      <c r="H157" s="61" t="n">
        <f aca="false">IF(LEN(A157&amp;"")=0,"",Base!L157)</f>
        <v>1</v>
      </c>
      <c r="I157" s="61" t="n">
        <f aca="false">IF(LEN(A157&amp;"")=0,"",G157-H157)</f>
        <v>4</v>
      </c>
      <c r="J157" s="61" t="n">
        <f aca="false">IF(LEN(A157&amp;"")=0,"",Base!M157)</f>
        <v>4</v>
      </c>
      <c r="K157" s="1" t="n">
        <f aca="false">IF(OR(LEN(A157&amp;"")=0,$P$3=0),0,IF(AND(B157&gt;=Painel!$B$8,B157&lt;=Painel!$G$8,OR(Painel!$L$8="Todos",C157=Painel!$L$8),OR(Painel!$Q$8="Todos",D157=Painel!$Q$8),OR(Painel!$V$8="Todas",E157=Painel!$V$8)),1,0))</f>
        <v>1</v>
      </c>
      <c r="L157" s="61" t="n">
        <f aca="false">IF(LEN(A157&amp;"")=0,"",J157-I157)</f>
        <v>0</v>
      </c>
      <c r="M157" s="1" t="n">
        <f aca="false">IF(LEN(A157&amp;"")=0,0,IF(COUNTIFS(Base!$A$7:$A$1006,A157)&gt;1,1,0))</f>
        <v>0</v>
      </c>
      <c r="N157" s="1" t="n">
        <f aca="false">IF(LEN(A157&amp;"")=0,0,IF(ABS(L157)&gt;0.005,1,0))</f>
        <v>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customFormat="false" ht="23" hidden="false" customHeight="true" outlineLevel="0" collapsed="false">
      <c r="A158" s="1" t="n">
        <f aca="false">IF(LEN(Base!A158&amp;"")=0,"",Base!A158)</f>
        <v>3382</v>
      </c>
      <c r="B158" s="60" t="n">
        <f aca="false">IF(LEN(A158&amp;"")=0,"",Base!D158)</f>
        <v>45499</v>
      </c>
      <c r="C158" s="1" t="str">
        <f aca="false">IF(LEN(A158&amp;"")=0,"",Base!C158)</f>
        <v>Ultimate</v>
      </c>
      <c r="D158" s="1" t="str">
        <f aca="false">IF(LEN(A158&amp;"")=0,"",Base!G158)</f>
        <v>Quarterly</v>
      </c>
      <c r="E158" s="1" t="str">
        <f aca="false">IF(LEN(A158&amp;"")=0,"",Base!E158)</f>
        <v>Yes</v>
      </c>
      <c r="F158" s="61" t="n">
        <f aca="false">IF(LEN(A158&amp;"")=0,"",IF(Base!I158="-",0,Base!I158))</f>
        <v>30</v>
      </c>
      <c r="G158" s="61" t="n">
        <f aca="false">IF(LEN(A158&amp;"")=0,"",SUM(Base!F158,F158,Base!K158))</f>
        <v>65</v>
      </c>
      <c r="H158" s="61" t="n">
        <f aca="false">IF(LEN(A158&amp;"")=0,"",Base!L158)</f>
        <v>7</v>
      </c>
      <c r="I158" s="61" t="n">
        <f aca="false">IF(LEN(A158&amp;"")=0,"",G158-H158)</f>
        <v>58</v>
      </c>
      <c r="J158" s="61" t="n">
        <f aca="false">IF(LEN(A158&amp;"")=0,"",Base!M158)</f>
        <v>58</v>
      </c>
      <c r="K158" s="1" t="n">
        <f aca="false">IF(OR(LEN(A158&amp;"")=0,$P$3=0),0,IF(AND(B158&gt;=Painel!$B$8,B158&lt;=Painel!$G$8,OR(Painel!$L$8="Todos",C158=Painel!$L$8),OR(Painel!$Q$8="Todos",D158=Painel!$Q$8),OR(Painel!$V$8="Todas",E158=Painel!$V$8)),1,0))</f>
        <v>1</v>
      </c>
      <c r="L158" s="61" t="n">
        <f aca="false">IF(LEN(A158&amp;"")=0,"",J158-I158)</f>
        <v>0</v>
      </c>
      <c r="M158" s="1" t="n">
        <f aca="false">IF(LEN(A158&amp;"")=0,0,IF(COUNTIFS(Base!$A$7:$A$1006,A158)&gt;1,1,0))</f>
        <v>0</v>
      </c>
      <c r="N158" s="1" t="n">
        <f aca="false">IF(LEN(A158&amp;"")=0,0,IF(ABS(L158)&gt;0.005,1,0))</f>
        <v>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customFormat="false" ht="23" hidden="false" customHeight="true" outlineLevel="0" collapsed="false">
      <c r="A159" s="1" t="n">
        <f aca="false">IF(LEN(Base!A159&amp;"")=0,"",Base!A159)</f>
        <v>3383</v>
      </c>
      <c r="B159" s="60" t="n">
        <f aca="false">IF(LEN(A159&amp;"")=0,"",Base!D159)</f>
        <v>45500</v>
      </c>
      <c r="C159" s="1" t="str">
        <f aca="false">IF(LEN(A159&amp;"")=0,"",Base!C159)</f>
        <v>Standard</v>
      </c>
      <c r="D159" s="1" t="str">
        <f aca="false">IF(LEN(A159&amp;"")=0,"",Base!G159)</f>
        <v>Monthly</v>
      </c>
      <c r="E159" s="1" t="str">
        <f aca="false">IF(LEN(A159&amp;"")=0,"",Base!E159)</f>
        <v>No</v>
      </c>
      <c r="F159" s="61" t="n">
        <f aca="false">IF(LEN(A159&amp;"")=0,"",IF(Base!I159="-",0,Base!I159))</f>
        <v>0</v>
      </c>
      <c r="G159" s="61" t="n">
        <f aca="false">IF(LEN(A159&amp;"")=0,"",SUM(Base!F159,F159,Base!K159))</f>
        <v>30</v>
      </c>
      <c r="H159" s="61" t="n">
        <f aca="false">IF(LEN(A159&amp;"")=0,"",Base!L159)</f>
        <v>10</v>
      </c>
      <c r="I159" s="61" t="n">
        <f aca="false">IF(LEN(A159&amp;"")=0,"",G159-H159)</f>
        <v>20</v>
      </c>
      <c r="J159" s="61" t="n">
        <f aca="false">IF(LEN(A159&amp;"")=0,"",Base!M159)</f>
        <v>20</v>
      </c>
      <c r="K159" s="1" t="n">
        <f aca="false">IF(OR(LEN(A159&amp;"")=0,$P$3=0),0,IF(AND(B159&gt;=Painel!$B$8,B159&lt;=Painel!$G$8,OR(Painel!$L$8="Todos",C159=Painel!$L$8),OR(Painel!$Q$8="Todos",D159=Painel!$Q$8),OR(Painel!$V$8="Todas",E159=Painel!$V$8)),1,0))</f>
        <v>1</v>
      </c>
      <c r="L159" s="61" t="n">
        <f aca="false">IF(LEN(A159&amp;"")=0,"",J159-I159)</f>
        <v>0</v>
      </c>
      <c r="M159" s="1" t="n">
        <f aca="false">IF(LEN(A159&amp;"")=0,0,IF(COUNTIFS(Base!$A$7:$A$1006,A159)&gt;1,1,0))</f>
        <v>0</v>
      </c>
      <c r="N159" s="1" t="n">
        <f aca="false">IF(LEN(A159&amp;"")=0,0,IF(ABS(L159)&gt;0.005,1,0))</f>
        <v>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customFormat="false" ht="23" hidden="false" customHeight="true" outlineLevel="0" collapsed="false">
      <c r="A160" s="1" t="n">
        <f aca="false">IF(LEN(Base!A160&amp;"")=0,"",Base!A160)</f>
        <v>3384</v>
      </c>
      <c r="B160" s="60" t="n">
        <f aca="false">IF(LEN(A160&amp;"")=0,"",Base!D160)</f>
        <v>45501</v>
      </c>
      <c r="C160" s="1" t="str">
        <f aca="false">IF(LEN(A160&amp;"")=0,"",Base!C160)</f>
        <v>Core</v>
      </c>
      <c r="D160" s="1" t="str">
        <f aca="false">IF(LEN(A160&amp;"")=0,"",Base!G160)</f>
        <v>Annual</v>
      </c>
      <c r="E160" s="1" t="str">
        <f aca="false">IF(LEN(A160&amp;"")=0,"",Base!E160)</f>
        <v>Yes</v>
      </c>
      <c r="F160" s="61" t="n">
        <f aca="false">IF(LEN(A160&amp;"")=0,"",IF(Base!I160="-",0,Base!I160))</f>
        <v>0</v>
      </c>
      <c r="G160" s="61" t="n">
        <f aca="false">IF(LEN(A160&amp;"")=0,"",SUM(Base!F160,F160,Base!K160))</f>
        <v>5</v>
      </c>
      <c r="H160" s="61" t="n">
        <f aca="false">IF(LEN(A160&amp;"")=0,"",Base!L160)</f>
        <v>0</v>
      </c>
      <c r="I160" s="61" t="n">
        <f aca="false">IF(LEN(A160&amp;"")=0,"",G160-H160)</f>
        <v>5</v>
      </c>
      <c r="J160" s="61" t="n">
        <f aca="false">IF(LEN(A160&amp;"")=0,"",Base!M160)</f>
        <v>5</v>
      </c>
      <c r="K160" s="1" t="n">
        <f aca="false">IF(OR(LEN(A160&amp;"")=0,$P$3=0),0,IF(AND(B160&gt;=Painel!$B$8,B160&lt;=Painel!$G$8,OR(Painel!$L$8="Todos",C160=Painel!$L$8),OR(Painel!$Q$8="Todos",D160=Painel!$Q$8),OR(Painel!$V$8="Todas",E160=Painel!$V$8)),1,0))</f>
        <v>1</v>
      </c>
      <c r="L160" s="61" t="n">
        <f aca="false">IF(LEN(A160&amp;"")=0,"",J160-I160)</f>
        <v>0</v>
      </c>
      <c r="M160" s="1" t="n">
        <f aca="false">IF(LEN(A160&amp;"")=0,0,IF(COUNTIFS(Base!$A$7:$A$1006,A160)&gt;1,1,0))</f>
        <v>0</v>
      </c>
      <c r="N160" s="1" t="n">
        <f aca="false">IF(LEN(A160&amp;"")=0,0,IF(ABS(L160)&gt;0.005,1,0))</f>
        <v>0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customFormat="false" ht="23" hidden="false" customHeight="true" outlineLevel="0" collapsed="false">
      <c r="A161" s="1" t="n">
        <f aca="false">IF(LEN(Base!A161&amp;"")=0,"",Base!A161)</f>
        <v>3385</v>
      </c>
      <c r="B161" s="60" t="n">
        <f aca="false">IF(LEN(A161&amp;"")=0,"",Base!D161)</f>
        <v>45502</v>
      </c>
      <c r="C161" s="1" t="str">
        <f aca="false">IF(LEN(A161&amp;"")=0,"",Base!C161)</f>
        <v>Ultimate</v>
      </c>
      <c r="D161" s="1" t="str">
        <f aca="false">IF(LEN(A161&amp;"")=0,"",Base!G161)</f>
        <v>Monthly</v>
      </c>
      <c r="E161" s="1" t="str">
        <f aca="false">IF(LEN(A161&amp;"")=0,"",Base!E161)</f>
        <v>No</v>
      </c>
      <c r="F161" s="61" t="n">
        <f aca="false">IF(LEN(A161&amp;"")=0,"",IF(Base!I161="-",0,Base!I161))</f>
        <v>30</v>
      </c>
      <c r="G161" s="61" t="n">
        <f aca="false">IF(LEN(A161&amp;"")=0,"",SUM(Base!F161,F161,Base!K161))</f>
        <v>65</v>
      </c>
      <c r="H161" s="61" t="n">
        <f aca="false">IF(LEN(A161&amp;"")=0,"",Base!L161)</f>
        <v>20</v>
      </c>
      <c r="I161" s="61" t="n">
        <f aca="false">IF(LEN(A161&amp;"")=0,"",G161-H161)</f>
        <v>45</v>
      </c>
      <c r="J161" s="61" t="n">
        <f aca="false">IF(LEN(A161&amp;"")=0,"",Base!M161)</f>
        <v>45</v>
      </c>
      <c r="K161" s="1" t="n">
        <f aca="false">IF(OR(LEN(A161&amp;"")=0,$P$3=0),0,IF(AND(B161&gt;=Painel!$B$8,B161&lt;=Painel!$G$8,OR(Painel!$L$8="Todos",C161=Painel!$L$8),OR(Painel!$Q$8="Todos",D161=Painel!$Q$8),OR(Painel!$V$8="Todas",E161=Painel!$V$8)),1,0))</f>
        <v>1</v>
      </c>
      <c r="L161" s="61" t="n">
        <f aca="false">IF(LEN(A161&amp;"")=0,"",J161-I161)</f>
        <v>0</v>
      </c>
      <c r="M161" s="1" t="n">
        <f aca="false">IF(LEN(A161&amp;"")=0,0,IF(COUNTIFS(Base!$A$7:$A$1006,A161)&gt;1,1,0))</f>
        <v>0</v>
      </c>
      <c r="N161" s="1" t="n">
        <f aca="false">IF(LEN(A161&amp;"")=0,0,IF(ABS(L161)&gt;0.005,1,0))</f>
        <v>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customFormat="false" ht="23" hidden="false" customHeight="true" outlineLevel="0" collapsed="false">
      <c r="A162" s="1" t="n">
        <f aca="false">IF(LEN(Base!A162&amp;"")=0,"",Base!A162)</f>
        <v>3386</v>
      </c>
      <c r="B162" s="60" t="n">
        <f aca="false">IF(LEN(A162&amp;"")=0,"",Base!D162)</f>
        <v>45503</v>
      </c>
      <c r="C162" s="1" t="str">
        <f aca="false">IF(LEN(A162&amp;"")=0,"",Base!C162)</f>
        <v>Standard</v>
      </c>
      <c r="D162" s="1" t="str">
        <f aca="false">IF(LEN(A162&amp;"")=0,"",Base!G162)</f>
        <v>Quarterly</v>
      </c>
      <c r="E162" s="1" t="str">
        <f aca="false">IF(LEN(A162&amp;"")=0,"",Base!E162)</f>
        <v>Yes</v>
      </c>
      <c r="F162" s="61" t="n">
        <f aca="false">IF(LEN(A162&amp;"")=0,"",IF(Base!I162="-",0,Base!I162))</f>
        <v>0</v>
      </c>
      <c r="G162" s="61" t="n">
        <f aca="false">IF(LEN(A162&amp;"")=0,"",SUM(Base!F162,F162,Base!K162))</f>
        <v>30</v>
      </c>
      <c r="H162" s="61" t="n">
        <f aca="false">IF(LEN(A162&amp;"")=0,"",Base!L162)</f>
        <v>15</v>
      </c>
      <c r="I162" s="61" t="n">
        <f aca="false">IF(LEN(A162&amp;"")=0,"",G162-H162)</f>
        <v>15</v>
      </c>
      <c r="J162" s="61" t="n">
        <f aca="false">IF(LEN(A162&amp;"")=0,"",Base!M162)</f>
        <v>15</v>
      </c>
      <c r="K162" s="1" t="n">
        <f aca="false">IF(OR(LEN(A162&amp;"")=0,$P$3=0),0,IF(AND(B162&gt;=Painel!$B$8,B162&lt;=Painel!$G$8,OR(Painel!$L$8="Todos",C162=Painel!$L$8),OR(Painel!$Q$8="Todos",D162=Painel!$Q$8),OR(Painel!$V$8="Todas",E162=Painel!$V$8)),1,0))</f>
        <v>1</v>
      </c>
      <c r="L162" s="61" t="n">
        <f aca="false">IF(LEN(A162&amp;"")=0,"",J162-I162)</f>
        <v>0</v>
      </c>
      <c r="M162" s="1" t="n">
        <f aca="false">IF(LEN(A162&amp;"")=0,0,IF(COUNTIFS(Base!$A$7:$A$1006,A162)&gt;1,1,0))</f>
        <v>0</v>
      </c>
      <c r="N162" s="1" t="n">
        <f aca="false">IF(LEN(A162&amp;"")=0,0,IF(ABS(L162)&gt;0.005,1,0))</f>
        <v>0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customFormat="false" ht="23" hidden="false" customHeight="true" outlineLevel="0" collapsed="false">
      <c r="A163" s="1" t="n">
        <f aca="false">IF(LEN(Base!A163&amp;"")=0,"",Base!A163)</f>
        <v>3387</v>
      </c>
      <c r="B163" s="60" t="n">
        <f aca="false">IF(LEN(A163&amp;"")=0,"",Base!D163)</f>
        <v>45504</v>
      </c>
      <c r="C163" s="1" t="str">
        <f aca="false">IF(LEN(A163&amp;"")=0,"",Base!C163)</f>
        <v>Core</v>
      </c>
      <c r="D163" s="1" t="str">
        <f aca="false">IF(LEN(A163&amp;"")=0,"",Base!G163)</f>
        <v>Monthly</v>
      </c>
      <c r="E163" s="1" t="str">
        <f aca="false">IF(LEN(A163&amp;"")=0,"",Base!E163)</f>
        <v>No</v>
      </c>
      <c r="F163" s="61" t="n">
        <f aca="false">IF(LEN(A163&amp;"")=0,"",IF(Base!I163="-",0,Base!I163))</f>
        <v>0</v>
      </c>
      <c r="G163" s="61" t="n">
        <f aca="false">IF(LEN(A163&amp;"")=0,"",SUM(Base!F163,F163,Base!K163))</f>
        <v>5</v>
      </c>
      <c r="H163" s="61" t="n">
        <f aca="false">IF(LEN(A163&amp;"")=0,"",Base!L163)</f>
        <v>1</v>
      </c>
      <c r="I163" s="61" t="n">
        <f aca="false">IF(LEN(A163&amp;"")=0,"",G163-H163)</f>
        <v>4</v>
      </c>
      <c r="J163" s="61" t="n">
        <f aca="false">IF(LEN(A163&amp;"")=0,"",Base!M163)</f>
        <v>4</v>
      </c>
      <c r="K163" s="1" t="n">
        <f aca="false">IF(OR(LEN(A163&amp;"")=0,$P$3=0),0,IF(AND(B163&gt;=Painel!$B$8,B163&lt;=Painel!$G$8,OR(Painel!$L$8="Todos",C163=Painel!$L$8),OR(Painel!$Q$8="Todos",D163=Painel!$Q$8),OR(Painel!$V$8="Todas",E163=Painel!$V$8)),1,0))</f>
        <v>1</v>
      </c>
      <c r="L163" s="61" t="n">
        <f aca="false">IF(LEN(A163&amp;"")=0,"",J163-I163)</f>
        <v>0</v>
      </c>
      <c r="M163" s="1" t="n">
        <f aca="false">IF(LEN(A163&amp;"")=0,0,IF(COUNTIFS(Base!$A$7:$A$1006,A163)&gt;1,1,0))</f>
        <v>0</v>
      </c>
      <c r="N163" s="1" t="n">
        <f aca="false">IF(LEN(A163&amp;"")=0,0,IF(ABS(L163)&gt;0.005,1,0))</f>
        <v>0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customFormat="false" ht="23" hidden="false" customHeight="true" outlineLevel="0" collapsed="false">
      <c r="A164" s="1" t="n">
        <f aca="false">IF(LEN(Base!A164&amp;"")=0,"",Base!A164)</f>
        <v>3388</v>
      </c>
      <c r="B164" s="60" t="n">
        <f aca="false">IF(LEN(A164&amp;"")=0,"",Base!D164)</f>
        <v>45505</v>
      </c>
      <c r="C164" s="1" t="str">
        <f aca="false">IF(LEN(A164&amp;"")=0,"",Base!C164)</f>
        <v>Ultimate</v>
      </c>
      <c r="D164" s="1" t="str">
        <f aca="false">IF(LEN(A164&amp;"")=0,"",Base!G164)</f>
        <v>Annual</v>
      </c>
      <c r="E164" s="1" t="str">
        <f aca="false">IF(LEN(A164&amp;"")=0,"",Base!E164)</f>
        <v>Yes</v>
      </c>
      <c r="F164" s="61" t="n">
        <f aca="false">IF(LEN(A164&amp;"")=0,"",IF(Base!I164="-",0,Base!I164))</f>
        <v>30</v>
      </c>
      <c r="G164" s="61" t="n">
        <f aca="false">IF(LEN(A164&amp;"")=0,"",SUM(Base!F164,F164,Base!K164))</f>
        <v>65</v>
      </c>
      <c r="H164" s="61" t="n">
        <f aca="false">IF(LEN(A164&amp;"")=0,"",Base!L164)</f>
        <v>3</v>
      </c>
      <c r="I164" s="61" t="n">
        <f aca="false">IF(LEN(A164&amp;"")=0,"",G164-H164)</f>
        <v>62</v>
      </c>
      <c r="J164" s="61" t="n">
        <f aca="false">IF(LEN(A164&amp;"")=0,"",Base!M164)</f>
        <v>62</v>
      </c>
      <c r="K164" s="1" t="n">
        <f aca="false">IF(OR(LEN(A164&amp;"")=0,$P$3=0),0,IF(AND(B164&gt;=Painel!$B$8,B164&lt;=Painel!$G$8,OR(Painel!$L$8="Todos",C164=Painel!$L$8),OR(Painel!$Q$8="Todos",D164=Painel!$Q$8),OR(Painel!$V$8="Todas",E164=Painel!$V$8)),1,0))</f>
        <v>1</v>
      </c>
      <c r="L164" s="61" t="n">
        <f aca="false">IF(LEN(A164&amp;"")=0,"",J164-I164)</f>
        <v>0</v>
      </c>
      <c r="M164" s="1" t="n">
        <f aca="false">IF(LEN(A164&amp;"")=0,0,IF(COUNTIFS(Base!$A$7:$A$1006,A164)&gt;1,1,0))</f>
        <v>0</v>
      </c>
      <c r="N164" s="1" t="n">
        <f aca="false">IF(LEN(A164&amp;"")=0,0,IF(ABS(L164)&gt;0.005,1,0))</f>
        <v>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customFormat="false" ht="23" hidden="false" customHeight="true" outlineLevel="0" collapsed="false">
      <c r="A165" s="1" t="n">
        <f aca="false">IF(LEN(Base!A165&amp;"")=0,"",Base!A165)</f>
        <v>3389</v>
      </c>
      <c r="B165" s="60" t="n">
        <f aca="false">IF(LEN(A165&amp;"")=0,"",Base!D165)</f>
        <v>45506</v>
      </c>
      <c r="C165" s="1" t="str">
        <f aca="false">IF(LEN(A165&amp;"")=0,"",Base!C165)</f>
        <v>Standard</v>
      </c>
      <c r="D165" s="1" t="str">
        <f aca="false">IF(LEN(A165&amp;"")=0,"",Base!G165)</f>
        <v>Monthly</v>
      </c>
      <c r="E165" s="1" t="str">
        <f aca="false">IF(LEN(A165&amp;"")=0,"",Base!E165)</f>
        <v>No</v>
      </c>
      <c r="F165" s="61" t="n">
        <f aca="false">IF(LEN(A165&amp;"")=0,"",IF(Base!I165="-",0,Base!I165))</f>
        <v>0</v>
      </c>
      <c r="G165" s="61" t="n">
        <f aca="false">IF(LEN(A165&amp;"")=0,"",SUM(Base!F165,F165,Base!K165))</f>
        <v>30</v>
      </c>
      <c r="H165" s="61" t="n">
        <f aca="false">IF(LEN(A165&amp;"")=0,"",Base!L165)</f>
        <v>10</v>
      </c>
      <c r="I165" s="61" t="n">
        <f aca="false">IF(LEN(A165&amp;"")=0,"",G165-H165)</f>
        <v>20</v>
      </c>
      <c r="J165" s="61" t="n">
        <f aca="false">IF(LEN(A165&amp;"")=0,"",Base!M165)</f>
        <v>20</v>
      </c>
      <c r="K165" s="1" t="n">
        <f aca="false">IF(OR(LEN(A165&amp;"")=0,$P$3=0),0,IF(AND(B165&gt;=Painel!$B$8,B165&lt;=Painel!$G$8,OR(Painel!$L$8="Todos",C165=Painel!$L$8),OR(Painel!$Q$8="Todos",D165=Painel!$Q$8),OR(Painel!$V$8="Todas",E165=Painel!$V$8)),1,0))</f>
        <v>1</v>
      </c>
      <c r="L165" s="61" t="n">
        <f aca="false">IF(LEN(A165&amp;"")=0,"",J165-I165)</f>
        <v>0</v>
      </c>
      <c r="M165" s="1" t="n">
        <f aca="false">IF(LEN(A165&amp;"")=0,0,IF(COUNTIFS(Base!$A$7:$A$1006,A165)&gt;1,1,0))</f>
        <v>0</v>
      </c>
      <c r="N165" s="1" t="n">
        <f aca="false">IF(LEN(A165&amp;"")=0,0,IF(ABS(L165)&gt;0.005,1,0))</f>
        <v>0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customFormat="false" ht="23" hidden="false" customHeight="true" outlineLevel="0" collapsed="false">
      <c r="A166" s="1" t="n">
        <f aca="false">IF(LEN(Base!A166&amp;"")=0,"",Base!A166)</f>
        <v>3390</v>
      </c>
      <c r="B166" s="60" t="n">
        <f aca="false">IF(LEN(A166&amp;"")=0,"",Base!D166)</f>
        <v>45507</v>
      </c>
      <c r="C166" s="1" t="str">
        <f aca="false">IF(LEN(A166&amp;"")=0,"",Base!C166)</f>
        <v>Core</v>
      </c>
      <c r="D166" s="1" t="str">
        <f aca="false">IF(LEN(A166&amp;"")=0,"",Base!G166)</f>
        <v>Quarterly</v>
      </c>
      <c r="E166" s="1" t="str">
        <f aca="false">IF(LEN(A166&amp;"")=0,"",Base!E166)</f>
        <v>Yes</v>
      </c>
      <c r="F166" s="61" t="n">
        <f aca="false">IF(LEN(A166&amp;"")=0,"",IF(Base!I166="-",0,Base!I166))</f>
        <v>0</v>
      </c>
      <c r="G166" s="61" t="n">
        <f aca="false">IF(LEN(A166&amp;"")=0,"",SUM(Base!F166,F166,Base!K166))</f>
        <v>5</v>
      </c>
      <c r="H166" s="61" t="n">
        <f aca="false">IF(LEN(A166&amp;"")=0,"",Base!L166)</f>
        <v>0</v>
      </c>
      <c r="I166" s="61" t="n">
        <f aca="false">IF(LEN(A166&amp;"")=0,"",G166-H166)</f>
        <v>5</v>
      </c>
      <c r="J166" s="61" t="n">
        <f aca="false">IF(LEN(A166&amp;"")=0,"",Base!M166)</f>
        <v>5</v>
      </c>
      <c r="K166" s="1" t="n">
        <f aca="false">IF(OR(LEN(A166&amp;"")=0,$P$3=0),0,IF(AND(B166&gt;=Painel!$B$8,B166&lt;=Painel!$G$8,OR(Painel!$L$8="Todos",C166=Painel!$L$8),OR(Painel!$Q$8="Todos",D166=Painel!$Q$8),OR(Painel!$V$8="Todas",E166=Painel!$V$8)),1,0))</f>
        <v>1</v>
      </c>
      <c r="L166" s="61" t="n">
        <f aca="false">IF(LEN(A166&amp;"")=0,"",J166-I166)</f>
        <v>0</v>
      </c>
      <c r="M166" s="1" t="n">
        <f aca="false">IF(LEN(A166&amp;"")=0,0,IF(COUNTIFS(Base!$A$7:$A$1006,A166)&gt;1,1,0))</f>
        <v>0</v>
      </c>
      <c r="N166" s="1" t="n">
        <f aca="false">IF(LEN(A166&amp;"")=0,0,IF(ABS(L166)&gt;0.005,1,0))</f>
        <v>0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customFormat="false" ht="23" hidden="false" customHeight="true" outlineLevel="0" collapsed="false">
      <c r="A167" s="1" t="n">
        <f aca="false">IF(LEN(Base!A167&amp;"")=0,"",Base!A167)</f>
        <v>3391</v>
      </c>
      <c r="B167" s="60" t="n">
        <f aca="false">IF(LEN(A167&amp;"")=0,"",Base!D167)</f>
        <v>45508</v>
      </c>
      <c r="C167" s="1" t="str">
        <f aca="false">IF(LEN(A167&amp;"")=0,"",Base!C167)</f>
        <v>Ultimate</v>
      </c>
      <c r="D167" s="1" t="str">
        <f aca="false">IF(LEN(A167&amp;"")=0,"",Base!G167)</f>
        <v>Monthly</v>
      </c>
      <c r="E167" s="1" t="str">
        <f aca="false">IF(LEN(A167&amp;"")=0,"",Base!E167)</f>
        <v>No</v>
      </c>
      <c r="F167" s="61" t="n">
        <f aca="false">IF(LEN(A167&amp;"")=0,"",IF(Base!I167="-",0,Base!I167))</f>
        <v>30</v>
      </c>
      <c r="G167" s="61" t="n">
        <f aca="false">IF(LEN(A167&amp;"")=0,"",SUM(Base!F167,F167,Base!K167))</f>
        <v>65</v>
      </c>
      <c r="H167" s="61" t="n">
        <f aca="false">IF(LEN(A167&amp;"")=0,"",Base!L167)</f>
        <v>15</v>
      </c>
      <c r="I167" s="61" t="n">
        <f aca="false">IF(LEN(A167&amp;"")=0,"",G167-H167)</f>
        <v>50</v>
      </c>
      <c r="J167" s="61" t="n">
        <f aca="false">IF(LEN(A167&amp;"")=0,"",Base!M167)</f>
        <v>50</v>
      </c>
      <c r="K167" s="1" t="n">
        <f aca="false">IF(OR(LEN(A167&amp;"")=0,$P$3=0),0,IF(AND(B167&gt;=Painel!$B$8,B167&lt;=Painel!$G$8,OR(Painel!$L$8="Todos",C167=Painel!$L$8),OR(Painel!$Q$8="Todos",D167=Painel!$Q$8),OR(Painel!$V$8="Todas",E167=Painel!$V$8)),1,0))</f>
        <v>1</v>
      </c>
      <c r="L167" s="61" t="n">
        <f aca="false">IF(LEN(A167&amp;"")=0,"",J167-I167)</f>
        <v>0</v>
      </c>
      <c r="M167" s="1" t="n">
        <f aca="false">IF(LEN(A167&amp;"")=0,0,IF(COUNTIFS(Base!$A$7:$A$1006,A167)&gt;1,1,0))</f>
        <v>0</v>
      </c>
      <c r="N167" s="1" t="n">
        <f aca="false">IF(LEN(A167&amp;"")=0,0,IF(ABS(L167)&gt;0.005,1,0))</f>
        <v>0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customFormat="false" ht="23" hidden="false" customHeight="true" outlineLevel="0" collapsed="false">
      <c r="A168" s="1" t="n">
        <f aca="false">IF(LEN(Base!A168&amp;"")=0,"",Base!A168)</f>
        <v>3392</v>
      </c>
      <c r="B168" s="60" t="n">
        <f aca="false">IF(LEN(A168&amp;"")=0,"",Base!D168)</f>
        <v>45509</v>
      </c>
      <c r="C168" s="1" t="str">
        <f aca="false">IF(LEN(A168&amp;"")=0,"",Base!C168)</f>
        <v>Standard</v>
      </c>
      <c r="D168" s="1" t="str">
        <f aca="false">IF(LEN(A168&amp;"")=0,"",Base!G168)</f>
        <v>Annual</v>
      </c>
      <c r="E168" s="1" t="str">
        <f aca="false">IF(LEN(A168&amp;"")=0,"",Base!E168)</f>
        <v>Yes</v>
      </c>
      <c r="F168" s="61" t="n">
        <f aca="false">IF(LEN(A168&amp;"")=0,"",IF(Base!I168="-",0,Base!I168))</f>
        <v>0</v>
      </c>
      <c r="G168" s="61" t="n">
        <f aca="false">IF(LEN(A168&amp;"")=0,"",SUM(Base!F168,F168,Base!K168))</f>
        <v>30</v>
      </c>
      <c r="H168" s="61" t="n">
        <f aca="false">IF(LEN(A168&amp;"")=0,"",Base!L168)</f>
        <v>15</v>
      </c>
      <c r="I168" s="61" t="n">
        <f aca="false">IF(LEN(A168&amp;"")=0,"",G168-H168)</f>
        <v>15</v>
      </c>
      <c r="J168" s="61" t="n">
        <f aca="false">IF(LEN(A168&amp;"")=0,"",Base!M168)</f>
        <v>15</v>
      </c>
      <c r="K168" s="1" t="n">
        <f aca="false">IF(OR(LEN(A168&amp;"")=0,$P$3=0),0,IF(AND(B168&gt;=Painel!$B$8,B168&lt;=Painel!$G$8,OR(Painel!$L$8="Todos",C168=Painel!$L$8),OR(Painel!$Q$8="Todos",D168=Painel!$Q$8),OR(Painel!$V$8="Todas",E168=Painel!$V$8)),1,0))</f>
        <v>1</v>
      </c>
      <c r="L168" s="61" t="n">
        <f aca="false">IF(LEN(A168&amp;"")=0,"",J168-I168)</f>
        <v>0</v>
      </c>
      <c r="M168" s="1" t="n">
        <f aca="false">IF(LEN(A168&amp;"")=0,0,IF(COUNTIFS(Base!$A$7:$A$1006,A168)&gt;1,1,0))</f>
        <v>0</v>
      </c>
      <c r="N168" s="1" t="n">
        <f aca="false">IF(LEN(A168&amp;"")=0,0,IF(ABS(L168)&gt;0.005,1,0))</f>
        <v>0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customFormat="false" ht="23" hidden="false" customHeight="true" outlineLevel="0" collapsed="false">
      <c r="A169" s="1" t="n">
        <f aca="false">IF(LEN(Base!A169&amp;"")=0,"",Base!A169)</f>
        <v>3393</v>
      </c>
      <c r="B169" s="60" t="n">
        <f aca="false">IF(LEN(A169&amp;"")=0,"",Base!D169)</f>
        <v>45510</v>
      </c>
      <c r="C169" s="1" t="str">
        <f aca="false">IF(LEN(A169&amp;"")=0,"",Base!C169)</f>
        <v>Core</v>
      </c>
      <c r="D169" s="1" t="str">
        <f aca="false">IF(LEN(A169&amp;"")=0,"",Base!G169)</f>
        <v>Monthly</v>
      </c>
      <c r="E169" s="1" t="str">
        <f aca="false">IF(LEN(A169&amp;"")=0,"",Base!E169)</f>
        <v>No</v>
      </c>
      <c r="F169" s="61" t="n">
        <f aca="false">IF(LEN(A169&amp;"")=0,"",IF(Base!I169="-",0,Base!I169))</f>
        <v>0</v>
      </c>
      <c r="G169" s="61" t="n">
        <f aca="false">IF(LEN(A169&amp;"")=0,"",SUM(Base!F169,F169,Base!K169))</f>
        <v>5</v>
      </c>
      <c r="H169" s="61" t="n">
        <f aca="false">IF(LEN(A169&amp;"")=0,"",Base!L169)</f>
        <v>1</v>
      </c>
      <c r="I169" s="61" t="n">
        <f aca="false">IF(LEN(A169&amp;"")=0,"",G169-H169)</f>
        <v>4</v>
      </c>
      <c r="J169" s="61" t="n">
        <f aca="false">IF(LEN(A169&amp;"")=0,"",Base!M169)</f>
        <v>4</v>
      </c>
      <c r="K169" s="1" t="n">
        <f aca="false">IF(OR(LEN(A169&amp;"")=0,$P$3=0),0,IF(AND(B169&gt;=Painel!$B$8,B169&lt;=Painel!$G$8,OR(Painel!$L$8="Todos",C169=Painel!$L$8),OR(Painel!$Q$8="Todos",D169=Painel!$Q$8),OR(Painel!$V$8="Todas",E169=Painel!$V$8)),1,0))</f>
        <v>1</v>
      </c>
      <c r="L169" s="61" t="n">
        <f aca="false">IF(LEN(A169&amp;"")=0,"",J169-I169)</f>
        <v>0</v>
      </c>
      <c r="M169" s="1" t="n">
        <f aca="false">IF(LEN(A169&amp;"")=0,0,IF(COUNTIFS(Base!$A$7:$A$1006,A169)&gt;1,1,0))</f>
        <v>0</v>
      </c>
      <c r="N169" s="1" t="n">
        <f aca="false">IF(LEN(A169&amp;"")=0,0,IF(ABS(L169)&gt;0.005,1,0))</f>
        <v>0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customFormat="false" ht="23" hidden="false" customHeight="true" outlineLevel="0" collapsed="false">
      <c r="A170" s="1" t="n">
        <f aca="false">IF(LEN(Base!A170&amp;"")=0,"",Base!A170)</f>
        <v>3394</v>
      </c>
      <c r="B170" s="60" t="n">
        <f aca="false">IF(LEN(A170&amp;"")=0,"",Base!D170)</f>
        <v>45511</v>
      </c>
      <c r="C170" s="1" t="str">
        <f aca="false">IF(LEN(A170&amp;"")=0,"",Base!C170)</f>
        <v>Ultimate</v>
      </c>
      <c r="D170" s="1" t="str">
        <f aca="false">IF(LEN(A170&amp;"")=0,"",Base!G170)</f>
        <v>Quarterly</v>
      </c>
      <c r="E170" s="1" t="str">
        <f aca="false">IF(LEN(A170&amp;"")=0,"",Base!E170)</f>
        <v>Yes</v>
      </c>
      <c r="F170" s="61" t="n">
        <f aca="false">IF(LEN(A170&amp;"")=0,"",IF(Base!I170="-",0,Base!I170))</f>
        <v>30</v>
      </c>
      <c r="G170" s="61" t="n">
        <f aca="false">IF(LEN(A170&amp;"")=0,"",SUM(Base!F170,F170,Base!K170))</f>
        <v>65</v>
      </c>
      <c r="H170" s="61" t="n">
        <f aca="false">IF(LEN(A170&amp;"")=0,"",Base!L170)</f>
        <v>7</v>
      </c>
      <c r="I170" s="61" t="n">
        <f aca="false">IF(LEN(A170&amp;"")=0,"",G170-H170)</f>
        <v>58</v>
      </c>
      <c r="J170" s="61" t="n">
        <f aca="false">IF(LEN(A170&amp;"")=0,"",Base!M170)</f>
        <v>58</v>
      </c>
      <c r="K170" s="1" t="n">
        <f aca="false">IF(OR(LEN(A170&amp;"")=0,$P$3=0),0,IF(AND(B170&gt;=Painel!$B$8,B170&lt;=Painel!$G$8,OR(Painel!$L$8="Todos",C170=Painel!$L$8),OR(Painel!$Q$8="Todos",D170=Painel!$Q$8),OR(Painel!$V$8="Todas",E170=Painel!$V$8)),1,0))</f>
        <v>1</v>
      </c>
      <c r="L170" s="61" t="n">
        <f aca="false">IF(LEN(A170&amp;"")=0,"",J170-I170)</f>
        <v>0</v>
      </c>
      <c r="M170" s="1" t="n">
        <f aca="false">IF(LEN(A170&amp;"")=0,0,IF(COUNTIFS(Base!$A$7:$A$1006,A170)&gt;1,1,0))</f>
        <v>0</v>
      </c>
      <c r="N170" s="1" t="n">
        <f aca="false">IF(LEN(A170&amp;"")=0,0,IF(ABS(L170)&gt;0.005,1,0))</f>
        <v>0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customFormat="false" ht="23" hidden="false" customHeight="true" outlineLevel="0" collapsed="false">
      <c r="A171" s="1" t="n">
        <f aca="false">IF(LEN(Base!A171&amp;"")=0,"",Base!A171)</f>
        <v>3395</v>
      </c>
      <c r="B171" s="60" t="n">
        <f aca="false">IF(LEN(A171&amp;"")=0,"",Base!D171)</f>
        <v>45512</v>
      </c>
      <c r="C171" s="1" t="str">
        <f aca="false">IF(LEN(A171&amp;"")=0,"",Base!C171)</f>
        <v>Standard</v>
      </c>
      <c r="D171" s="1" t="str">
        <f aca="false">IF(LEN(A171&amp;"")=0,"",Base!G171)</f>
        <v>Monthly</v>
      </c>
      <c r="E171" s="1" t="str">
        <f aca="false">IF(LEN(A171&amp;"")=0,"",Base!E171)</f>
        <v>No</v>
      </c>
      <c r="F171" s="61" t="n">
        <f aca="false">IF(LEN(A171&amp;"")=0,"",IF(Base!I171="-",0,Base!I171))</f>
        <v>0</v>
      </c>
      <c r="G171" s="61" t="n">
        <f aca="false">IF(LEN(A171&amp;"")=0,"",SUM(Base!F171,F171,Base!K171))</f>
        <v>30</v>
      </c>
      <c r="H171" s="61" t="n">
        <f aca="false">IF(LEN(A171&amp;"")=0,"",Base!L171)</f>
        <v>10</v>
      </c>
      <c r="I171" s="61" t="n">
        <f aca="false">IF(LEN(A171&amp;"")=0,"",G171-H171)</f>
        <v>20</v>
      </c>
      <c r="J171" s="61" t="n">
        <f aca="false">IF(LEN(A171&amp;"")=0,"",Base!M171)</f>
        <v>20</v>
      </c>
      <c r="K171" s="1" t="n">
        <f aca="false">IF(OR(LEN(A171&amp;"")=0,$P$3=0),0,IF(AND(B171&gt;=Painel!$B$8,B171&lt;=Painel!$G$8,OR(Painel!$L$8="Todos",C171=Painel!$L$8),OR(Painel!$Q$8="Todos",D171=Painel!$Q$8),OR(Painel!$V$8="Todas",E171=Painel!$V$8)),1,0))</f>
        <v>1</v>
      </c>
      <c r="L171" s="61" t="n">
        <f aca="false">IF(LEN(A171&amp;"")=0,"",J171-I171)</f>
        <v>0</v>
      </c>
      <c r="M171" s="1" t="n">
        <f aca="false">IF(LEN(A171&amp;"")=0,0,IF(COUNTIFS(Base!$A$7:$A$1006,A171)&gt;1,1,0))</f>
        <v>0</v>
      </c>
      <c r="N171" s="1" t="n">
        <f aca="false">IF(LEN(A171&amp;"")=0,0,IF(ABS(L171)&gt;0.005,1,0))</f>
        <v>0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customFormat="false" ht="23" hidden="false" customHeight="true" outlineLevel="0" collapsed="false">
      <c r="A172" s="1" t="n">
        <f aca="false">IF(LEN(Base!A172&amp;"")=0,"",Base!A172)</f>
        <v>3396</v>
      </c>
      <c r="B172" s="60" t="n">
        <f aca="false">IF(LEN(A172&amp;"")=0,"",Base!D172)</f>
        <v>45513</v>
      </c>
      <c r="C172" s="1" t="str">
        <f aca="false">IF(LEN(A172&amp;"")=0,"",Base!C172)</f>
        <v>Core</v>
      </c>
      <c r="D172" s="1" t="str">
        <f aca="false">IF(LEN(A172&amp;"")=0,"",Base!G172)</f>
        <v>Annual</v>
      </c>
      <c r="E172" s="1" t="str">
        <f aca="false">IF(LEN(A172&amp;"")=0,"",Base!E172)</f>
        <v>Yes</v>
      </c>
      <c r="F172" s="61" t="n">
        <f aca="false">IF(LEN(A172&amp;"")=0,"",IF(Base!I172="-",0,Base!I172))</f>
        <v>0</v>
      </c>
      <c r="G172" s="61" t="n">
        <f aca="false">IF(LEN(A172&amp;"")=0,"",SUM(Base!F172,F172,Base!K172))</f>
        <v>5</v>
      </c>
      <c r="H172" s="61" t="n">
        <f aca="false">IF(LEN(A172&amp;"")=0,"",Base!L172)</f>
        <v>0</v>
      </c>
      <c r="I172" s="61" t="n">
        <f aca="false">IF(LEN(A172&amp;"")=0,"",G172-H172)</f>
        <v>5</v>
      </c>
      <c r="J172" s="61" t="n">
        <f aca="false">IF(LEN(A172&amp;"")=0,"",Base!M172)</f>
        <v>5</v>
      </c>
      <c r="K172" s="1" t="n">
        <f aca="false">IF(OR(LEN(A172&amp;"")=0,$P$3=0),0,IF(AND(B172&gt;=Painel!$B$8,B172&lt;=Painel!$G$8,OR(Painel!$L$8="Todos",C172=Painel!$L$8),OR(Painel!$Q$8="Todos",D172=Painel!$Q$8),OR(Painel!$V$8="Todas",E172=Painel!$V$8)),1,0))</f>
        <v>1</v>
      </c>
      <c r="L172" s="61" t="n">
        <f aca="false">IF(LEN(A172&amp;"")=0,"",J172-I172)</f>
        <v>0</v>
      </c>
      <c r="M172" s="1" t="n">
        <f aca="false">IF(LEN(A172&amp;"")=0,0,IF(COUNTIFS(Base!$A$7:$A$1006,A172)&gt;1,1,0))</f>
        <v>0</v>
      </c>
      <c r="N172" s="1" t="n">
        <f aca="false">IF(LEN(A172&amp;"")=0,0,IF(ABS(L172)&gt;0.005,1,0))</f>
        <v>0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customFormat="false" ht="23" hidden="false" customHeight="true" outlineLevel="0" collapsed="false">
      <c r="A173" s="1" t="n">
        <f aca="false">IF(LEN(Base!A173&amp;"")=0,"",Base!A173)</f>
        <v>3397</v>
      </c>
      <c r="B173" s="60" t="n">
        <f aca="false">IF(LEN(A173&amp;"")=0,"",Base!D173)</f>
        <v>45514</v>
      </c>
      <c r="C173" s="1" t="str">
        <f aca="false">IF(LEN(A173&amp;"")=0,"",Base!C173)</f>
        <v>Ultimate</v>
      </c>
      <c r="D173" s="1" t="str">
        <f aca="false">IF(LEN(A173&amp;"")=0,"",Base!G173)</f>
        <v>Monthly</v>
      </c>
      <c r="E173" s="1" t="str">
        <f aca="false">IF(LEN(A173&amp;"")=0,"",Base!E173)</f>
        <v>No</v>
      </c>
      <c r="F173" s="61" t="n">
        <f aca="false">IF(LEN(A173&amp;"")=0,"",IF(Base!I173="-",0,Base!I173))</f>
        <v>30</v>
      </c>
      <c r="G173" s="61" t="n">
        <f aca="false">IF(LEN(A173&amp;"")=0,"",SUM(Base!F173,F173,Base!K173))</f>
        <v>65</v>
      </c>
      <c r="H173" s="61" t="n">
        <f aca="false">IF(LEN(A173&amp;"")=0,"",Base!L173)</f>
        <v>20</v>
      </c>
      <c r="I173" s="61" t="n">
        <f aca="false">IF(LEN(A173&amp;"")=0,"",G173-H173)</f>
        <v>45</v>
      </c>
      <c r="J173" s="61" t="n">
        <f aca="false">IF(LEN(A173&amp;"")=0,"",Base!M173)</f>
        <v>45</v>
      </c>
      <c r="K173" s="1" t="n">
        <f aca="false">IF(OR(LEN(A173&amp;"")=0,$P$3=0),0,IF(AND(B173&gt;=Painel!$B$8,B173&lt;=Painel!$G$8,OR(Painel!$L$8="Todos",C173=Painel!$L$8),OR(Painel!$Q$8="Todos",D173=Painel!$Q$8),OR(Painel!$V$8="Todas",E173=Painel!$V$8)),1,0))</f>
        <v>1</v>
      </c>
      <c r="L173" s="61" t="n">
        <f aca="false">IF(LEN(A173&amp;"")=0,"",J173-I173)</f>
        <v>0</v>
      </c>
      <c r="M173" s="1" t="n">
        <f aca="false">IF(LEN(A173&amp;"")=0,0,IF(COUNTIFS(Base!$A$7:$A$1006,A173)&gt;1,1,0))</f>
        <v>0</v>
      </c>
      <c r="N173" s="1" t="n">
        <f aca="false">IF(LEN(A173&amp;"")=0,0,IF(ABS(L173)&gt;0.005,1,0))</f>
        <v>0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customFormat="false" ht="23" hidden="false" customHeight="true" outlineLevel="0" collapsed="false">
      <c r="A174" s="1" t="n">
        <f aca="false">IF(LEN(Base!A174&amp;"")=0,"",Base!A174)</f>
        <v>3398</v>
      </c>
      <c r="B174" s="60" t="n">
        <f aca="false">IF(LEN(A174&amp;"")=0,"",Base!D174)</f>
        <v>45515</v>
      </c>
      <c r="C174" s="1" t="str">
        <f aca="false">IF(LEN(A174&amp;"")=0,"",Base!C174)</f>
        <v>Standard</v>
      </c>
      <c r="D174" s="1" t="str">
        <f aca="false">IF(LEN(A174&amp;"")=0,"",Base!G174)</f>
        <v>Quarterly</v>
      </c>
      <c r="E174" s="1" t="str">
        <f aca="false">IF(LEN(A174&amp;"")=0,"",Base!E174)</f>
        <v>Yes</v>
      </c>
      <c r="F174" s="61" t="n">
        <f aca="false">IF(LEN(A174&amp;"")=0,"",IF(Base!I174="-",0,Base!I174))</f>
        <v>0</v>
      </c>
      <c r="G174" s="61" t="n">
        <f aca="false">IF(LEN(A174&amp;"")=0,"",SUM(Base!F174,F174,Base!K174))</f>
        <v>30</v>
      </c>
      <c r="H174" s="61" t="n">
        <f aca="false">IF(LEN(A174&amp;"")=0,"",Base!L174)</f>
        <v>15</v>
      </c>
      <c r="I174" s="61" t="n">
        <f aca="false">IF(LEN(A174&amp;"")=0,"",G174-H174)</f>
        <v>15</v>
      </c>
      <c r="J174" s="61" t="n">
        <f aca="false">IF(LEN(A174&amp;"")=0,"",Base!M174)</f>
        <v>15</v>
      </c>
      <c r="K174" s="1" t="n">
        <f aca="false">IF(OR(LEN(A174&amp;"")=0,$P$3=0),0,IF(AND(B174&gt;=Painel!$B$8,B174&lt;=Painel!$G$8,OR(Painel!$L$8="Todos",C174=Painel!$L$8),OR(Painel!$Q$8="Todos",D174=Painel!$Q$8),OR(Painel!$V$8="Todas",E174=Painel!$V$8)),1,0))</f>
        <v>1</v>
      </c>
      <c r="L174" s="61" t="n">
        <f aca="false">IF(LEN(A174&amp;"")=0,"",J174-I174)</f>
        <v>0</v>
      </c>
      <c r="M174" s="1" t="n">
        <f aca="false">IF(LEN(A174&amp;"")=0,0,IF(COUNTIFS(Base!$A$7:$A$1006,A174)&gt;1,1,0))</f>
        <v>0</v>
      </c>
      <c r="N174" s="1" t="n">
        <f aca="false">IF(LEN(A174&amp;"")=0,0,IF(ABS(L174)&gt;0.005,1,0))</f>
        <v>0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customFormat="false" ht="23" hidden="false" customHeight="true" outlineLevel="0" collapsed="false">
      <c r="A175" s="1" t="n">
        <f aca="false">IF(LEN(Base!A175&amp;"")=0,"",Base!A175)</f>
        <v>3399</v>
      </c>
      <c r="B175" s="60" t="n">
        <f aca="false">IF(LEN(A175&amp;"")=0,"",Base!D175)</f>
        <v>45516</v>
      </c>
      <c r="C175" s="1" t="str">
        <f aca="false">IF(LEN(A175&amp;"")=0,"",Base!C175)</f>
        <v>Core</v>
      </c>
      <c r="D175" s="1" t="str">
        <f aca="false">IF(LEN(A175&amp;"")=0,"",Base!G175)</f>
        <v>Monthly</v>
      </c>
      <c r="E175" s="1" t="str">
        <f aca="false">IF(LEN(A175&amp;"")=0,"",Base!E175)</f>
        <v>No</v>
      </c>
      <c r="F175" s="61" t="n">
        <f aca="false">IF(LEN(A175&amp;"")=0,"",IF(Base!I175="-",0,Base!I175))</f>
        <v>0</v>
      </c>
      <c r="G175" s="61" t="n">
        <f aca="false">IF(LEN(A175&amp;"")=0,"",SUM(Base!F175,F175,Base!K175))</f>
        <v>5</v>
      </c>
      <c r="H175" s="61" t="n">
        <f aca="false">IF(LEN(A175&amp;"")=0,"",Base!L175)</f>
        <v>1</v>
      </c>
      <c r="I175" s="61" t="n">
        <f aca="false">IF(LEN(A175&amp;"")=0,"",G175-H175)</f>
        <v>4</v>
      </c>
      <c r="J175" s="61" t="n">
        <f aca="false">IF(LEN(A175&amp;"")=0,"",Base!M175)</f>
        <v>4</v>
      </c>
      <c r="K175" s="1" t="n">
        <f aca="false">IF(OR(LEN(A175&amp;"")=0,$P$3=0),0,IF(AND(B175&gt;=Painel!$B$8,B175&lt;=Painel!$G$8,OR(Painel!$L$8="Todos",C175=Painel!$L$8),OR(Painel!$Q$8="Todos",D175=Painel!$Q$8),OR(Painel!$V$8="Todas",E175=Painel!$V$8)),1,0))</f>
        <v>1</v>
      </c>
      <c r="L175" s="61" t="n">
        <f aca="false">IF(LEN(A175&amp;"")=0,"",J175-I175)</f>
        <v>0</v>
      </c>
      <c r="M175" s="1" t="n">
        <f aca="false">IF(LEN(A175&amp;"")=0,0,IF(COUNTIFS(Base!$A$7:$A$1006,A175)&gt;1,1,0))</f>
        <v>0</v>
      </c>
      <c r="N175" s="1" t="n">
        <f aca="false">IF(LEN(A175&amp;"")=0,0,IF(ABS(L175)&gt;0.005,1,0))</f>
        <v>0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customFormat="false" ht="23" hidden="false" customHeight="true" outlineLevel="0" collapsed="false">
      <c r="A176" s="1" t="n">
        <f aca="false">IF(LEN(Base!A176&amp;"")=0,"",Base!A176)</f>
        <v>3400</v>
      </c>
      <c r="B176" s="60" t="n">
        <f aca="false">IF(LEN(A176&amp;"")=0,"",Base!D176)</f>
        <v>45517</v>
      </c>
      <c r="C176" s="1" t="str">
        <f aca="false">IF(LEN(A176&amp;"")=0,"",Base!C176)</f>
        <v>Ultimate</v>
      </c>
      <c r="D176" s="1" t="str">
        <f aca="false">IF(LEN(A176&amp;"")=0,"",Base!G176)</f>
        <v>Annual</v>
      </c>
      <c r="E176" s="1" t="str">
        <f aca="false">IF(LEN(A176&amp;"")=0,"",Base!E176)</f>
        <v>Yes</v>
      </c>
      <c r="F176" s="61" t="n">
        <f aca="false">IF(LEN(A176&amp;"")=0,"",IF(Base!I176="-",0,Base!I176))</f>
        <v>30</v>
      </c>
      <c r="G176" s="61" t="n">
        <f aca="false">IF(LEN(A176&amp;"")=0,"",SUM(Base!F176,F176,Base!K176))</f>
        <v>65</v>
      </c>
      <c r="H176" s="61" t="n">
        <f aca="false">IF(LEN(A176&amp;"")=0,"",Base!L176)</f>
        <v>5</v>
      </c>
      <c r="I176" s="61" t="n">
        <f aca="false">IF(LEN(A176&amp;"")=0,"",G176-H176)</f>
        <v>60</v>
      </c>
      <c r="J176" s="61" t="n">
        <f aca="false">IF(LEN(A176&amp;"")=0,"",Base!M176)</f>
        <v>60</v>
      </c>
      <c r="K176" s="1" t="n">
        <f aca="false">IF(OR(LEN(A176&amp;"")=0,$P$3=0),0,IF(AND(B176&gt;=Painel!$B$8,B176&lt;=Painel!$G$8,OR(Painel!$L$8="Todos",C176=Painel!$L$8),OR(Painel!$Q$8="Todos",D176=Painel!$Q$8),OR(Painel!$V$8="Todas",E176=Painel!$V$8)),1,0))</f>
        <v>1</v>
      </c>
      <c r="L176" s="61" t="n">
        <f aca="false">IF(LEN(A176&amp;"")=0,"",J176-I176)</f>
        <v>0</v>
      </c>
      <c r="M176" s="1" t="n">
        <f aca="false">IF(LEN(A176&amp;"")=0,0,IF(COUNTIFS(Base!$A$7:$A$1006,A176)&gt;1,1,0))</f>
        <v>0</v>
      </c>
      <c r="N176" s="1" t="n">
        <f aca="false">IF(LEN(A176&amp;"")=0,0,IF(ABS(L176)&gt;0.005,1,0))</f>
        <v>0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customFormat="false" ht="23" hidden="false" customHeight="true" outlineLevel="0" collapsed="false">
      <c r="A177" s="1" t="n">
        <f aca="false">IF(LEN(Base!A177&amp;"")=0,"",Base!A177)</f>
        <v>3401</v>
      </c>
      <c r="B177" s="60" t="n">
        <f aca="false">IF(LEN(A177&amp;"")=0,"",Base!D177)</f>
        <v>45518</v>
      </c>
      <c r="C177" s="1" t="str">
        <f aca="false">IF(LEN(A177&amp;"")=0,"",Base!C177)</f>
        <v>Standard</v>
      </c>
      <c r="D177" s="1" t="str">
        <f aca="false">IF(LEN(A177&amp;"")=0,"",Base!G177)</f>
        <v>Monthly</v>
      </c>
      <c r="E177" s="1" t="str">
        <f aca="false">IF(LEN(A177&amp;"")=0,"",Base!E177)</f>
        <v>No</v>
      </c>
      <c r="F177" s="61" t="n">
        <f aca="false">IF(LEN(A177&amp;"")=0,"",IF(Base!I177="-",0,Base!I177))</f>
        <v>0</v>
      </c>
      <c r="G177" s="61" t="n">
        <f aca="false">IF(LEN(A177&amp;"")=0,"",SUM(Base!F177,F177,Base!K177))</f>
        <v>30</v>
      </c>
      <c r="H177" s="61" t="n">
        <f aca="false">IF(LEN(A177&amp;"")=0,"",Base!L177)</f>
        <v>10</v>
      </c>
      <c r="I177" s="61" t="n">
        <f aca="false">IF(LEN(A177&amp;"")=0,"",G177-H177)</f>
        <v>20</v>
      </c>
      <c r="J177" s="61" t="n">
        <f aca="false">IF(LEN(A177&amp;"")=0,"",Base!M177)</f>
        <v>20</v>
      </c>
      <c r="K177" s="1" t="n">
        <f aca="false">IF(OR(LEN(A177&amp;"")=0,$P$3=0),0,IF(AND(B177&gt;=Painel!$B$8,B177&lt;=Painel!$G$8,OR(Painel!$L$8="Todos",C177=Painel!$L$8),OR(Painel!$Q$8="Todos",D177=Painel!$Q$8),OR(Painel!$V$8="Todas",E177=Painel!$V$8)),1,0))</f>
        <v>1</v>
      </c>
      <c r="L177" s="61" t="n">
        <f aca="false">IF(LEN(A177&amp;"")=0,"",J177-I177)</f>
        <v>0</v>
      </c>
      <c r="M177" s="1" t="n">
        <f aca="false">IF(LEN(A177&amp;"")=0,0,IF(COUNTIFS(Base!$A$7:$A$1006,A177)&gt;1,1,0))</f>
        <v>0</v>
      </c>
      <c r="N177" s="1" t="n">
        <f aca="false">IF(LEN(A177&amp;"")=0,0,IF(ABS(L177)&gt;0.005,1,0))</f>
        <v>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customFormat="false" ht="23" hidden="false" customHeight="true" outlineLevel="0" collapsed="false">
      <c r="A178" s="1" t="n">
        <f aca="false">IF(LEN(Base!A178&amp;"")=0,"",Base!A178)</f>
        <v>3402</v>
      </c>
      <c r="B178" s="60" t="n">
        <f aca="false">IF(LEN(A178&amp;"")=0,"",Base!D178)</f>
        <v>45519</v>
      </c>
      <c r="C178" s="1" t="str">
        <f aca="false">IF(LEN(A178&amp;"")=0,"",Base!C178)</f>
        <v>Core</v>
      </c>
      <c r="D178" s="1" t="str">
        <f aca="false">IF(LEN(A178&amp;"")=0,"",Base!G178)</f>
        <v>Quarterly</v>
      </c>
      <c r="E178" s="1" t="str">
        <f aca="false">IF(LEN(A178&amp;"")=0,"",Base!E178)</f>
        <v>Yes</v>
      </c>
      <c r="F178" s="61" t="n">
        <f aca="false">IF(LEN(A178&amp;"")=0,"",IF(Base!I178="-",0,Base!I178))</f>
        <v>0</v>
      </c>
      <c r="G178" s="61" t="n">
        <f aca="false">IF(LEN(A178&amp;"")=0,"",SUM(Base!F178,F178,Base!K178))</f>
        <v>5</v>
      </c>
      <c r="H178" s="61" t="n">
        <f aca="false">IF(LEN(A178&amp;"")=0,"",Base!L178)</f>
        <v>0</v>
      </c>
      <c r="I178" s="61" t="n">
        <f aca="false">IF(LEN(A178&amp;"")=0,"",G178-H178)</f>
        <v>5</v>
      </c>
      <c r="J178" s="61" t="n">
        <f aca="false">IF(LEN(A178&amp;"")=0,"",Base!M178)</f>
        <v>5</v>
      </c>
      <c r="K178" s="1" t="n">
        <f aca="false">IF(OR(LEN(A178&amp;"")=0,$P$3=0),0,IF(AND(B178&gt;=Painel!$B$8,B178&lt;=Painel!$G$8,OR(Painel!$L$8="Todos",C178=Painel!$L$8),OR(Painel!$Q$8="Todos",D178=Painel!$Q$8),OR(Painel!$V$8="Todas",E178=Painel!$V$8)),1,0))</f>
        <v>1</v>
      </c>
      <c r="L178" s="61" t="n">
        <f aca="false">IF(LEN(A178&amp;"")=0,"",J178-I178)</f>
        <v>0</v>
      </c>
      <c r="M178" s="1" t="n">
        <f aca="false">IF(LEN(A178&amp;"")=0,0,IF(COUNTIFS(Base!$A$7:$A$1006,A178)&gt;1,1,0))</f>
        <v>0</v>
      </c>
      <c r="N178" s="1" t="n">
        <f aca="false">IF(LEN(A178&amp;"")=0,0,IF(ABS(L178)&gt;0.005,1,0))</f>
        <v>0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customFormat="false" ht="23" hidden="false" customHeight="true" outlineLevel="0" collapsed="false">
      <c r="A179" s="1" t="n">
        <f aca="false">IF(LEN(Base!A179&amp;"")=0,"",Base!A179)</f>
        <v>3403</v>
      </c>
      <c r="B179" s="60" t="n">
        <f aca="false">IF(LEN(A179&amp;"")=0,"",Base!D179)</f>
        <v>45520</v>
      </c>
      <c r="C179" s="1" t="str">
        <f aca="false">IF(LEN(A179&amp;"")=0,"",Base!C179)</f>
        <v>Ultimate</v>
      </c>
      <c r="D179" s="1" t="str">
        <f aca="false">IF(LEN(A179&amp;"")=0,"",Base!G179)</f>
        <v>Monthly</v>
      </c>
      <c r="E179" s="1" t="str">
        <f aca="false">IF(LEN(A179&amp;"")=0,"",Base!E179)</f>
        <v>No</v>
      </c>
      <c r="F179" s="61" t="n">
        <f aca="false">IF(LEN(A179&amp;"")=0,"",IF(Base!I179="-",0,Base!I179))</f>
        <v>30</v>
      </c>
      <c r="G179" s="61" t="n">
        <f aca="false">IF(LEN(A179&amp;"")=0,"",SUM(Base!F179,F179,Base!K179))</f>
        <v>65</v>
      </c>
      <c r="H179" s="61" t="n">
        <f aca="false">IF(LEN(A179&amp;"")=0,"",Base!L179)</f>
        <v>3</v>
      </c>
      <c r="I179" s="61" t="n">
        <f aca="false">IF(LEN(A179&amp;"")=0,"",G179-H179)</f>
        <v>62</v>
      </c>
      <c r="J179" s="61" t="n">
        <f aca="false">IF(LEN(A179&amp;"")=0,"",Base!M179)</f>
        <v>62</v>
      </c>
      <c r="K179" s="1" t="n">
        <f aca="false">IF(OR(LEN(A179&amp;"")=0,$P$3=0),0,IF(AND(B179&gt;=Painel!$B$8,B179&lt;=Painel!$G$8,OR(Painel!$L$8="Todos",C179=Painel!$L$8),OR(Painel!$Q$8="Todos",D179=Painel!$Q$8),OR(Painel!$V$8="Todas",E179=Painel!$V$8)),1,0))</f>
        <v>1</v>
      </c>
      <c r="L179" s="61" t="n">
        <f aca="false">IF(LEN(A179&amp;"")=0,"",J179-I179)</f>
        <v>0</v>
      </c>
      <c r="M179" s="1" t="n">
        <f aca="false">IF(LEN(A179&amp;"")=0,0,IF(COUNTIFS(Base!$A$7:$A$1006,A179)&gt;1,1,0))</f>
        <v>0</v>
      </c>
      <c r="N179" s="1" t="n">
        <f aca="false">IF(LEN(A179&amp;"")=0,0,IF(ABS(L179)&gt;0.005,1,0))</f>
        <v>0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customFormat="false" ht="23" hidden="false" customHeight="true" outlineLevel="0" collapsed="false">
      <c r="A180" s="1" t="n">
        <f aca="false">IF(LEN(Base!A180&amp;"")=0,"",Base!A180)</f>
        <v>3404</v>
      </c>
      <c r="B180" s="60" t="n">
        <f aca="false">IF(LEN(A180&amp;"")=0,"",Base!D180)</f>
        <v>45521</v>
      </c>
      <c r="C180" s="1" t="str">
        <f aca="false">IF(LEN(A180&amp;"")=0,"",Base!C180)</f>
        <v>Standard</v>
      </c>
      <c r="D180" s="1" t="str">
        <f aca="false">IF(LEN(A180&amp;"")=0,"",Base!G180)</f>
        <v>Annual</v>
      </c>
      <c r="E180" s="1" t="str">
        <f aca="false">IF(LEN(A180&amp;"")=0,"",Base!E180)</f>
        <v>Yes</v>
      </c>
      <c r="F180" s="61" t="n">
        <f aca="false">IF(LEN(A180&amp;"")=0,"",IF(Base!I180="-",0,Base!I180))</f>
        <v>0</v>
      </c>
      <c r="G180" s="61" t="n">
        <f aca="false">IF(LEN(A180&amp;"")=0,"",SUM(Base!F180,F180,Base!K180))</f>
        <v>30</v>
      </c>
      <c r="H180" s="61" t="n">
        <f aca="false">IF(LEN(A180&amp;"")=0,"",Base!L180)</f>
        <v>15</v>
      </c>
      <c r="I180" s="61" t="n">
        <f aca="false">IF(LEN(A180&amp;"")=0,"",G180-H180)</f>
        <v>15</v>
      </c>
      <c r="J180" s="61" t="n">
        <f aca="false">IF(LEN(A180&amp;"")=0,"",Base!M180)</f>
        <v>15</v>
      </c>
      <c r="K180" s="1" t="n">
        <f aca="false">IF(OR(LEN(A180&amp;"")=0,$P$3=0),0,IF(AND(B180&gt;=Painel!$B$8,B180&lt;=Painel!$G$8,OR(Painel!$L$8="Todos",C180=Painel!$L$8),OR(Painel!$Q$8="Todos",D180=Painel!$Q$8),OR(Painel!$V$8="Todas",E180=Painel!$V$8)),1,0))</f>
        <v>1</v>
      </c>
      <c r="L180" s="61" t="n">
        <f aca="false">IF(LEN(A180&amp;"")=0,"",J180-I180)</f>
        <v>0</v>
      </c>
      <c r="M180" s="1" t="n">
        <f aca="false">IF(LEN(A180&amp;"")=0,0,IF(COUNTIFS(Base!$A$7:$A$1006,A180)&gt;1,1,0))</f>
        <v>0</v>
      </c>
      <c r="N180" s="1" t="n">
        <f aca="false">IF(LEN(A180&amp;"")=0,0,IF(ABS(L180)&gt;0.005,1,0))</f>
        <v>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customFormat="false" ht="23" hidden="false" customHeight="true" outlineLevel="0" collapsed="false">
      <c r="A181" s="1" t="n">
        <f aca="false">IF(LEN(Base!A181&amp;"")=0,"",Base!A181)</f>
        <v>3405</v>
      </c>
      <c r="B181" s="60" t="n">
        <f aca="false">IF(LEN(A181&amp;"")=0,"",Base!D181)</f>
        <v>45522</v>
      </c>
      <c r="C181" s="1" t="str">
        <f aca="false">IF(LEN(A181&amp;"")=0,"",Base!C181)</f>
        <v>Core</v>
      </c>
      <c r="D181" s="1" t="str">
        <f aca="false">IF(LEN(A181&amp;"")=0,"",Base!G181)</f>
        <v>Monthly</v>
      </c>
      <c r="E181" s="1" t="str">
        <f aca="false">IF(LEN(A181&amp;"")=0,"",Base!E181)</f>
        <v>No</v>
      </c>
      <c r="F181" s="61" t="n">
        <f aca="false">IF(LEN(A181&amp;"")=0,"",IF(Base!I181="-",0,Base!I181))</f>
        <v>0</v>
      </c>
      <c r="G181" s="61" t="n">
        <f aca="false">IF(LEN(A181&amp;"")=0,"",SUM(Base!F181,F181,Base!K181))</f>
        <v>5</v>
      </c>
      <c r="H181" s="61" t="n">
        <f aca="false">IF(LEN(A181&amp;"")=0,"",Base!L181)</f>
        <v>1</v>
      </c>
      <c r="I181" s="61" t="n">
        <f aca="false">IF(LEN(A181&amp;"")=0,"",G181-H181)</f>
        <v>4</v>
      </c>
      <c r="J181" s="61" t="n">
        <f aca="false">IF(LEN(A181&amp;"")=0,"",Base!M181)</f>
        <v>4</v>
      </c>
      <c r="K181" s="1" t="n">
        <f aca="false">IF(OR(LEN(A181&amp;"")=0,$P$3=0),0,IF(AND(B181&gt;=Painel!$B$8,B181&lt;=Painel!$G$8,OR(Painel!$L$8="Todos",C181=Painel!$L$8),OR(Painel!$Q$8="Todos",D181=Painel!$Q$8),OR(Painel!$V$8="Todas",E181=Painel!$V$8)),1,0))</f>
        <v>1</v>
      </c>
      <c r="L181" s="61" t="n">
        <f aca="false">IF(LEN(A181&amp;"")=0,"",J181-I181)</f>
        <v>0</v>
      </c>
      <c r="M181" s="1" t="n">
        <f aca="false">IF(LEN(A181&amp;"")=0,0,IF(COUNTIFS(Base!$A$7:$A$1006,A181)&gt;1,1,0))</f>
        <v>0</v>
      </c>
      <c r="N181" s="1" t="n">
        <f aca="false">IF(LEN(A181&amp;"")=0,0,IF(ABS(L181)&gt;0.005,1,0))</f>
        <v>0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customFormat="false" ht="23" hidden="false" customHeight="true" outlineLevel="0" collapsed="false">
      <c r="A182" s="1" t="n">
        <f aca="false">IF(LEN(Base!A182&amp;"")=0,"",Base!A182)</f>
        <v>3406</v>
      </c>
      <c r="B182" s="60" t="n">
        <f aca="false">IF(LEN(A182&amp;"")=0,"",Base!D182)</f>
        <v>45523</v>
      </c>
      <c r="C182" s="1" t="str">
        <f aca="false">IF(LEN(A182&amp;"")=0,"",Base!C182)</f>
        <v>Core</v>
      </c>
      <c r="D182" s="1" t="str">
        <f aca="false">IF(LEN(A182&amp;"")=0,"",Base!G182)</f>
        <v>Monthly</v>
      </c>
      <c r="E182" s="1" t="str">
        <f aca="false">IF(LEN(A182&amp;"")=0,"",Base!E182)</f>
        <v>Yes</v>
      </c>
      <c r="F182" s="61" t="n">
        <f aca="false">IF(LEN(A182&amp;"")=0,"",IF(Base!I182="-",0,Base!I182))</f>
        <v>0</v>
      </c>
      <c r="G182" s="61" t="n">
        <f aca="false">IF(LEN(A182&amp;"")=0,"",SUM(Base!F182,F182,Base!K182))</f>
        <v>5</v>
      </c>
      <c r="H182" s="61" t="n">
        <f aca="false">IF(LEN(A182&amp;"")=0,"",Base!L182)</f>
        <v>0</v>
      </c>
      <c r="I182" s="61" t="n">
        <f aca="false">IF(LEN(A182&amp;"")=0,"",G182-H182)</f>
        <v>5</v>
      </c>
      <c r="J182" s="61" t="n">
        <f aca="false">IF(LEN(A182&amp;"")=0,"",Base!M182)</f>
        <v>5</v>
      </c>
      <c r="K182" s="1" t="n">
        <f aca="false">IF(OR(LEN(A182&amp;"")=0,$P$3=0),0,IF(AND(B182&gt;=Painel!$B$8,B182&lt;=Painel!$G$8,OR(Painel!$L$8="Todos",C182=Painel!$L$8),OR(Painel!$Q$8="Todos",D182=Painel!$Q$8),OR(Painel!$V$8="Todas",E182=Painel!$V$8)),1,0))</f>
        <v>1</v>
      </c>
      <c r="L182" s="61" t="n">
        <f aca="false">IF(LEN(A182&amp;"")=0,"",J182-I182)</f>
        <v>0</v>
      </c>
      <c r="M182" s="1" t="n">
        <f aca="false">IF(LEN(A182&amp;"")=0,0,IF(COUNTIFS(Base!$A$7:$A$1006,A182)&gt;1,1,0))</f>
        <v>0</v>
      </c>
      <c r="N182" s="1" t="n">
        <f aca="false">IF(LEN(A182&amp;"")=0,0,IF(ABS(L182)&gt;0.005,1,0))</f>
        <v>0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customFormat="false" ht="23" hidden="false" customHeight="true" outlineLevel="0" collapsed="false">
      <c r="A183" s="1" t="n">
        <f aca="false">IF(LEN(Base!A183&amp;"")=0,"",Base!A183)</f>
        <v>3407</v>
      </c>
      <c r="B183" s="60" t="n">
        <f aca="false">IF(LEN(A183&amp;"")=0,"",Base!D183)</f>
        <v>45524</v>
      </c>
      <c r="C183" s="1" t="str">
        <f aca="false">IF(LEN(A183&amp;"")=0,"",Base!C183)</f>
        <v>Ultimate</v>
      </c>
      <c r="D183" s="1" t="str">
        <f aca="false">IF(LEN(A183&amp;"")=0,"",Base!G183)</f>
        <v>Quarterly</v>
      </c>
      <c r="E183" s="1" t="str">
        <f aca="false">IF(LEN(A183&amp;"")=0,"",Base!E183)</f>
        <v>No</v>
      </c>
      <c r="F183" s="61" t="n">
        <f aca="false">IF(LEN(A183&amp;"")=0,"",IF(Base!I183="-",0,Base!I183))</f>
        <v>30</v>
      </c>
      <c r="G183" s="61" t="n">
        <f aca="false">IF(LEN(A183&amp;"")=0,"",SUM(Base!F183,F183,Base!K183))</f>
        <v>65</v>
      </c>
      <c r="H183" s="61" t="n">
        <f aca="false">IF(LEN(A183&amp;"")=0,"",Base!L183)</f>
        <v>7</v>
      </c>
      <c r="I183" s="61" t="n">
        <f aca="false">IF(LEN(A183&amp;"")=0,"",G183-H183)</f>
        <v>58</v>
      </c>
      <c r="J183" s="61" t="n">
        <f aca="false">IF(LEN(A183&amp;"")=0,"",Base!M183)</f>
        <v>58</v>
      </c>
      <c r="K183" s="1" t="n">
        <f aca="false">IF(OR(LEN(A183&amp;"")=0,$P$3=0),0,IF(AND(B183&gt;=Painel!$B$8,B183&lt;=Painel!$G$8,OR(Painel!$L$8="Todos",C183=Painel!$L$8),OR(Painel!$Q$8="Todos",D183=Painel!$Q$8),OR(Painel!$V$8="Todas",E183=Painel!$V$8)),1,0))</f>
        <v>1</v>
      </c>
      <c r="L183" s="61" t="n">
        <f aca="false">IF(LEN(A183&amp;"")=0,"",J183-I183)</f>
        <v>0</v>
      </c>
      <c r="M183" s="1" t="n">
        <f aca="false">IF(LEN(A183&amp;"")=0,0,IF(COUNTIFS(Base!$A$7:$A$1006,A183)&gt;1,1,0))</f>
        <v>0</v>
      </c>
      <c r="N183" s="1" t="n">
        <f aca="false">IF(LEN(A183&amp;"")=0,0,IF(ABS(L183)&gt;0.005,1,0))</f>
        <v>0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customFormat="false" ht="23" hidden="false" customHeight="true" outlineLevel="0" collapsed="false">
      <c r="A184" s="1" t="n">
        <f aca="false">IF(LEN(Base!A184&amp;"")=0,"",Base!A184)</f>
        <v>3408</v>
      </c>
      <c r="B184" s="60" t="n">
        <f aca="false">IF(LEN(A184&amp;"")=0,"",Base!D184)</f>
        <v>45525</v>
      </c>
      <c r="C184" s="1" t="str">
        <f aca="false">IF(LEN(A184&amp;"")=0,"",Base!C184)</f>
        <v>Standard</v>
      </c>
      <c r="D184" s="1" t="str">
        <f aca="false">IF(LEN(A184&amp;"")=0,"",Base!G184)</f>
        <v>Annual</v>
      </c>
      <c r="E184" s="1" t="str">
        <f aca="false">IF(LEN(A184&amp;"")=0,"",Base!E184)</f>
        <v>Yes</v>
      </c>
      <c r="F184" s="61" t="n">
        <f aca="false">IF(LEN(A184&amp;"")=0,"",IF(Base!I184="-",0,Base!I184))</f>
        <v>0</v>
      </c>
      <c r="G184" s="61" t="n">
        <f aca="false">IF(LEN(A184&amp;"")=0,"",SUM(Base!F184,F184,Base!K184))</f>
        <v>30</v>
      </c>
      <c r="H184" s="61" t="n">
        <f aca="false">IF(LEN(A184&amp;"")=0,"",Base!L184)</f>
        <v>10</v>
      </c>
      <c r="I184" s="61" t="n">
        <f aca="false">IF(LEN(A184&amp;"")=0,"",G184-H184)</f>
        <v>20</v>
      </c>
      <c r="J184" s="61" t="n">
        <f aca="false">IF(LEN(A184&amp;"")=0,"",Base!M184)</f>
        <v>20</v>
      </c>
      <c r="K184" s="1" t="n">
        <f aca="false">IF(OR(LEN(A184&amp;"")=0,$P$3=0),0,IF(AND(B184&gt;=Painel!$B$8,B184&lt;=Painel!$G$8,OR(Painel!$L$8="Todos",C184=Painel!$L$8),OR(Painel!$Q$8="Todos",D184=Painel!$Q$8),OR(Painel!$V$8="Todas",E184=Painel!$V$8)),1,0))</f>
        <v>1</v>
      </c>
      <c r="L184" s="61" t="n">
        <f aca="false">IF(LEN(A184&amp;"")=0,"",J184-I184)</f>
        <v>0</v>
      </c>
      <c r="M184" s="1" t="n">
        <f aca="false">IF(LEN(A184&amp;"")=0,0,IF(COUNTIFS(Base!$A$7:$A$1006,A184)&gt;1,1,0))</f>
        <v>0</v>
      </c>
      <c r="N184" s="1" t="n">
        <f aca="false">IF(LEN(A184&amp;"")=0,0,IF(ABS(L184)&gt;0.005,1,0))</f>
        <v>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customFormat="false" ht="23" hidden="false" customHeight="true" outlineLevel="0" collapsed="false">
      <c r="A185" s="1" t="n">
        <f aca="false">IF(LEN(Base!A185&amp;"")=0,"",Base!A185)</f>
        <v>3409</v>
      </c>
      <c r="B185" s="60" t="n">
        <f aca="false">IF(LEN(A185&amp;"")=0,"",Base!D185)</f>
        <v>45526</v>
      </c>
      <c r="C185" s="1" t="str">
        <f aca="false">IF(LEN(A185&amp;"")=0,"",Base!C185)</f>
        <v>Core</v>
      </c>
      <c r="D185" s="1" t="str">
        <f aca="false">IF(LEN(A185&amp;"")=0,"",Base!G185)</f>
        <v>Quarterly</v>
      </c>
      <c r="E185" s="1" t="str">
        <f aca="false">IF(LEN(A185&amp;"")=0,"",Base!E185)</f>
        <v>No</v>
      </c>
      <c r="F185" s="61" t="n">
        <f aca="false">IF(LEN(A185&amp;"")=0,"",IF(Base!I185="-",0,Base!I185))</f>
        <v>0</v>
      </c>
      <c r="G185" s="61" t="n">
        <f aca="false">IF(LEN(A185&amp;"")=0,"",SUM(Base!F185,F185,Base!K185))</f>
        <v>5</v>
      </c>
      <c r="H185" s="61" t="n">
        <f aca="false">IF(LEN(A185&amp;"")=0,"",Base!L185)</f>
        <v>1</v>
      </c>
      <c r="I185" s="61" t="n">
        <f aca="false">IF(LEN(A185&amp;"")=0,"",G185-H185)</f>
        <v>4</v>
      </c>
      <c r="J185" s="61" t="n">
        <f aca="false">IF(LEN(A185&amp;"")=0,"",Base!M185)</f>
        <v>4</v>
      </c>
      <c r="K185" s="1" t="n">
        <f aca="false">IF(OR(LEN(A185&amp;"")=0,$P$3=0),0,IF(AND(B185&gt;=Painel!$B$8,B185&lt;=Painel!$G$8,OR(Painel!$L$8="Todos",C185=Painel!$L$8),OR(Painel!$Q$8="Todos",D185=Painel!$Q$8),OR(Painel!$V$8="Todas",E185=Painel!$V$8)),1,0))</f>
        <v>1</v>
      </c>
      <c r="L185" s="61" t="n">
        <f aca="false">IF(LEN(A185&amp;"")=0,"",J185-I185)</f>
        <v>0</v>
      </c>
      <c r="M185" s="1" t="n">
        <f aca="false">IF(LEN(A185&amp;"")=0,0,IF(COUNTIFS(Base!$A$7:$A$1006,A185)&gt;1,1,0))</f>
        <v>0</v>
      </c>
      <c r="N185" s="1" t="n">
        <f aca="false">IF(LEN(A185&amp;"")=0,0,IF(ABS(L185)&gt;0.005,1,0))</f>
        <v>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customFormat="false" ht="23" hidden="false" customHeight="true" outlineLevel="0" collapsed="false">
      <c r="A186" s="1" t="n">
        <f aca="false">IF(LEN(Base!A186&amp;"")=0,"",Base!A186)</f>
        <v>3410</v>
      </c>
      <c r="B186" s="60" t="n">
        <f aca="false">IF(LEN(A186&amp;"")=0,"",Base!D186)</f>
        <v>45527</v>
      </c>
      <c r="C186" s="1" t="str">
        <f aca="false">IF(LEN(A186&amp;"")=0,"",Base!C186)</f>
        <v>Ultimate</v>
      </c>
      <c r="D186" s="1" t="str">
        <f aca="false">IF(LEN(A186&amp;"")=0,"",Base!G186)</f>
        <v>Monthly</v>
      </c>
      <c r="E186" s="1" t="str">
        <f aca="false">IF(LEN(A186&amp;"")=0,"",Base!E186)</f>
        <v>Yes</v>
      </c>
      <c r="F186" s="61" t="n">
        <f aca="false">IF(LEN(A186&amp;"")=0,"",IF(Base!I186="-",0,Base!I186))</f>
        <v>30</v>
      </c>
      <c r="G186" s="61" t="n">
        <f aca="false">IF(LEN(A186&amp;"")=0,"",SUM(Base!F186,F186,Base!K186))</f>
        <v>65</v>
      </c>
      <c r="H186" s="61" t="n">
        <f aca="false">IF(LEN(A186&amp;"")=0,"",Base!L186)</f>
        <v>15</v>
      </c>
      <c r="I186" s="61" t="n">
        <f aca="false">IF(LEN(A186&amp;"")=0,"",G186-H186)</f>
        <v>50</v>
      </c>
      <c r="J186" s="61" t="n">
        <f aca="false">IF(LEN(A186&amp;"")=0,"",Base!M186)</f>
        <v>50</v>
      </c>
      <c r="K186" s="1" t="n">
        <f aca="false">IF(OR(LEN(A186&amp;"")=0,$P$3=0),0,IF(AND(B186&gt;=Painel!$B$8,B186&lt;=Painel!$G$8,OR(Painel!$L$8="Todos",C186=Painel!$L$8),OR(Painel!$Q$8="Todos",D186=Painel!$Q$8),OR(Painel!$V$8="Todas",E186=Painel!$V$8)),1,0))</f>
        <v>1</v>
      </c>
      <c r="L186" s="61" t="n">
        <f aca="false">IF(LEN(A186&amp;"")=0,"",J186-I186)</f>
        <v>0</v>
      </c>
      <c r="M186" s="1" t="n">
        <f aca="false">IF(LEN(A186&amp;"")=0,0,IF(COUNTIFS(Base!$A$7:$A$1006,A186)&gt;1,1,0))</f>
        <v>0</v>
      </c>
      <c r="N186" s="1" t="n">
        <f aca="false">IF(LEN(A186&amp;"")=0,0,IF(ABS(L186)&gt;0.005,1,0))</f>
        <v>0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customFormat="false" ht="23" hidden="false" customHeight="true" outlineLevel="0" collapsed="false">
      <c r="A187" s="1" t="n">
        <f aca="false">IF(LEN(Base!A187&amp;"")=0,"",Base!A187)</f>
        <v>3411</v>
      </c>
      <c r="B187" s="60" t="n">
        <f aca="false">IF(LEN(A187&amp;"")=0,"",Base!D187)</f>
        <v>45528</v>
      </c>
      <c r="C187" s="1" t="str">
        <f aca="false">IF(LEN(A187&amp;"")=0,"",Base!C187)</f>
        <v>Standard</v>
      </c>
      <c r="D187" s="1" t="str">
        <f aca="false">IF(LEN(A187&amp;"")=0,"",Base!G187)</f>
        <v>Monthly</v>
      </c>
      <c r="E187" s="1" t="str">
        <f aca="false">IF(LEN(A187&amp;"")=0,"",Base!E187)</f>
        <v>No</v>
      </c>
      <c r="F187" s="61" t="n">
        <f aca="false">IF(LEN(A187&amp;"")=0,"",IF(Base!I187="-",0,Base!I187))</f>
        <v>0</v>
      </c>
      <c r="G187" s="61" t="n">
        <f aca="false">IF(LEN(A187&amp;"")=0,"",SUM(Base!F187,F187,Base!K187))</f>
        <v>30</v>
      </c>
      <c r="H187" s="61" t="n">
        <f aca="false">IF(LEN(A187&amp;"")=0,"",Base!L187)</f>
        <v>5</v>
      </c>
      <c r="I187" s="61" t="n">
        <f aca="false">IF(LEN(A187&amp;"")=0,"",G187-H187)</f>
        <v>25</v>
      </c>
      <c r="J187" s="61" t="n">
        <f aca="false">IF(LEN(A187&amp;"")=0,"",Base!M187)</f>
        <v>25</v>
      </c>
      <c r="K187" s="1" t="n">
        <f aca="false">IF(OR(LEN(A187&amp;"")=0,$P$3=0),0,IF(AND(B187&gt;=Painel!$B$8,B187&lt;=Painel!$G$8,OR(Painel!$L$8="Todos",C187=Painel!$L$8),OR(Painel!$Q$8="Todos",D187=Painel!$Q$8),OR(Painel!$V$8="Todas",E187=Painel!$V$8)),1,0))</f>
        <v>1</v>
      </c>
      <c r="L187" s="61" t="n">
        <f aca="false">IF(LEN(A187&amp;"")=0,"",J187-I187)</f>
        <v>0</v>
      </c>
      <c r="M187" s="1" t="n">
        <f aca="false">IF(LEN(A187&amp;"")=0,0,IF(COUNTIFS(Base!$A$7:$A$1006,A187)&gt;1,1,0))</f>
        <v>0</v>
      </c>
      <c r="N187" s="1" t="n">
        <f aca="false">IF(LEN(A187&amp;"")=0,0,IF(ABS(L187)&gt;0.005,1,0))</f>
        <v>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customFormat="false" ht="23" hidden="false" customHeight="true" outlineLevel="0" collapsed="false">
      <c r="A188" s="1" t="n">
        <f aca="false">IF(LEN(Base!A188&amp;"")=0,"",Base!A188)</f>
        <v>3412</v>
      </c>
      <c r="B188" s="60" t="n">
        <f aca="false">IF(LEN(A188&amp;"")=0,"",Base!D188)</f>
        <v>45529</v>
      </c>
      <c r="C188" s="1" t="str">
        <f aca="false">IF(LEN(A188&amp;"")=0,"",Base!C188)</f>
        <v>Core</v>
      </c>
      <c r="D188" s="1" t="str">
        <f aca="false">IF(LEN(A188&amp;"")=0,"",Base!G188)</f>
        <v>Annual</v>
      </c>
      <c r="E188" s="1" t="str">
        <f aca="false">IF(LEN(A188&amp;"")=0,"",Base!E188)</f>
        <v>Yes</v>
      </c>
      <c r="F188" s="61" t="n">
        <f aca="false">IF(LEN(A188&amp;"")=0,"",IF(Base!I188="-",0,Base!I188))</f>
        <v>0</v>
      </c>
      <c r="G188" s="61" t="n">
        <f aca="false">IF(LEN(A188&amp;"")=0,"",SUM(Base!F188,F188,Base!K188))</f>
        <v>5</v>
      </c>
      <c r="H188" s="61" t="n">
        <f aca="false">IF(LEN(A188&amp;"")=0,"",Base!L188)</f>
        <v>0</v>
      </c>
      <c r="I188" s="61" t="n">
        <f aca="false">IF(LEN(A188&amp;"")=0,"",G188-H188)</f>
        <v>5</v>
      </c>
      <c r="J188" s="61" t="n">
        <f aca="false">IF(LEN(A188&amp;"")=0,"",Base!M188)</f>
        <v>5</v>
      </c>
      <c r="K188" s="1" t="n">
        <f aca="false">IF(OR(LEN(A188&amp;"")=0,$P$3=0),0,IF(AND(B188&gt;=Painel!$B$8,B188&lt;=Painel!$G$8,OR(Painel!$L$8="Todos",C188=Painel!$L$8),OR(Painel!$Q$8="Todos",D188=Painel!$Q$8),OR(Painel!$V$8="Todas",E188=Painel!$V$8)),1,0))</f>
        <v>1</v>
      </c>
      <c r="L188" s="61" t="n">
        <f aca="false">IF(LEN(A188&amp;"")=0,"",J188-I188)</f>
        <v>0</v>
      </c>
      <c r="M188" s="1" t="n">
        <f aca="false">IF(LEN(A188&amp;"")=0,0,IF(COUNTIFS(Base!$A$7:$A$1006,A188)&gt;1,1,0))</f>
        <v>0</v>
      </c>
      <c r="N188" s="1" t="n">
        <f aca="false">IF(LEN(A188&amp;"")=0,0,IF(ABS(L188)&gt;0.005,1,0))</f>
        <v>0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customFormat="false" ht="23" hidden="false" customHeight="true" outlineLevel="0" collapsed="false">
      <c r="A189" s="1" t="n">
        <f aca="false">IF(LEN(Base!A189&amp;"")=0,"",Base!A189)</f>
        <v>3413</v>
      </c>
      <c r="B189" s="60" t="n">
        <f aca="false">IF(LEN(A189&amp;"")=0,"",Base!D189)</f>
        <v>45530</v>
      </c>
      <c r="C189" s="1" t="str">
        <f aca="false">IF(LEN(A189&amp;"")=0,"",Base!C189)</f>
        <v>Ultimate</v>
      </c>
      <c r="D189" s="1" t="str">
        <f aca="false">IF(LEN(A189&amp;"")=0,"",Base!G189)</f>
        <v>Quarterly</v>
      </c>
      <c r="E189" s="1" t="str">
        <f aca="false">IF(LEN(A189&amp;"")=0,"",Base!E189)</f>
        <v>No</v>
      </c>
      <c r="F189" s="61" t="n">
        <f aca="false">IF(LEN(A189&amp;"")=0,"",IF(Base!I189="-",0,Base!I189))</f>
        <v>30</v>
      </c>
      <c r="G189" s="61" t="n">
        <f aca="false">IF(LEN(A189&amp;"")=0,"",SUM(Base!F189,F189,Base!K189))</f>
        <v>65</v>
      </c>
      <c r="H189" s="61" t="n">
        <f aca="false">IF(LEN(A189&amp;"")=0,"",Base!L189)</f>
        <v>20</v>
      </c>
      <c r="I189" s="61" t="n">
        <f aca="false">IF(LEN(A189&amp;"")=0,"",G189-H189)</f>
        <v>45</v>
      </c>
      <c r="J189" s="61" t="n">
        <f aca="false">IF(LEN(A189&amp;"")=0,"",Base!M189)</f>
        <v>45</v>
      </c>
      <c r="K189" s="1" t="n">
        <f aca="false">IF(OR(LEN(A189&amp;"")=0,$P$3=0),0,IF(AND(B189&gt;=Painel!$B$8,B189&lt;=Painel!$G$8,OR(Painel!$L$8="Todos",C189=Painel!$L$8),OR(Painel!$Q$8="Todos",D189=Painel!$Q$8),OR(Painel!$V$8="Todas",E189=Painel!$V$8)),1,0))</f>
        <v>1</v>
      </c>
      <c r="L189" s="61" t="n">
        <f aca="false">IF(LEN(A189&amp;"")=0,"",J189-I189)</f>
        <v>0</v>
      </c>
      <c r="M189" s="1" t="n">
        <f aca="false">IF(LEN(A189&amp;"")=0,0,IF(COUNTIFS(Base!$A$7:$A$1006,A189)&gt;1,1,0))</f>
        <v>0</v>
      </c>
      <c r="N189" s="1" t="n">
        <f aca="false">IF(LEN(A189&amp;"")=0,0,IF(ABS(L189)&gt;0.005,1,0))</f>
        <v>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customFormat="false" ht="23" hidden="false" customHeight="true" outlineLevel="0" collapsed="false">
      <c r="A190" s="1" t="n">
        <f aca="false">IF(LEN(Base!A190&amp;"")=0,"",Base!A190)</f>
        <v>3414</v>
      </c>
      <c r="B190" s="60" t="n">
        <f aca="false">IF(LEN(A190&amp;"")=0,"",Base!D190)</f>
        <v>45531</v>
      </c>
      <c r="C190" s="1" t="str">
        <f aca="false">IF(LEN(A190&amp;"")=0,"",Base!C190)</f>
        <v>Standard</v>
      </c>
      <c r="D190" s="1" t="str">
        <f aca="false">IF(LEN(A190&amp;"")=0,"",Base!G190)</f>
        <v>Quarterly</v>
      </c>
      <c r="E190" s="1" t="str">
        <f aca="false">IF(LEN(A190&amp;"")=0,"",Base!E190)</f>
        <v>Yes</v>
      </c>
      <c r="F190" s="61" t="n">
        <f aca="false">IF(LEN(A190&amp;"")=0,"",IF(Base!I190="-",0,Base!I190))</f>
        <v>0</v>
      </c>
      <c r="G190" s="61" t="n">
        <f aca="false">IF(LEN(A190&amp;"")=0,"",SUM(Base!F190,F190,Base!K190))</f>
        <v>30</v>
      </c>
      <c r="H190" s="61" t="n">
        <f aca="false">IF(LEN(A190&amp;"")=0,"",Base!L190)</f>
        <v>12</v>
      </c>
      <c r="I190" s="61" t="n">
        <f aca="false">IF(LEN(A190&amp;"")=0,"",G190-H190)</f>
        <v>18</v>
      </c>
      <c r="J190" s="61" t="n">
        <f aca="false">IF(LEN(A190&amp;"")=0,"",Base!M190)</f>
        <v>18</v>
      </c>
      <c r="K190" s="1" t="n">
        <f aca="false">IF(OR(LEN(A190&amp;"")=0,$P$3=0),0,IF(AND(B190&gt;=Painel!$B$8,B190&lt;=Painel!$G$8,OR(Painel!$L$8="Todos",C190=Painel!$L$8),OR(Painel!$Q$8="Todos",D190=Painel!$Q$8),OR(Painel!$V$8="Todas",E190=Painel!$V$8)),1,0))</f>
        <v>1</v>
      </c>
      <c r="L190" s="61" t="n">
        <f aca="false">IF(LEN(A190&amp;"")=0,"",J190-I190)</f>
        <v>0</v>
      </c>
      <c r="M190" s="1" t="n">
        <f aca="false">IF(LEN(A190&amp;"")=0,0,IF(COUNTIFS(Base!$A$7:$A$1006,A190)&gt;1,1,0))</f>
        <v>0</v>
      </c>
      <c r="N190" s="1" t="n">
        <f aca="false">IF(LEN(A190&amp;"")=0,0,IF(ABS(L190)&gt;0.005,1,0))</f>
        <v>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customFormat="false" ht="23" hidden="false" customHeight="true" outlineLevel="0" collapsed="false">
      <c r="A191" s="1" t="n">
        <f aca="false">IF(LEN(Base!A191&amp;"")=0,"",Base!A191)</f>
        <v>3415</v>
      </c>
      <c r="B191" s="60" t="n">
        <f aca="false">IF(LEN(A191&amp;"")=0,"",Base!D191)</f>
        <v>45532</v>
      </c>
      <c r="C191" s="1" t="str">
        <f aca="false">IF(LEN(A191&amp;"")=0,"",Base!C191)</f>
        <v>Core</v>
      </c>
      <c r="D191" s="1" t="str">
        <f aca="false">IF(LEN(A191&amp;"")=0,"",Base!G191)</f>
        <v>Monthly</v>
      </c>
      <c r="E191" s="1" t="str">
        <f aca="false">IF(LEN(A191&amp;"")=0,"",Base!E191)</f>
        <v>No</v>
      </c>
      <c r="F191" s="61" t="n">
        <f aca="false">IF(LEN(A191&amp;"")=0,"",IF(Base!I191="-",0,Base!I191))</f>
        <v>0</v>
      </c>
      <c r="G191" s="61" t="n">
        <f aca="false">IF(LEN(A191&amp;"")=0,"",SUM(Base!F191,F191,Base!K191))</f>
        <v>5</v>
      </c>
      <c r="H191" s="61" t="n">
        <f aca="false">IF(LEN(A191&amp;"")=0,"",Base!L191)</f>
        <v>2</v>
      </c>
      <c r="I191" s="61" t="n">
        <f aca="false">IF(LEN(A191&amp;"")=0,"",G191-H191)</f>
        <v>3</v>
      </c>
      <c r="J191" s="61" t="n">
        <f aca="false">IF(LEN(A191&amp;"")=0,"",Base!M191)</f>
        <v>3</v>
      </c>
      <c r="K191" s="1" t="n">
        <f aca="false">IF(OR(LEN(A191&amp;"")=0,$P$3=0),0,IF(AND(B191&gt;=Painel!$B$8,B191&lt;=Painel!$G$8,OR(Painel!$L$8="Todos",C191=Painel!$L$8),OR(Painel!$Q$8="Todos",D191=Painel!$Q$8),OR(Painel!$V$8="Todas",E191=Painel!$V$8)),1,0))</f>
        <v>1</v>
      </c>
      <c r="L191" s="61" t="n">
        <f aca="false">IF(LEN(A191&amp;"")=0,"",J191-I191)</f>
        <v>0</v>
      </c>
      <c r="M191" s="1" t="n">
        <f aca="false">IF(LEN(A191&amp;"")=0,0,IF(COUNTIFS(Base!$A$7:$A$1006,A191)&gt;1,1,0))</f>
        <v>0</v>
      </c>
      <c r="N191" s="1" t="n">
        <f aca="false">IF(LEN(A191&amp;"")=0,0,IF(ABS(L191)&gt;0.005,1,0))</f>
        <v>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customFormat="false" ht="23" hidden="false" customHeight="true" outlineLevel="0" collapsed="false">
      <c r="A192" s="1" t="n">
        <f aca="false">IF(LEN(Base!A192&amp;"")=0,"",Base!A192)</f>
        <v>3416</v>
      </c>
      <c r="B192" s="60" t="n">
        <f aca="false">IF(LEN(A192&amp;"")=0,"",Base!D192)</f>
        <v>45533</v>
      </c>
      <c r="C192" s="1" t="str">
        <f aca="false">IF(LEN(A192&amp;"")=0,"",Base!C192)</f>
        <v>Ultimate</v>
      </c>
      <c r="D192" s="1" t="str">
        <f aca="false">IF(LEN(A192&amp;"")=0,"",Base!G192)</f>
        <v>Annual</v>
      </c>
      <c r="E192" s="1" t="str">
        <f aca="false">IF(LEN(A192&amp;"")=0,"",Base!E192)</f>
        <v>Yes</v>
      </c>
      <c r="F192" s="61" t="n">
        <f aca="false">IF(LEN(A192&amp;"")=0,"",IF(Base!I192="-",0,Base!I192))</f>
        <v>30</v>
      </c>
      <c r="G192" s="61" t="n">
        <f aca="false">IF(LEN(A192&amp;"")=0,"",SUM(Base!F192,F192,Base!K192))</f>
        <v>65</v>
      </c>
      <c r="H192" s="61" t="n">
        <f aca="false">IF(LEN(A192&amp;"")=0,"",Base!L192)</f>
        <v>5</v>
      </c>
      <c r="I192" s="61" t="n">
        <f aca="false">IF(LEN(A192&amp;"")=0,"",G192-H192)</f>
        <v>60</v>
      </c>
      <c r="J192" s="61" t="n">
        <f aca="false">IF(LEN(A192&amp;"")=0,"",Base!M192)</f>
        <v>60</v>
      </c>
      <c r="K192" s="1" t="n">
        <f aca="false">IF(OR(LEN(A192&amp;"")=0,$P$3=0),0,IF(AND(B192&gt;=Painel!$B$8,B192&lt;=Painel!$G$8,OR(Painel!$L$8="Todos",C192=Painel!$L$8),OR(Painel!$Q$8="Todos",D192=Painel!$Q$8),OR(Painel!$V$8="Todas",E192=Painel!$V$8)),1,0))</f>
        <v>1</v>
      </c>
      <c r="L192" s="61" t="n">
        <f aca="false">IF(LEN(A192&amp;"")=0,"",J192-I192)</f>
        <v>0</v>
      </c>
      <c r="M192" s="1" t="n">
        <f aca="false">IF(LEN(A192&amp;"")=0,0,IF(COUNTIFS(Base!$A$7:$A$1006,A192)&gt;1,1,0))</f>
        <v>0</v>
      </c>
      <c r="N192" s="1" t="n">
        <f aca="false">IF(LEN(A192&amp;"")=0,0,IF(ABS(L192)&gt;0.005,1,0))</f>
        <v>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customFormat="false" ht="23" hidden="false" customHeight="true" outlineLevel="0" collapsed="false">
      <c r="A193" s="1" t="n">
        <f aca="false">IF(LEN(Base!A193&amp;"")=0,"",Base!A193)</f>
        <v>3417</v>
      </c>
      <c r="B193" s="60" t="n">
        <f aca="false">IF(LEN(A193&amp;"")=0,"",Base!D193)</f>
        <v>45534</v>
      </c>
      <c r="C193" s="1" t="str">
        <f aca="false">IF(LEN(A193&amp;"")=0,"",Base!C193)</f>
        <v>Standard</v>
      </c>
      <c r="D193" s="1" t="str">
        <f aca="false">IF(LEN(A193&amp;"")=0,"",Base!G193)</f>
        <v>Monthly</v>
      </c>
      <c r="E193" s="1" t="str">
        <f aca="false">IF(LEN(A193&amp;"")=0,"",Base!E193)</f>
        <v>No</v>
      </c>
      <c r="F193" s="61" t="n">
        <f aca="false">IF(LEN(A193&amp;"")=0,"",IF(Base!I193="-",0,Base!I193))</f>
        <v>0</v>
      </c>
      <c r="G193" s="61" t="n">
        <f aca="false">IF(LEN(A193&amp;"")=0,"",SUM(Base!F193,F193,Base!K193))</f>
        <v>30</v>
      </c>
      <c r="H193" s="61" t="n">
        <f aca="false">IF(LEN(A193&amp;"")=0,"",Base!L193)</f>
        <v>10</v>
      </c>
      <c r="I193" s="61" t="n">
        <f aca="false">IF(LEN(A193&amp;"")=0,"",G193-H193)</f>
        <v>20</v>
      </c>
      <c r="J193" s="61" t="n">
        <f aca="false">IF(LEN(A193&amp;"")=0,"",Base!M193)</f>
        <v>20</v>
      </c>
      <c r="K193" s="1" t="n">
        <f aca="false">IF(OR(LEN(A193&amp;"")=0,$P$3=0),0,IF(AND(B193&gt;=Painel!$B$8,B193&lt;=Painel!$G$8,OR(Painel!$L$8="Todos",C193=Painel!$L$8),OR(Painel!$Q$8="Todos",D193=Painel!$Q$8),OR(Painel!$V$8="Todas",E193=Painel!$V$8)),1,0))</f>
        <v>1</v>
      </c>
      <c r="L193" s="61" t="n">
        <f aca="false">IF(LEN(A193&amp;"")=0,"",J193-I193)</f>
        <v>0</v>
      </c>
      <c r="M193" s="1" t="n">
        <f aca="false">IF(LEN(A193&amp;"")=0,0,IF(COUNTIFS(Base!$A$7:$A$1006,A193)&gt;1,1,0))</f>
        <v>0</v>
      </c>
      <c r="N193" s="1" t="n">
        <f aca="false">IF(LEN(A193&amp;"")=0,0,IF(ABS(L193)&gt;0.005,1,0))</f>
        <v>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customFormat="false" ht="23" hidden="false" customHeight="true" outlineLevel="0" collapsed="false">
      <c r="A194" s="1" t="n">
        <f aca="false">IF(LEN(Base!A194&amp;"")=0,"",Base!A194)</f>
        <v>3418</v>
      </c>
      <c r="B194" s="60" t="n">
        <f aca="false">IF(LEN(A194&amp;"")=0,"",Base!D194)</f>
        <v>45535</v>
      </c>
      <c r="C194" s="1" t="str">
        <f aca="false">IF(LEN(A194&amp;"")=0,"",Base!C194)</f>
        <v>Core</v>
      </c>
      <c r="D194" s="1" t="str">
        <f aca="false">IF(LEN(A194&amp;"")=0,"",Base!G194)</f>
        <v>Quarterly</v>
      </c>
      <c r="E194" s="1" t="str">
        <f aca="false">IF(LEN(A194&amp;"")=0,"",Base!E194)</f>
        <v>Yes</v>
      </c>
      <c r="F194" s="61" t="n">
        <f aca="false">IF(LEN(A194&amp;"")=0,"",IF(Base!I194="-",0,Base!I194))</f>
        <v>0</v>
      </c>
      <c r="G194" s="61" t="n">
        <f aca="false">IF(LEN(A194&amp;"")=0,"",SUM(Base!F194,F194,Base!K194))</f>
        <v>5</v>
      </c>
      <c r="H194" s="61" t="n">
        <f aca="false">IF(LEN(A194&amp;"")=0,"",Base!L194)</f>
        <v>0</v>
      </c>
      <c r="I194" s="61" t="n">
        <f aca="false">IF(LEN(A194&amp;"")=0,"",G194-H194)</f>
        <v>5</v>
      </c>
      <c r="J194" s="61" t="n">
        <f aca="false">IF(LEN(A194&amp;"")=0,"",Base!M194)</f>
        <v>5</v>
      </c>
      <c r="K194" s="1" t="n">
        <f aca="false">IF(OR(LEN(A194&amp;"")=0,$P$3=0),0,IF(AND(B194&gt;=Painel!$B$8,B194&lt;=Painel!$G$8,OR(Painel!$L$8="Todos",C194=Painel!$L$8),OR(Painel!$Q$8="Todos",D194=Painel!$Q$8),OR(Painel!$V$8="Todas",E194=Painel!$V$8)),1,0))</f>
        <v>1</v>
      </c>
      <c r="L194" s="61" t="n">
        <f aca="false">IF(LEN(A194&amp;"")=0,"",J194-I194)</f>
        <v>0</v>
      </c>
      <c r="M194" s="1" t="n">
        <f aca="false">IF(LEN(A194&amp;"")=0,0,IF(COUNTIFS(Base!$A$7:$A$1006,A194)&gt;1,1,0))</f>
        <v>0</v>
      </c>
      <c r="N194" s="1" t="n">
        <f aca="false">IF(LEN(A194&amp;"")=0,0,IF(ABS(L194)&gt;0.005,1,0))</f>
        <v>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customFormat="false" ht="23" hidden="false" customHeight="true" outlineLevel="0" collapsed="false">
      <c r="A195" s="1" t="n">
        <f aca="false">IF(LEN(Base!A195&amp;"")=0,"",Base!A195)</f>
        <v>3419</v>
      </c>
      <c r="B195" s="60" t="n">
        <f aca="false">IF(LEN(A195&amp;"")=0,"",Base!D195)</f>
        <v>45536</v>
      </c>
      <c r="C195" s="1" t="str">
        <f aca="false">IF(LEN(A195&amp;"")=0,"",Base!C195)</f>
        <v>Ultimate</v>
      </c>
      <c r="D195" s="1" t="str">
        <f aca="false">IF(LEN(A195&amp;"")=0,"",Base!G195)</f>
        <v>Monthly</v>
      </c>
      <c r="E195" s="1" t="str">
        <f aca="false">IF(LEN(A195&amp;"")=0,"",Base!E195)</f>
        <v>No</v>
      </c>
      <c r="F195" s="61" t="n">
        <f aca="false">IF(LEN(A195&amp;"")=0,"",IF(Base!I195="-",0,Base!I195))</f>
        <v>30</v>
      </c>
      <c r="G195" s="61" t="n">
        <f aca="false">IF(LEN(A195&amp;"")=0,"",SUM(Base!F195,F195,Base!K195))</f>
        <v>65</v>
      </c>
      <c r="H195" s="61" t="n">
        <f aca="false">IF(LEN(A195&amp;"")=0,"",Base!L195)</f>
        <v>3</v>
      </c>
      <c r="I195" s="61" t="n">
        <f aca="false">IF(LEN(A195&amp;"")=0,"",G195-H195)</f>
        <v>62</v>
      </c>
      <c r="J195" s="61" t="n">
        <f aca="false">IF(LEN(A195&amp;"")=0,"",Base!M195)</f>
        <v>62</v>
      </c>
      <c r="K195" s="1" t="n">
        <f aca="false">IF(OR(LEN(A195&amp;"")=0,$P$3=0),0,IF(AND(B195&gt;=Painel!$B$8,B195&lt;=Painel!$G$8,OR(Painel!$L$8="Todos",C195=Painel!$L$8),OR(Painel!$Q$8="Todos",D195=Painel!$Q$8),OR(Painel!$V$8="Todas",E195=Painel!$V$8)),1,0))</f>
        <v>1</v>
      </c>
      <c r="L195" s="61" t="n">
        <f aca="false">IF(LEN(A195&amp;"")=0,"",J195-I195)</f>
        <v>0</v>
      </c>
      <c r="M195" s="1" t="n">
        <f aca="false">IF(LEN(A195&amp;"")=0,0,IF(COUNTIFS(Base!$A$7:$A$1006,A195)&gt;1,1,0))</f>
        <v>0</v>
      </c>
      <c r="N195" s="1" t="n">
        <f aca="false">IF(LEN(A195&amp;"")=0,0,IF(ABS(L195)&gt;0.005,1,0))</f>
        <v>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customFormat="false" ht="23" hidden="false" customHeight="true" outlineLevel="0" collapsed="false">
      <c r="A196" s="1" t="n">
        <f aca="false">IF(LEN(Base!A196&amp;"")=0,"",Base!A196)</f>
        <v>3420</v>
      </c>
      <c r="B196" s="60" t="n">
        <f aca="false">IF(LEN(A196&amp;"")=0,"",Base!D196)</f>
        <v>45537</v>
      </c>
      <c r="C196" s="1" t="str">
        <f aca="false">IF(LEN(A196&amp;"")=0,"",Base!C196)</f>
        <v>Standard</v>
      </c>
      <c r="D196" s="1" t="str">
        <f aca="false">IF(LEN(A196&amp;"")=0,"",Base!G196)</f>
        <v>Annual</v>
      </c>
      <c r="E196" s="1" t="str">
        <f aca="false">IF(LEN(A196&amp;"")=0,"",Base!E196)</f>
        <v>Yes</v>
      </c>
      <c r="F196" s="61" t="n">
        <f aca="false">IF(LEN(A196&amp;"")=0,"",IF(Base!I196="-",0,Base!I196))</f>
        <v>0</v>
      </c>
      <c r="G196" s="61" t="n">
        <f aca="false">IF(LEN(A196&amp;"")=0,"",SUM(Base!F196,F196,Base!K196))</f>
        <v>30</v>
      </c>
      <c r="H196" s="61" t="n">
        <f aca="false">IF(LEN(A196&amp;"")=0,"",Base!L196)</f>
        <v>15</v>
      </c>
      <c r="I196" s="61" t="n">
        <f aca="false">IF(LEN(A196&amp;"")=0,"",G196-H196)</f>
        <v>15</v>
      </c>
      <c r="J196" s="61" t="n">
        <f aca="false">IF(LEN(A196&amp;"")=0,"",Base!M196)</f>
        <v>15</v>
      </c>
      <c r="K196" s="1" t="n">
        <f aca="false">IF(OR(LEN(A196&amp;"")=0,$P$3=0),0,IF(AND(B196&gt;=Painel!$B$8,B196&lt;=Painel!$G$8,OR(Painel!$L$8="Todos",C196=Painel!$L$8),OR(Painel!$Q$8="Todos",D196=Painel!$Q$8),OR(Painel!$V$8="Todas",E196=Painel!$V$8)),1,0))</f>
        <v>1</v>
      </c>
      <c r="L196" s="61" t="n">
        <f aca="false">IF(LEN(A196&amp;"")=0,"",J196-I196)</f>
        <v>0</v>
      </c>
      <c r="M196" s="1" t="n">
        <f aca="false">IF(LEN(A196&amp;"")=0,0,IF(COUNTIFS(Base!$A$7:$A$1006,A196)&gt;1,1,0))</f>
        <v>0</v>
      </c>
      <c r="N196" s="1" t="n">
        <f aca="false">IF(LEN(A196&amp;"")=0,0,IF(ABS(L196)&gt;0.005,1,0))</f>
        <v>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customFormat="false" ht="23" hidden="false" customHeight="true" outlineLevel="0" collapsed="false">
      <c r="A197" s="1" t="n">
        <f aca="false">IF(LEN(Base!A197&amp;"")=0,"",Base!A197)</f>
        <v>3421</v>
      </c>
      <c r="B197" s="60" t="n">
        <f aca="false">IF(LEN(A197&amp;"")=0,"",Base!D197)</f>
        <v>45538</v>
      </c>
      <c r="C197" s="1" t="str">
        <f aca="false">IF(LEN(A197&amp;"")=0,"",Base!C197)</f>
        <v>Core</v>
      </c>
      <c r="D197" s="1" t="str">
        <f aca="false">IF(LEN(A197&amp;"")=0,"",Base!G197)</f>
        <v>Monthly</v>
      </c>
      <c r="E197" s="1" t="str">
        <f aca="false">IF(LEN(A197&amp;"")=0,"",Base!E197)</f>
        <v>No</v>
      </c>
      <c r="F197" s="61" t="n">
        <f aca="false">IF(LEN(A197&amp;"")=0,"",IF(Base!I197="-",0,Base!I197))</f>
        <v>0</v>
      </c>
      <c r="G197" s="61" t="n">
        <f aca="false">IF(LEN(A197&amp;"")=0,"",SUM(Base!F197,F197,Base!K197))</f>
        <v>5</v>
      </c>
      <c r="H197" s="61" t="n">
        <f aca="false">IF(LEN(A197&amp;"")=0,"",Base!L197)</f>
        <v>1</v>
      </c>
      <c r="I197" s="61" t="n">
        <f aca="false">IF(LEN(A197&amp;"")=0,"",G197-H197)</f>
        <v>4</v>
      </c>
      <c r="J197" s="61" t="n">
        <f aca="false">IF(LEN(A197&amp;"")=0,"",Base!M197)</f>
        <v>4</v>
      </c>
      <c r="K197" s="1" t="n">
        <f aca="false">IF(OR(LEN(A197&amp;"")=0,$P$3=0),0,IF(AND(B197&gt;=Painel!$B$8,B197&lt;=Painel!$G$8,OR(Painel!$L$8="Todos",C197=Painel!$L$8),OR(Painel!$Q$8="Todos",D197=Painel!$Q$8),OR(Painel!$V$8="Todas",E197=Painel!$V$8)),1,0))</f>
        <v>1</v>
      </c>
      <c r="L197" s="61" t="n">
        <f aca="false">IF(LEN(A197&amp;"")=0,"",J197-I197)</f>
        <v>0</v>
      </c>
      <c r="M197" s="1" t="n">
        <f aca="false">IF(LEN(A197&amp;"")=0,0,IF(COUNTIFS(Base!$A$7:$A$1006,A197)&gt;1,1,0))</f>
        <v>0</v>
      </c>
      <c r="N197" s="1" t="n">
        <f aca="false">IF(LEN(A197&amp;"")=0,0,IF(ABS(L197)&gt;0.005,1,0))</f>
        <v>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customFormat="false" ht="23" hidden="false" customHeight="true" outlineLevel="0" collapsed="false">
      <c r="A198" s="1" t="n">
        <f aca="false">IF(LEN(Base!A198&amp;"")=0,"",Base!A198)</f>
        <v>3422</v>
      </c>
      <c r="B198" s="60" t="n">
        <f aca="false">IF(LEN(A198&amp;"")=0,"",Base!D198)</f>
        <v>45539</v>
      </c>
      <c r="C198" s="1" t="str">
        <f aca="false">IF(LEN(A198&amp;"")=0,"",Base!C198)</f>
        <v>Ultimate</v>
      </c>
      <c r="D198" s="1" t="str">
        <f aca="false">IF(LEN(A198&amp;"")=0,"",Base!G198)</f>
        <v>Quarterly</v>
      </c>
      <c r="E198" s="1" t="str">
        <f aca="false">IF(LEN(A198&amp;"")=0,"",Base!E198)</f>
        <v>Yes</v>
      </c>
      <c r="F198" s="61" t="n">
        <f aca="false">IF(LEN(A198&amp;"")=0,"",IF(Base!I198="-",0,Base!I198))</f>
        <v>30</v>
      </c>
      <c r="G198" s="61" t="n">
        <f aca="false">IF(LEN(A198&amp;"")=0,"",SUM(Base!F198,F198,Base!K198))</f>
        <v>65</v>
      </c>
      <c r="H198" s="61" t="n">
        <f aca="false">IF(LEN(A198&amp;"")=0,"",Base!L198)</f>
        <v>7</v>
      </c>
      <c r="I198" s="61" t="n">
        <f aca="false">IF(LEN(A198&amp;"")=0,"",G198-H198)</f>
        <v>58</v>
      </c>
      <c r="J198" s="61" t="n">
        <f aca="false">IF(LEN(A198&amp;"")=0,"",Base!M198)</f>
        <v>58</v>
      </c>
      <c r="K198" s="1" t="n">
        <f aca="false">IF(OR(LEN(A198&amp;"")=0,$P$3=0),0,IF(AND(B198&gt;=Painel!$B$8,B198&lt;=Painel!$G$8,OR(Painel!$L$8="Todos",C198=Painel!$L$8),OR(Painel!$Q$8="Todos",D198=Painel!$Q$8),OR(Painel!$V$8="Todas",E198=Painel!$V$8)),1,0))</f>
        <v>1</v>
      </c>
      <c r="L198" s="61" t="n">
        <f aca="false">IF(LEN(A198&amp;"")=0,"",J198-I198)</f>
        <v>0</v>
      </c>
      <c r="M198" s="1" t="n">
        <f aca="false">IF(LEN(A198&amp;"")=0,0,IF(COUNTIFS(Base!$A$7:$A$1006,A198)&gt;1,1,0))</f>
        <v>0</v>
      </c>
      <c r="N198" s="1" t="n">
        <f aca="false">IF(LEN(A198&amp;"")=0,0,IF(ABS(L198)&gt;0.005,1,0))</f>
        <v>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customFormat="false" ht="23" hidden="false" customHeight="true" outlineLevel="0" collapsed="false">
      <c r="A199" s="1" t="n">
        <f aca="false">IF(LEN(Base!A199&amp;"")=0,"",Base!A199)</f>
        <v>3423</v>
      </c>
      <c r="B199" s="60" t="n">
        <f aca="false">IF(LEN(A199&amp;"")=0,"",Base!D199)</f>
        <v>45540</v>
      </c>
      <c r="C199" s="1" t="str">
        <f aca="false">IF(LEN(A199&amp;"")=0,"",Base!C199)</f>
        <v>Standard</v>
      </c>
      <c r="D199" s="1" t="str">
        <f aca="false">IF(LEN(A199&amp;"")=0,"",Base!G199)</f>
        <v>Monthly</v>
      </c>
      <c r="E199" s="1" t="str">
        <f aca="false">IF(LEN(A199&amp;"")=0,"",Base!E199)</f>
        <v>No</v>
      </c>
      <c r="F199" s="61" t="n">
        <f aca="false">IF(LEN(A199&amp;"")=0,"",IF(Base!I199="-",0,Base!I199))</f>
        <v>0</v>
      </c>
      <c r="G199" s="61" t="n">
        <f aca="false">IF(LEN(A199&amp;"")=0,"",SUM(Base!F199,F199,Base!K199))</f>
        <v>30</v>
      </c>
      <c r="H199" s="61" t="n">
        <f aca="false">IF(LEN(A199&amp;"")=0,"",Base!L199)</f>
        <v>10</v>
      </c>
      <c r="I199" s="61" t="n">
        <f aca="false">IF(LEN(A199&amp;"")=0,"",G199-H199)</f>
        <v>20</v>
      </c>
      <c r="J199" s="61" t="n">
        <f aca="false">IF(LEN(A199&amp;"")=0,"",Base!M199)</f>
        <v>20</v>
      </c>
      <c r="K199" s="1" t="n">
        <f aca="false">IF(OR(LEN(A199&amp;"")=0,$P$3=0),0,IF(AND(B199&gt;=Painel!$B$8,B199&lt;=Painel!$G$8,OR(Painel!$L$8="Todos",C199=Painel!$L$8),OR(Painel!$Q$8="Todos",D199=Painel!$Q$8),OR(Painel!$V$8="Todas",E199=Painel!$V$8)),1,0))</f>
        <v>1</v>
      </c>
      <c r="L199" s="61" t="n">
        <f aca="false">IF(LEN(A199&amp;"")=0,"",J199-I199)</f>
        <v>0</v>
      </c>
      <c r="M199" s="1" t="n">
        <f aca="false">IF(LEN(A199&amp;"")=0,0,IF(COUNTIFS(Base!$A$7:$A$1006,A199)&gt;1,1,0))</f>
        <v>0</v>
      </c>
      <c r="N199" s="1" t="n">
        <f aca="false">IF(LEN(A199&amp;"")=0,0,IF(ABS(L199)&gt;0.005,1,0))</f>
        <v>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customFormat="false" ht="23" hidden="false" customHeight="true" outlineLevel="0" collapsed="false">
      <c r="A200" s="1" t="n">
        <f aca="false">IF(LEN(Base!A200&amp;"")=0,"",Base!A200)</f>
        <v>3424</v>
      </c>
      <c r="B200" s="60" t="n">
        <f aca="false">IF(LEN(A200&amp;"")=0,"",Base!D200)</f>
        <v>45541</v>
      </c>
      <c r="C200" s="1" t="str">
        <f aca="false">IF(LEN(A200&amp;"")=0,"",Base!C200)</f>
        <v>Core</v>
      </c>
      <c r="D200" s="1" t="str">
        <f aca="false">IF(LEN(A200&amp;"")=0,"",Base!G200)</f>
        <v>Annual</v>
      </c>
      <c r="E200" s="1" t="str">
        <f aca="false">IF(LEN(A200&amp;"")=0,"",Base!E200)</f>
        <v>Yes</v>
      </c>
      <c r="F200" s="61" t="n">
        <f aca="false">IF(LEN(A200&amp;"")=0,"",IF(Base!I200="-",0,Base!I200))</f>
        <v>0</v>
      </c>
      <c r="G200" s="61" t="n">
        <f aca="false">IF(LEN(A200&amp;"")=0,"",SUM(Base!F200,F200,Base!K200))</f>
        <v>5</v>
      </c>
      <c r="H200" s="61" t="n">
        <f aca="false">IF(LEN(A200&amp;"")=0,"",Base!L200)</f>
        <v>0</v>
      </c>
      <c r="I200" s="61" t="n">
        <f aca="false">IF(LEN(A200&amp;"")=0,"",G200-H200)</f>
        <v>5</v>
      </c>
      <c r="J200" s="61" t="n">
        <f aca="false">IF(LEN(A200&amp;"")=0,"",Base!M200)</f>
        <v>5</v>
      </c>
      <c r="K200" s="1" t="n">
        <f aca="false">IF(OR(LEN(A200&amp;"")=0,$P$3=0),0,IF(AND(B200&gt;=Painel!$B$8,B200&lt;=Painel!$G$8,OR(Painel!$L$8="Todos",C200=Painel!$L$8),OR(Painel!$Q$8="Todos",D200=Painel!$Q$8),OR(Painel!$V$8="Todas",E200=Painel!$V$8)),1,0))</f>
        <v>1</v>
      </c>
      <c r="L200" s="61" t="n">
        <f aca="false">IF(LEN(A200&amp;"")=0,"",J200-I200)</f>
        <v>0</v>
      </c>
      <c r="M200" s="1" t="n">
        <f aca="false">IF(LEN(A200&amp;"")=0,0,IF(COUNTIFS(Base!$A$7:$A$1006,A200)&gt;1,1,0))</f>
        <v>0</v>
      </c>
      <c r="N200" s="1" t="n">
        <f aca="false">IF(LEN(A200&amp;"")=0,0,IF(ABS(L200)&gt;0.005,1,0))</f>
        <v>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customFormat="false" ht="23" hidden="false" customHeight="true" outlineLevel="0" collapsed="false">
      <c r="A201" s="1" t="n">
        <f aca="false">IF(LEN(Base!A201&amp;"")=0,"",Base!A201)</f>
        <v>3425</v>
      </c>
      <c r="B201" s="60" t="n">
        <f aca="false">IF(LEN(A201&amp;"")=0,"",Base!D201)</f>
        <v>45542</v>
      </c>
      <c r="C201" s="1" t="str">
        <f aca="false">IF(LEN(A201&amp;"")=0,"",Base!C201)</f>
        <v>Ultimate</v>
      </c>
      <c r="D201" s="1" t="str">
        <f aca="false">IF(LEN(A201&amp;"")=0,"",Base!G201)</f>
        <v>Monthly</v>
      </c>
      <c r="E201" s="1" t="str">
        <f aca="false">IF(LEN(A201&amp;"")=0,"",Base!E201)</f>
        <v>No</v>
      </c>
      <c r="F201" s="61" t="n">
        <f aca="false">IF(LEN(A201&amp;"")=0,"",IF(Base!I201="-",0,Base!I201))</f>
        <v>30</v>
      </c>
      <c r="G201" s="61" t="n">
        <f aca="false">IF(LEN(A201&amp;"")=0,"",SUM(Base!F201,F201,Base!K201))</f>
        <v>65</v>
      </c>
      <c r="H201" s="61" t="n">
        <f aca="false">IF(LEN(A201&amp;"")=0,"",Base!L201)</f>
        <v>20</v>
      </c>
      <c r="I201" s="61" t="n">
        <f aca="false">IF(LEN(A201&amp;"")=0,"",G201-H201)</f>
        <v>45</v>
      </c>
      <c r="J201" s="61" t="n">
        <f aca="false">IF(LEN(A201&amp;"")=0,"",Base!M201)</f>
        <v>45</v>
      </c>
      <c r="K201" s="1" t="n">
        <f aca="false">IF(OR(LEN(A201&amp;"")=0,$P$3=0),0,IF(AND(B201&gt;=Painel!$B$8,B201&lt;=Painel!$G$8,OR(Painel!$L$8="Todos",C201=Painel!$L$8),OR(Painel!$Q$8="Todos",D201=Painel!$Q$8),OR(Painel!$V$8="Todas",E201=Painel!$V$8)),1,0))</f>
        <v>1</v>
      </c>
      <c r="L201" s="61" t="n">
        <f aca="false">IF(LEN(A201&amp;"")=0,"",J201-I201)</f>
        <v>0</v>
      </c>
      <c r="M201" s="1" t="n">
        <f aca="false">IF(LEN(A201&amp;"")=0,0,IF(COUNTIFS(Base!$A$7:$A$1006,A201)&gt;1,1,0))</f>
        <v>0</v>
      </c>
      <c r="N201" s="1" t="n">
        <f aca="false">IF(LEN(A201&amp;"")=0,0,IF(ABS(L201)&gt;0.005,1,0))</f>
        <v>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customFormat="false" ht="23" hidden="false" customHeight="true" outlineLevel="0" collapsed="false">
      <c r="A202" s="1" t="n">
        <f aca="false">IF(LEN(Base!A202&amp;"")=0,"",Base!A202)</f>
        <v>3426</v>
      </c>
      <c r="B202" s="60" t="n">
        <f aca="false">IF(LEN(A202&amp;"")=0,"",Base!D202)</f>
        <v>45543</v>
      </c>
      <c r="C202" s="1" t="str">
        <f aca="false">IF(LEN(A202&amp;"")=0,"",Base!C202)</f>
        <v>Standard</v>
      </c>
      <c r="D202" s="1" t="str">
        <f aca="false">IF(LEN(A202&amp;"")=0,"",Base!G202)</f>
        <v>Quarterly</v>
      </c>
      <c r="E202" s="1" t="str">
        <f aca="false">IF(LEN(A202&amp;"")=0,"",Base!E202)</f>
        <v>Yes</v>
      </c>
      <c r="F202" s="61" t="n">
        <f aca="false">IF(LEN(A202&amp;"")=0,"",IF(Base!I202="-",0,Base!I202))</f>
        <v>0</v>
      </c>
      <c r="G202" s="61" t="n">
        <f aca="false">IF(LEN(A202&amp;"")=0,"",SUM(Base!F202,F202,Base!K202))</f>
        <v>30</v>
      </c>
      <c r="H202" s="61" t="n">
        <f aca="false">IF(LEN(A202&amp;"")=0,"",Base!L202)</f>
        <v>15</v>
      </c>
      <c r="I202" s="61" t="n">
        <f aca="false">IF(LEN(A202&amp;"")=0,"",G202-H202)</f>
        <v>15</v>
      </c>
      <c r="J202" s="61" t="n">
        <f aca="false">IF(LEN(A202&amp;"")=0,"",Base!M202)</f>
        <v>15</v>
      </c>
      <c r="K202" s="1" t="n">
        <f aca="false">IF(OR(LEN(A202&amp;"")=0,$P$3=0),0,IF(AND(B202&gt;=Painel!$B$8,B202&lt;=Painel!$G$8,OR(Painel!$L$8="Todos",C202=Painel!$L$8),OR(Painel!$Q$8="Todos",D202=Painel!$Q$8),OR(Painel!$V$8="Todas",E202=Painel!$V$8)),1,0))</f>
        <v>1</v>
      </c>
      <c r="L202" s="61" t="n">
        <f aca="false">IF(LEN(A202&amp;"")=0,"",J202-I202)</f>
        <v>0</v>
      </c>
      <c r="M202" s="1" t="n">
        <f aca="false">IF(LEN(A202&amp;"")=0,0,IF(COUNTIFS(Base!$A$7:$A$1006,A202)&gt;1,1,0))</f>
        <v>0</v>
      </c>
      <c r="N202" s="1" t="n">
        <f aca="false">IF(LEN(A202&amp;"")=0,0,IF(ABS(L202)&gt;0.005,1,0))</f>
        <v>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customFormat="false" ht="23" hidden="false" customHeight="true" outlineLevel="0" collapsed="false">
      <c r="A203" s="1" t="n">
        <f aca="false">IF(LEN(Base!A203&amp;"")=0,"",Base!A203)</f>
        <v>3427</v>
      </c>
      <c r="B203" s="60" t="n">
        <f aca="false">IF(LEN(A203&amp;"")=0,"",Base!D203)</f>
        <v>45544</v>
      </c>
      <c r="C203" s="1" t="str">
        <f aca="false">IF(LEN(A203&amp;"")=0,"",Base!C203)</f>
        <v>Core</v>
      </c>
      <c r="D203" s="1" t="str">
        <f aca="false">IF(LEN(A203&amp;"")=0,"",Base!G203)</f>
        <v>Monthly</v>
      </c>
      <c r="E203" s="1" t="str">
        <f aca="false">IF(LEN(A203&amp;"")=0,"",Base!E203)</f>
        <v>No</v>
      </c>
      <c r="F203" s="61" t="n">
        <f aca="false">IF(LEN(A203&amp;"")=0,"",IF(Base!I203="-",0,Base!I203))</f>
        <v>0</v>
      </c>
      <c r="G203" s="61" t="n">
        <f aca="false">IF(LEN(A203&amp;"")=0,"",SUM(Base!F203,F203,Base!K203))</f>
        <v>5</v>
      </c>
      <c r="H203" s="61" t="n">
        <f aca="false">IF(LEN(A203&amp;"")=0,"",Base!L203)</f>
        <v>1</v>
      </c>
      <c r="I203" s="61" t="n">
        <f aca="false">IF(LEN(A203&amp;"")=0,"",G203-H203)</f>
        <v>4</v>
      </c>
      <c r="J203" s="61" t="n">
        <f aca="false">IF(LEN(A203&amp;"")=0,"",Base!M203)</f>
        <v>4</v>
      </c>
      <c r="K203" s="1" t="n">
        <f aca="false">IF(OR(LEN(A203&amp;"")=0,$P$3=0),0,IF(AND(B203&gt;=Painel!$B$8,B203&lt;=Painel!$G$8,OR(Painel!$L$8="Todos",C203=Painel!$L$8),OR(Painel!$Q$8="Todos",D203=Painel!$Q$8),OR(Painel!$V$8="Todas",E203=Painel!$V$8)),1,0))</f>
        <v>1</v>
      </c>
      <c r="L203" s="61" t="n">
        <f aca="false">IF(LEN(A203&amp;"")=0,"",J203-I203)</f>
        <v>0</v>
      </c>
      <c r="M203" s="1" t="n">
        <f aca="false">IF(LEN(A203&amp;"")=0,0,IF(COUNTIFS(Base!$A$7:$A$1006,A203)&gt;1,1,0))</f>
        <v>0</v>
      </c>
      <c r="N203" s="1" t="n">
        <f aca="false">IF(LEN(A203&amp;"")=0,0,IF(ABS(L203)&gt;0.005,1,0))</f>
        <v>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customFormat="false" ht="23" hidden="false" customHeight="true" outlineLevel="0" collapsed="false">
      <c r="A204" s="1" t="n">
        <f aca="false">IF(LEN(Base!A204&amp;"")=0,"",Base!A204)</f>
        <v>3428</v>
      </c>
      <c r="B204" s="60" t="n">
        <f aca="false">IF(LEN(A204&amp;"")=0,"",Base!D204)</f>
        <v>45545</v>
      </c>
      <c r="C204" s="1" t="str">
        <f aca="false">IF(LEN(A204&amp;"")=0,"",Base!C204)</f>
        <v>Ultimate</v>
      </c>
      <c r="D204" s="1" t="str">
        <f aca="false">IF(LEN(A204&amp;"")=0,"",Base!G204)</f>
        <v>Annual</v>
      </c>
      <c r="E204" s="1" t="str">
        <f aca="false">IF(LEN(A204&amp;"")=0,"",Base!E204)</f>
        <v>Yes</v>
      </c>
      <c r="F204" s="61" t="n">
        <f aca="false">IF(LEN(A204&amp;"")=0,"",IF(Base!I204="-",0,Base!I204))</f>
        <v>30</v>
      </c>
      <c r="G204" s="61" t="n">
        <f aca="false">IF(LEN(A204&amp;"")=0,"",SUM(Base!F204,F204,Base!K204))</f>
        <v>65</v>
      </c>
      <c r="H204" s="61" t="n">
        <f aca="false">IF(LEN(A204&amp;"")=0,"",Base!L204)</f>
        <v>3</v>
      </c>
      <c r="I204" s="61" t="n">
        <f aca="false">IF(LEN(A204&amp;"")=0,"",G204-H204)</f>
        <v>62</v>
      </c>
      <c r="J204" s="61" t="n">
        <f aca="false">IF(LEN(A204&amp;"")=0,"",Base!M204)</f>
        <v>62</v>
      </c>
      <c r="K204" s="1" t="n">
        <f aca="false">IF(OR(LEN(A204&amp;"")=0,$P$3=0),0,IF(AND(B204&gt;=Painel!$B$8,B204&lt;=Painel!$G$8,OR(Painel!$L$8="Todos",C204=Painel!$L$8),OR(Painel!$Q$8="Todos",D204=Painel!$Q$8),OR(Painel!$V$8="Todas",E204=Painel!$V$8)),1,0))</f>
        <v>1</v>
      </c>
      <c r="L204" s="61" t="n">
        <f aca="false">IF(LEN(A204&amp;"")=0,"",J204-I204)</f>
        <v>0</v>
      </c>
      <c r="M204" s="1" t="n">
        <f aca="false">IF(LEN(A204&amp;"")=0,0,IF(COUNTIFS(Base!$A$7:$A$1006,A204)&gt;1,1,0))</f>
        <v>0</v>
      </c>
      <c r="N204" s="1" t="n">
        <f aca="false">IF(LEN(A204&amp;"")=0,0,IF(ABS(L204)&gt;0.005,1,0))</f>
        <v>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customFormat="false" ht="23" hidden="false" customHeight="true" outlineLevel="0" collapsed="false">
      <c r="A205" s="1" t="n">
        <f aca="false">IF(LEN(Base!A205&amp;"")=0,"",Base!A205)</f>
        <v>3429</v>
      </c>
      <c r="B205" s="60" t="n">
        <f aca="false">IF(LEN(A205&amp;"")=0,"",Base!D205)</f>
        <v>45546</v>
      </c>
      <c r="C205" s="1" t="str">
        <f aca="false">IF(LEN(A205&amp;"")=0,"",Base!C205)</f>
        <v>Standard</v>
      </c>
      <c r="D205" s="1" t="str">
        <f aca="false">IF(LEN(A205&amp;"")=0,"",Base!G205)</f>
        <v>Monthly</v>
      </c>
      <c r="E205" s="1" t="str">
        <f aca="false">IF(LEN(A205&amp;"")=0,"",Base!E205)</f>
        <v>No</v>
      </c>
      <c r="F205" s="61" t="n">
        <f aca="false">IF(LEN(A205&amp;"")=0,"",IF(Base!I205="-",0,Base!I205))</f>
        <v>0</v>
      </c>
      <c r="G205" s="61" t="n">
        <f aca="false">IF(LEN(A205&amp;"")=0,"",SUM(Base!F205,F205,Base!K205))</f>
        <v>30</v>
      </c>
      <c r="H205" s="61" t="n">
        <f aca="false">IF(LEN(A205&amp;"")=0,"",Base!L205)</f>
        <v>10</v>
      </c>
      <c r="I205" s="61" t="n">
        <f aca="false">IF(LEN(A205&amp;"")=0,"",G205-H205)</f>
        <v>20</v>
      </c>
      <c r="J205" s="61" t="n">
        <f aca="false">IF(LEN(A205&amp;"")=0,"",Base!M205)</f>
        <v>20</v>
      </c>
      <c r="K205" s="1" t="n">
        <f aca="false">IF(OR(LEN(A205&amp;"")=0,$P$3=0),0,IF(AND(B205&gt;=Painel!$B$8,B205&lt;=Painel!$G$8,OR(Painel!$L$8="Todos",C205=Painel!$L$8),OR(Painel!$Q$8="Todos",D205=Painel!$Q$8),OR(Painel!$V$8="Todas",E205=Painel!$V$8)),1,0))</f>
        <v>1</v>
      </c>
      <c r="L205" s="61" t="n">
        <f aca="false">IF(LEN(A205&amp;"")=0,"",J205-I205)</f>
        <v>0</v>
      </c>
      <c r="M205" s="1" t="n">
        <f aca="false">IF(LEN(A205&amp;"")=0,0,IF(COUNTIFS(Base!$A$7:$A$1006,A205)&gt;1,1,0))</f>
        <v>0</v>
      </c>
      <c r="N205" s="1" t="n">
        <f aca="false">IF(LEN(A205&amp;"")=0,0,IF(ABS(L205)&gt;0.005,1,0))</f>
        <v>0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customFormat="false" ht="23" hidden="false" customHeight="true" outlineLevel="0" collapsed="false">
      <c r="A206" s="1" t="n">
        <f aca="false">IF(LEN(Base!A206&amp;"")=0,"",Base!A206)</f>
        <v>3430</v>
      </c>
      <c r="B206" s="60" t="n">
        <f aca="false">IF(LEN(A206&amp;"")=0,"",Base!D206)</f>
        <v>45547</v>
      </c>
      <c r="C206" s="1" t="str">
        <f aca="false">IF(LEN(A206&amp;"")=0,"",Base!C206)</f>
        <v>Core</v>
      </c>
      <c r="D206" s="1" t="str">
        <f aca="false">IF(LEN(A206&amp;"")=0,"",Base!G206)</f>
        <v>Quarterly</v>
      </c>
      <c r="E206" s="1" t="str">
        <f aca="false">IF(LEN(A206&amp;"")=0,"",Base!E206)</f>
        <v>Yes</v>
      </c>
      <c r="F206" s="61" t="n">
        <f aca="false">IF(LEN(A206&amp;"")=0,"",IF(Base!I206="-",0,Base!I206))</f>
        <v>0</v>
      </c>
      <c r="G206" s="61" t="n">
        <f aca="false">IF(LEN(A206&amp;"")=0,"",SUM(Base!F206,F206,Base!K206))</f>
        <v>5</v>
      </c>
      <c r="H206" s="61" t="n">
        <f aca="false">IF(LEN(A206&amp;"")=0,"",Base!L206)</f>
        <v>0</v>
      </c>
      <c r="I206" s="61" t="n">
        <f aca="false">IF(LEN(A206&amp;"")=0,"",G206-H206)</f>
        <v>5</v>
      </c>
      <c r="J206" s="61" t="n">
        <f aca="false">IF(LEN(A206&amp;"")=0,"",Base!M206)</f>
        <v>5</v>
      </c>
      <c r="K206" s="1" t="n">
        <f aca="false">IF(OR(LEN(A206&amp;"")=0,$P$3=0),0,IF(AND(B206&gt;=Painel!$B$8,B206&lt;=Painel!$G$8,OR(Painel!$L$8="Todos",C206=Painel!$L$8),OR(Painel!$Q$8="Todos",D206=Painel!$Q$8),OR(Painel!$V$8="Todas",E206=Painel!$V$8)),1,0))</f>
        <v>1</v>
      </c>
      <c r="L206" s="61" t="n">
        <f aca="false">IF(LEN(A206&amp;"")=0,"",J206-I206)</f>
        <v>0</v>
      </c>
      <c r="M206" s="1" t="n">
        <f aca="false">IF(LEN(A206&amp;"")=0,0,IF(COUNTIFS(Base!$A$7:$A$1006,A206)&gt;1,1,0))</f>
        <v>0</v>
      </c>
      <c r="N206" s="1" t="n">
        <f aca="false">IF(LEN(A206&amp;"")=0,0,IF(ABS(L206)&gt;0.005,1,0))</f>
        <v>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customFormat="false" ht="23" hidden="false" customHeight="true" outlineLevel="0" collapsed="false">
      <c r="A207" s="1" t="n">
        <f aca="false">IF(LEN(Base!A207&amp;"")=0,"",Base!A207)</f>
        <v>3431</v>
      </c>
      <c r="B207" s="60" t="n">
        <f aca="false">IF(LEN(A207&amp;"")=0,"",Base!D207)</f>
        <v>45548</v>
      </c>
      <c r="C207" s="1" t="str">
        <f aca="false">IF(LEN(A207&amp;"")=0,"",Base!C207)</f>
        <v>Ultimate</v>
      </c>
      <c r="D207" s="1" t="str">
        <f aca="false">IF(LEN(A207&amp;"")=0,"",Base!G207)</f>
        <v>Monthly</v>
      </c>
      <c r="E207" s="1" t="str">
        <f aca="false">IF(LEN(A207&amp;"")=0,"",Base!E207)</f>
        <v>No</v>
      </c>
      <c r="F207" s="61" t="n">
        <f aca="false">IF(LEN(A207&amp;"")=0,"",IF(Base!I207="-",0,Base!I207))</f>
        <v>30</v>
      </c>
      <c r="G207" s="61" t="n">
        <f aca="false">IF(LEN(A207&amp;"")=0,"",SUM(Base!F207,F207,Base!K207))</f>
        <v>65</v>
      </c>
      <c r="H207" s="61" t="n">
        <f aca="false">IF(LEN(A207&amp;"")=0,"",Base!L207)</f>
        <v>15</v>
      </c>
      <c r="I207" s="61" t="n">
        <f aca="false">IF(LEN(A207&amp;"")=0,"",G207-H207)</f>
        <v>50</v>
      </c>
      <c r="J207" s="61" t="n">
        <f aca="false">IF(LEN(A207&amp;"")=0,"",Base!M207)</f>
        <v>50</v>
      </c>
      <c r="K207" s="1" t="n">
        <f aca="false">IF(OR(LEN(A207&amp;"")=0,$P$3=0),0,IF(AND(B207&gt;=Painel!$B$8,B207&lt;=Painel!$G$8,OR(Painel!$L$8="Todos",C207=Painel!$L$8),OR(Painel!$Q$8="Todos",D207=Painel!$Q$8),OR(Painel!$V$8="Todas",E207=Painel!$V$8)),1,0))</f>
        <v>1</v>
      </c>
      <c r="L207" s="61" t="n">
        <f aca="false">IF(LEN(A207&amp;"")=0,"",J207-I207)</f>
        <v>0</v>
      </c>
      <c r="M207" s="1" t="n">
        <f aca="false">IF(LEN(A207&amp;"")=0,0,IF(COUNTIFS(Base!$A$7:$A$1006,A207)&gt;1,1,0))</f>
        <v>0</v>
      </c>
      <c r="N207" s="1" t="n">
        <f aca="false">IF(LEN(A207&amp;"")=0,0,IF(ABS(L207)&gt;0.005,1,0))</f>
        <v>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customFormat="false" ht="23" hidden="false" customHeight="true" outlineLevel="0" collapsed="false">
      <c r="A208" s="1" t="n">
        <f aca="false">IF(LEN(Base!A208&amp;"")=0,"",Base!A208)</f>
        <v>3432</v>
      </c>
      <c r="B208" s="60" t="n">
        <f aca="false">IF(LEN(A208&amp;"")=0,"",Base!D208)</f>
        <v>45549</v>
      </c>
      <c r="C208" s="1" t="str">
        <f aca="false">IF(LEN(A208&amp;"")=0,"",Base!C208)</f>
        <v>Standard</v>
      </c>
      <c r="D208" s="1" t="str">
        <f aca="false">IF(LEN(A208&amp;"")=0,"",Base!G208)</f>
        <v>Annual</v>
      </c>
      <c r="E208" s="1" t="str">
        <f aca="false">IF(LEN(A208&amp;"")=0,"",Base!E208)</f>
        <v>Yes</v>
      </c>
      <c r="F208" s="61" t="n">
        <f aca="false">IF(LEN(A208&amp;"")=0,"",IF(Base!I208="-",0,Base!I208))</f>
        <v>0</v>
      </c>
      <c r="G208" s="61" t="n">
        <f aca="false">IF(LEN(A208&amp;"")=0,"",SUM(Base!F208,F208,Base!K208))</f>
        <v>30</v>
      </c>
      <c r="H208" s="61" t="n">
        <f aca="false">IF(LEN(A208&amp;"")=0,"",Base!L208)</f>
        <v>15</v>
      </c>
      <c r="I208" s="61" t="n">
        <f aca="false">IF(LEN(A208&amp;"")=0,"",G208-H208)</f>
        <v>15</v>
      </c>
      <c r="J208" s="61" t="n">
        <f aca="false">IF(LEN(A208&amp;"")=0,"",Base!M208)</f>
        <v>15</v>
      </c>
      <c r="K208" s="1" t="n">
        <f aca="false">IF(OR(LEN(A208&amp;"")=0,$P$3=0),0,IF(AND(B208&gt;=Painel!$B$8,B208&lt;=Painel!$G$8,OR(Painel!$L$8="Todos",C208=Painel!$L$8),OR(Painel!$Q$8="Todos",D208=Painel!$Q$8),OR(Painel!$V$8="Todas",E208=Painel!$V$8)),1,0))</f>
        <v>1</v>
      </c>
      <c r="L208" s="61" t="n">
        <f aca="false">IF(LEN(A208&amp;"")=0,"",J208-I208)</f>
        <v>0</v>
      </c>
      <c r="M208" s="1" t="n">
        <f aca="false">IF(LEN(A208&amp;"")=0,0,IF(COUNTIFS(Base!$A$7:$A$1006,A208)&gt;1,1,0))</f>
        <v>0</v>
      </c>
      <c r="N208" s="1" t="n">
        <f aca="false">IF(LEN(A208&amp;"")=0,0,IF(ABS(L208)&gt;0.005,1,0))</f>
        <v>0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customFormat="false" ht="23" hidden="false" customHeight="true" outlineLevel="0" collapsed="false">
      <c r="A209" s="1" t="n">
        <f aca="false">IF(LEN(Base!A209&amp;"")=0,"",Base!A209)</f>
        <v>3433</v>
      </c>
      <c r="B209" s="60" t="n">
        <f aca="false">IF(LEN(A209&amp;"")=0,"",Base!D209)</f>
        <v>45550</v>
      </c>
      <c r="C209" s="1" t="str">
        <f aca="false">IF(LEN(A209&amp;"")=0,"",Base!C209)</f>
        <v>Core</v>
      </c>
      <c r="D209" s="1" t="str">
        <f aca="false">IF(LEN(A209&amp;"")=0,"",Base!G209)</f>
        <v>Monthly</v>
      </c>
      <c r="E209" s="1" t="str">
        <f aca="false">IF(LEN(A209&amp;"")=0,"",Base!E209)</f>
        <v>No</v>
      </c>
      <c r="F209" s="61" t="n">
        <f aca="false">IF(LEN(A209&amp;"")=0,"",IF(Base!I209="-",0,Base!I209))</f>
        <v>0</v>
      </c>
      <c r="G209" s="61" t="n">
        <f aca="false">IF(LEN(A209&amp;"")=0,"",SUM(Base!F209,F209,Base!K209))</f>
        <v>5</v>
      </c>
      <c r="H209" s="61" t="n">
        <f aca="false">IF(LEN(A209&amp;"")=0,"",Base!L209)</f>
        <v>1</v>
      </c>
      <c r="I209" s="61" t="n">
        <f aca="false">IF(LEN(A209&amp;"")=0,"",G209-H209)</f>
        <v>4</v>
      </c>
      <c r="J209" s="61" t="n">
        <f aca="false">IF(LEN(A209&amp;"")=0,"",Base!M209)</f>
        <v>4</v>
      </c>
      <c r="K209" s="1" t="n">
        <f aca="false">IF(OR(LEN(A209&amp;"")=0,$P$3=0),0,IF(AND(B209&gt;=Painel!$B$8,B209&lt;=Painel!$G$8,OR(Painel!$L$8="Todos",C209=Painel!$L$8),OR(Painel!$Q$8="Todos",D209=Painel!$Q$8),OR(Painel!$V$8="Todas",E209=Painel!$V$8)),1,0))</f>
        <v>1</v>
      </c>
      <c r="L209" s="61" t="n">
        <f aca="false">IF(LEN(A209&amp;"")=0,"",J209-I209)</f>
        <v>0</v>
      </c>
      <c r="M209" s="1" t="n">
        <f aca="false">IF(LEN(A209&amp;"")=0,0,IF(COUNTIFS(Base!$A$7:$A$1006,A209)&gt;1,1,0))</f>
        <v>0</v>
      </c>
      <c r="N209" s="1" t="n">
        <f aca="false">IF(LEN(A209&amp;"")=0,0,IF(ABS(L209)&gt;0.005,1,0))</f>
        <v>0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customFormat="false" ht="23" hidden="false" customHeight="true" outlineLevel="0" collapsed="false">
      <c r="A210" s="1" t="n">
        <f aca="false">IF(LEN(Base!A210&amp;"")=0,"",Base!A210)</f>
        <v>3434</v>
      </c>
      <c r="B210" s="60" t="n">
        <f aca="false">IF(LEN(A210&amp;"")=0,"",Base!D210)</f>
        <v>45551</v>
      </c>
      <c r="C210" s="1" t="str">
        <f aca="false">IF(LEN(A210&amp;"")=0,"",Base!C210)</f>
        <v>Ultimate</v>
      </c>
      <c r="D210" s="1" t="str">
        <f aca="false">IF(LEN(A210&amp;"")=0,"",Base!G210)</f>
        <v>Quarterly</v>
      </c>
      <c r="E210" s="1" t="str">
        <f aca="false">IF(LEN(A210&amp;"")=0,"",Base!E210)</f>
        <v>Yes</v>
      </c>
      <c r="F210" s="61" t="n">
        <f aca="false">IF(LEN(A210&amp;"")=0,"",IF(Base!I210="-",0,Base!I210))</f>
        <v>30</v>
      </c>
      <c r="G210" s="61" t="n">
        <f aca="false">IF(LEN(A210&amp;"")=0,"",SUM(Base!F210,F210,Base!K210))</f>
        <v>65</v>
      </c>
      <c r="H210" s="61" t="n">
        <f aca="false">IF(LEN(A210&amp;"")=0,"",Base!L210)</f>
        <v>7</v>
      </c>
      <c r="I210" s="61" t="n">
        <f aca="false">IF(LEN(A210&amp;"")=0,"",G210-H210)</f>
        <v>58</v>
      </c>
      <c r="J210" s="61" t="n">
        <f aca="false">IF(LEN(A210&amp;"")=0,"",Base!M210)</f>
        <v>58</v>
      </c>
      <c r="K210" s="1" t="n">
        <f aca="false">IF(OR(LEN(A210&amp;"")=0,$P$3=0),0,IF(AND(B210&gt;=Painel!$B$8,B210&lt;=Painel!$G$8,OR(Painel!$L$8="Todos",C210=Painel!$L$8),OR(Painel!$Q$8="Todos",D210=Painel!$Q$8),OR(Painel!$V$8="Todas",E210=Painel!$V$8)),1,0))</f>
        <v>1</v>
      </c>
      <c r="L210" s="61" t="n">
        <f aca="false">IF(LEN(A210&amp;"")=0,"",J210-I210)</f>
        <v>0</v>
      </c>
      <c r="M210" s="1" t="n">
        <f aca="false">IF(LEN(A210&amp;"")=0,0,IF(COUNTIFS(Base!$A$7:$A$1006,A210)&gt;1,1,0))</f>
        <v>0</v>
      </c>
      <c r="N210" s="1" t="n">
        <f aca="false">IF(LEN(A210&amp;"")=0,0,IF(ABS(L210)&gt;0.005,1,0))</f>
        <v>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customFormat="false" ht="23" hidden="false" customHeight="true" outlineLevel="0" collapsed="false">
      <c r="A211" s="1" t="n">
        <f aca="false">IF(LEN(Base!A211&amp;"")=0,"",Base!A211)</f>
        <v>3435</v>
      </c>
      <c r="B211" s="60" t="n">
        <f aca="false">IF(LEN(A211&amp;"")=0,"",Base!D211)</f>
        <v>45552</v>
      </c>
      <c r="C211" s="1" t="str">
        <f aca="false">IF(LEN(A211&amp;"")=0,"",Base!C211)</f>
        <v>Standard</v>
      </c>
      <c r="D211" s="1" t="str">
        <f aca="false">IF(LEN(A211&amp;"")=0,"",Base!G211)</f>
        <v>Monthly</v>
      </c>
      <c r="E211" s="1" t="str">
        <f aca="false">IF(LEN(A211&amp;"")=0,"",Base!E211)</f>
        <v>No</v>
      </c>
      <c r="F211" s="61" t="n">
        <f aca="false">IF(LEN(A211&amp;"")=0,"",IF(Base!I211="-",0,Base!I211))</f>
        <v>0</v>
      </c>
      <c r="G211" s="61" t="n">
        <f aca="false">IF(LEN(A211&amp;"")=0,"",SUM(Base!F211,F211,Base!K211))</f>
        <v>30</v>
      </c>
      <c r="H211" s="61" t="n">
        <f aca="false">IF(LEN(A211&amp;"")=0,"",Base!L211)</f>
        <v>10</v>
      </c>
      <c r="I211" s="61" t="n">
        <f aca="false">IF(LEN(A211&amp;"")=0,"",G211-H211)</f>
        <v>20</v>
      </c>
      <c r="J211" s="61" t="n">
        <f aca="false">IF(LEN(A211&amp;"")=0,"",Base!M211)</f>
        <v>20</v>
      </c>
      <c r="K211" s="1" t="n">
        <f aca="false">IF(OR(LEN(A211&amp;"")=0,$P$3=0),0,IF(AND(B211&gt;=Painel!$B$8,B211&lt;=Painel!$G$8,OR(Painel!$L$8="Todos",C211=Painel!$L$8),OR(Painel!$Q$8="Todos",D211=Painel!$Q$8),OR(Painel!$V$8="Todas",E211=Painel!$V$8)),1,0))</f>
        <v>1</v>
      </c>
      <c r="L211" s="61" t="n">
        <f aca="false">IF(LEN(A211&amp;"")=0,"",J211-I211)</f>
        <v>0</v>
      </c>
      <c r="M211" s="1" t="n">
        <f aca="false">IF(LEN(A211&amp;"")=0,0,IF(COUNTIFS(Base!$A$7:$A$1006,A211)&gt;1,1,0))</f>
        <v>0</v>
      </c>
      <c r="N211" s="1" t="n">
        <f aca="false">IF(LEN(A211&amp;"")=0,0,IF(ABS(L211)&gt;0.005,1,0))</f>
        <v>0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customFormat="false" ht="23" hidden="false" customHeight="true" outlineLevel="0" collapsed="false">
      <c r="A212" s="1" t="n">
        <f aca="false">IF(LEN(Base!A212&amp;"")=0,"",Base!A212)</f>
        <v>3436</v>
      </c>
      <c r="B212" s="60" t="n">
        <f aca="false">IF(LEN(A212&amp;"")=0,"",Base!D212)</f>
        <v>45553</v>
      </c>
      <c r="C212" s="1" t="str">
        <f aca="false">IF(LEN(A212&amp;"")=0,"",Base!C212)</f>
        <v>Core</v>
      </c>
      <c r="D212" s="1" t="str">
        <f aca="false">IF(LEN(A212&amp;"")=0,"",Base!G212)</f>
        <v>Monthly</v>
      </c>
      <c r="E212" s="1" t="str">
        <f aca="false">IF(LEN(A212&amp;"")=0,"",Base!E212)</f>
        <v>Yes</v>
      </c>
      <c r="F212" s="61" t="n">
        <f aca="false">IF(LEN(A212&amp;"")=0,"",IF(Base!I212="-",0,Base!I212))</f>
        <v>0</v>
      </c>
      <c r="G212" s="61" t="n">
        <f aca="false">IF(LEN(A212&amp;"")=0,"",SUM(Base!F212,F212,Base!K212))</f>
        <v>5</v>
      </c>
      <c r="H212" s="61" t="n">
        <f aca="false">IF(LEN(A212&amp;"")=0,"",Base!L212)</f>
        <v>0</v>
      </c>
      <c r="I212" s="61" t="n">
        <f aca="false">IF(LEN(A212&amp;"")=0,"",G212-H212)</f>
        <v>5</v>
      </c>
      <c r="J212" s="61" t="n">
        <f aca="false">IF(LEN(A212&amp;"")=0,"",Base!M212)</f>
        <v>5</v>
      </c>
      <c r="K212" s="1" t="n">
        <f aca="false">IF(OR(LEN(A212&amp;"")=0,$P$3=0),0,IF(AND(B212&gt;=Painel!$B$8,B212&lt;=Painel!$G$8,OR(Painel!$L$8="Todos",C212=Painel!$L$8),OR(Painel!$Q$8="Todos",D212=Painel!$Q$8),OR(Painel!$V$8="Todas",E212=Painel!$V$8)),1,0))</f>
        <v>1</v>
      </c>
      <c r="L212" s="61" t="n">
        <f aca="false">IF(LEN(A212&amp;"")=0,"",J212-I212)</f>
        <v>0</v>
      </c>
      <c r="M212" s="1" t="n">
        <f aca="false">IF(LEN(A212&amp;"")=0,0,IF(COUNTIFS(Base!$A$7:$A$1006,A212)&gt;1,1,0))</f>
        <v>0</v>
      </c>
      <c r="N212" s="1" t="n">
        <f aca="false">IF(LEN(A212&amp;"")=0,0,IF(ABS(L212)&gt;0.005,1,0))</f>
        <v>0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customFormat="false" ht="23" hidden="false" customHeight="true" outlineLevel="0" collapsed="false">
      <c r="A213" s="1" t="n">
        <f aca="false">IF(LEN(Base!A213&amp;"")=0,"",Base!A213)</f>
        <v>3437</v>
      </c>
      <c r="B213" s="60" t="n">
        <f aca="false">IF(LEN(A213&amp;"")=0,"",Base!D213)</f>
        <v>45554</v>
      </c>
      <c r="C213" s="1" t="str">
        <f aca="false">IF(LEN(A213&amp;"")=0,"",Base!C213)</f>
        <v>Ultimate</v>
      </c>
      <c r="D213" s="1" t="str">
        <f aca="false">IF(LEN(A213&amp;"")=0,"",Base!G213)</f>
        <v>Quarterly</v>
      </c>
      <c r="E213" s="1" t="str">
        <f aca="false">IF(LEN(A213&amp;"")=0,"",Base!E213)</f>
        <v>No</v>
      </c>
      <c r="F213" s="61" t="n">
        <f aca="false">IF(LEN(A213&amp;"")=0,"",IF(Base!I213="-",0,Base!I213))</f>
        <v>30</v>
      </c>
      <c r="G213" s="61" t="n">
        <f aca="false">IF(LEN(A213&amp;"")=0,"",SUM(Base!F213,F213,Base!K213))</f>
        <v>65</v>
      </c>
      <c r="H213" s="61" t="n">
        <f aca="false">IF(LEN(A213&amp;"")=0,"",Base!L213)</f>
        <v>7</v>
      </c>
      <c r="I213" s="61" t="n">
        <f aca="false">IF(LEN(A213&amp;"")=0,"",G213-H213)</f>
        <v>58</v>
      </c>
      <c r="J213" s="61" t="n">
        <f aca="false">IF(LEN(A213&amp;"")=0,"",Base!M213)</f>
        <v>58</v>
      </c>
      <c r="K213" s="1" t="n">
        <f aca="false">IF(OR(LEN(A213&amp;"")=0,$P$3=0),0,IF(AND(B213&gt;=Painel!$B$8,B213&lt;=Painel!$G$8,OR(Painel!$L$8="Todos",C213=Painel!$L$8),OR(Painel!$Q$8="Todos",D213=Painel!$Q$8),OR(Painel!$V$8="Todas",E213=Painel!$V$8)),1,0))</f>
        <v>1</v>
      </c>
      <c r="L213" s="61" t="n">
        <f aca="false">IF(LEN(A213&amp;"")=0,"",J213-I213)</f>
        <v>0</v>
      </c>
      <c r="M213" s="1" t="n">
        <f aca="false">IF(LEN(A213&amp;"")=0,0,IF(COUNTIFS(Base!$A$7:$A$1006,A213)&gt;1,1,0))</f>
        <v>0</v>
      </c>
      <c r="N213" s="1" t="n">
        <f aca="false">IF(LEN(A213&amp;"")=0,0,IF(ABS(L213)&gt;0.005,1,0))</f>
        <v>0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customFormat="false" ht="23" hidden="false" customHeight="true" outlineLevel="0" collapsed="false">
      <c r="A214" s="1" t="n">
        <f aca="false">IF(LEN(Base!A214&amp;"")=0,"",Base!A214)</f>
        <v>3438</v>
      </c>
      <c r="B214" s="60" t="n">
        <f aca="false">IF(LEN(A214&amp;"")=0,"",Base!D214)</f>
        <v>45555</v>
      </c>
      <c r="C214" s="1" t="str">
        <f aca="false">IF(LEN(A214&amp;"")=0,"",Base!C214)</f>
        <v>Standard</v>
      </c>
      <c r="D214" s="1" t="str">
        <f aca="false">IF(LEN(A214&amp;"")=0,"",Base!G214)</f>
        <v>Annual</v>
      </c>
      <c r="E214" s="1" t="str">
        <f aca="false">IF(LEN(A214&amp;"")=0,"",Base!E214)</f>
        <v>Yes</v>
      </c>
      <c r="F214" s="61" t="n">
        <f aca="false">IF(LEN(A214&amp;"")=0,"",IF(Base!I214="-",0,Base!I214))</f>
        <v>0</v>
      </c>
      <c r="G214" s="61" t="n">
        <f aca="false">IF(LEN(A214&amp;"")=0,"",SUM(Base!F214,F214,Base!K214))</f>
        <v>30</v>
      </c>
      <c r="H214" s="61" t="n">
        <f aca="false">IF(LEN(A214&amp;"")=0,"",Base!L214)</f>
        <v>10</v>
      </c>
      <c r="I214" s="61" t="n">
        <f aca="false">IF(LEN(A214&amp;"")=0,"",G214-H214)</f>
        <v>20</v>
      </c>
      <c r="J214" s="61" t="n">
        <f aca="false">IF(LEN(A214&amp;"")=0,"",Base!M214)</f>
        <v>20</v>
      </c>
      <c r="K214" s="1" t="n">
        <f aca="false">IF(OR(LEN(A214&amp;"")=0,$P$3=0),0,IF(AND(B214&gt;=Painel!$B$8,B214&lt;=Painel!$G$8,OR(Painel!$L$8="Todos",C214=Painel!$L$8),OR(Painel!$Q$8="Todos",D214=Painel!$Q$8),OR(Painel!$V$8="Todas",E214=Painel!$V$8)),1,0))</f>
        <v>1</v>
      </c>
      <c r="L214" s="61" t="n">
        <f aca="false">IF(LEN(A214&amp;"")=0,"",J214-I214)</f>
        <v>0</v>
      </c>
      <c r="M214" s="1" t="n">
        <f aca="false">IF(LEN(A214&amp;"")=0,0,IF(COUNTIFS(Base!$A$7:$A$1006,A214)&gt;1,1,0))</f>
        <v>0</v>
      </c>
      <c r="N214" s="1" t="n">
        <f aca="false">IF(LEN(A214&amp;"")=0,0,IF(ABS(L214)&gt;0.005,1,0))</f>
        <v>0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customFormat="false" ht="23" hidden="false" customHeight="true" outlineLevel="0" collapsed="false">
      <c r="A215" s="1" t="n">
        <f aca="false">IF(LEN(Base!A215&amp;"")=0,"",Base!A215)</f>
        <v>3439</v>
      </c>
      <c r="B215" s="60" t="n">
        <f aca="false">IF(LEN(A215&amp;"")=0,"",Base!D215)</f>
        <v>45556</v>
      </c>
      <c r="C215" s="1" t="str">
        <f aca="false">IF(LEN(A215&amp;"")=0,"",Base!C215)</f>
        <v>Core</v>
      </c>
      <c r="D215" s="1" t="str">
        <f aca="false">IF(LEN(A215&amp;"")=0,"",Base!G215)</f>
        <v>Quarterly</v>
      </c>
      <c r="E215" s="1" t="str">
        <f aca="false">IF(LEN(A215&amp;"")=0,"",Base!E215)</f>
        <v>No</v>
      </c>
      <c r="F215" s="61" t="n">
        <f aca="false">IF(LEN(A215&amp;"")=0,"",IF(Base!I215="-",0,Base!I215))</f>
        <v>0</v>
      </c>
      <c r="G215" s="61" t="n">
        <f aca="false">IF(LEN(A215&amp;"")=0,"",SUM(Base!F215,F215,Base!K215))</f>
        <v>5</v>
      </c>
      <c r="H215" s="61" t="n">
        <f aca="false">IF(LEN(A215&amp;"")=0,"",Base!L215)</f>
        <v>1</v>
      </c>
      <c r="I215" s="61" t="n">
        <f aca="false">IF(LEN(A215&amp;"")=0,"",G215-H215)</f>
        <v>4</v>
      </c>
      <c r="J215" s="61" t="n">
        <f aca="false">IF(LEN(A215&amp;"")=0,"",Base!M215)</f>
        <v>4</v>
      </c>
      <c r="K215" s="1" t="n">
        <f aca="false">IF(OR(LEN(A215&amp;"")=0,$P$3=0),0,IF(AND(B215&gt;=Painel!$B$8,B215&lt;=Painel!$G$8,OR(Painel!$L$8="Todos",C215=Painel!$L$8),OR(Painel!$Q$8="Todos",D215=Painel!$Q$8),OR(Painel!$V$8="Todas",E215=Painel!$V$8)),1,0))</f>
        <v>1</v>
      </c>
      <c r="L215" s="61" t="n">
        <f aca="false">IF(LEN(A215&amp;"")=0,"",J215-I215)</f>
        <v>0</v>
      </c>
      <c r="M215" s="1" t="n">
        <f aca="false">IF(LEN(A215&amp;"")=0,0,IF(COUNTIFS(Base!$A$7:$A$1006,A215)&gt;1,1,0))</f>
        <v>0</v>
      </c>
      <c r="N215" s="1" t="n">
        <f aca="false">IF(LEN(A215&amp;"")=0,0,IF(ABS(L215)&gt;0.005,1,0))</f>
        <v>0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customFormat="false" ht="23" hidden="false" customHeight="true" outlineLevel="0" collapsed="false">
      <c r="A216" s="1" t="n">
        <f aca="false">IF(LEN(Base!A216&amp;"")=0,"",Base!A216)</f>
        <v>3440</v>
      </c>
      <c r="B216" s="60" t="n">
        <f aca="false">IF(LEN(A216&amp;"")=0,"",Base!D216)</f>
        <v>45557</v>
      </c>
      <c r="C216" s="1" t="str">
        <f aca="false">IF(LEN(A216&amp;"")=0,"",Base!C216)</f>
        <v>Ultimate</v>
      </c>
      <c r="D216" s="1" t="str">
        <f aca="false">IF(LEN(A216&amp;"")=0,"",Base!G216)</f>
        <v>Monthly</v>
      </c>
      <c r="E216" s="1" t="str">
        <f aca="false">IF(LEN(A216&amp;"")=0,"",Base!E216)</f>
        <v>Yes</v>
      </c>
      <c r="F216" s="61" t="n">
        <f aca="false">IF(LEN(A216&amp;"")=0,"",IF(Base!I216="-",0,Base!I216))</f>
        <v>30</v>
      </c>
      <c r="G216" s="61" t="n">
        <f aca="false">IF(LEN(A216&amp;"")=0,"",SUM(Base!F216,F216,Base!K216))</f>
        <v>65</v>
      </c>
      <c r="H216" s="61" t="n">
        <f aca="false">IF(LEN(A216&amp;"")=0,"",Base!L216)</f>
        <v>15</v>
      </c>
      <c r="I216" s="61" t="n">
        <f aca="false">IF(LEN(A216&amp;"")=0,"",G216-H216)</f>
        <v>50</v>
      </c>
      <c r="J216" s="61" t="n">
        <f aca="false">IF(LEN(A216&amp;"")=0,"",Base!M216)</f>
        <v>50</v>
      </c>
      <c r="K216" s="1" t="n">
        <f aca="false">IF(OR(LEN(A216&amp;"")=0,$P$3=0),0,IF(AND(B216&gt;=Painel!$B$8,B216&lt;=Painel!$G$8,OR(Painel!$L$8="Todos",C216=Painel!$L$8),OR(Painel!$Q$8="Todos",D216=Painel!$Q$8),OR(Painel!$V$8="Todas",E216=Painel!$V$8)),1,0))</f>
        <v>1</v>
      </c>
      <c r="L216" s="61" t="n">
        <f aca="false">IF(LEN(A216&amp;"")=0,"",J216-I216)</f>
        <v>0</v>
      </c>
      <c r="M216" s="1" t="n">
        <f aca="false">IF(LEN(A216&amp;"")=0,0,IF(COUNTIFS(Base!$A$7:$A$1006,A216)&gt;1,1,0))</f>
        <v>0</v>
      </c>
      <c r="N216" s="1" t="n">
        <f aca="false">IF(LEN(A216&amp;"")=0,0,IF(ABS(L216)&gt;0.005,1,0))</f>
        <v>0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customFormat="false" ht="23" hidden="false" customHeight="true" outlineLevel="0" collapsed="false">
      <c r="A217" s="1" t="n">
        <f aca="false">IF(LEN(Base!A217&amp;"")=0,"",Base!A217)</f>
        <v>3441</v>
      </c>
      <c r="B217" s="60" t="n">
        <f aca="false">IF(LEN(A217&amp;"")=0,"",Base!D217)</f>
        <v>45558</v>
      </c>
      <c r="C217" s="1" t="str">
        <f aca="false">IF(LEN(A217&amp;"")=0,"",Base!C217)</f>
        <v>Standard</v>
      </c>
      <c r="D217" s="1" t="str">
        <f aca="false">IF(LEN(A217&amp;"")=0,"",Base!G217)</f>
        <v>Monthly</v>
      </c>
      <c r="E217" s="1" t="str">
        <f aca="false">IF(LEN(A217&amp;"")=0,"",Base!E217)</f>
        <v>No</v>
      </c>
      <c r="F217" s="61" t="n">
        <f aca="false">IF(LEN(A217&amp;"")=0,"",IF(Base!I217="-",0,Base!I217))</f>
        <v>0</v>
      </c>
      <c r="G217" s="61" t="n">
        <f aca="false">IF(LEN(A217&amp;"")=0,"",SUM(Base!F217,F217,Base!K217))</f>
        <v>30</v>
      </c>
      <c r="H217" s="61" t="n">
        <f aca="false">IF(LEN(A217&amp;"")=0,"",Base!L217)</f>
        <v>5</v>
      </c>
      <c r="I217" s="61" t="n">
        <f aca="false">IF(LEN(A217&amp;"")=0,"",G217-H217)</f>
        <v>25</v>
      </c>
      <c r="J217" s="61" t="n">
        <f aca="false">IF(LEN(A217&amp;"")=0,"",Base!M217)</f>
        <v>25</v>
      </c>
      <c r="K217" s="1" t="n">
        <f aca="false">IF(OR(LEN(A217&amp;"")=0,$P$3=0),0,IF(AND(B217&gt;=Painel!$B$8,B217&lt;=Painel!$G$8,OR(Painel!$L$8="Todos",C217=Painel!$L$8),OR(Painel!$Q$8="Todos",D217=Painel!$Q$8),OR(Painel!$V$8="Todas",E217=Painel!$V$8)),1,0))</f>
        <v>1</v>
      </c>
      <c r="L217" s="61" t="n">
        <f aca="false">IF(LEN(A217&amp;"")=0,"",J217-I217)</f>
        <v>0</v>
      </c>
      <c r="M217" s="1" t="n">
        <f aca="false">IF(LEN(A217&amp;"")=0,0,IF(COUNTIFS(Base!$A$7:$A$1006,A217)&gt;1,1,0))</f>
        <v>0</v>
      </c>
      <c r="N217" s="1" t="n">
        <f aca="false">IF(LEN(A217&amp;"")=0,0,IF(ABS(L217)&gt;0.005,1,0))</f>
        <v>0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customFormat="false" ht="23" hidden="false" customHeight="true" outlineLevel="0" collapsed="false">
      <c r="A218" s="1" t="n">
        <f aca="false">IF(LEN(Base!A218&amp;"")=0,"",Base!A218)</f>
        <v>3442</v>
      </c>
      <c r="B218" s="60" t="n">
        <f aca="false">IF(LEN(A218&amp;"")=0,"",Base!D218)</f>
        <v>45559</v>
      </c>
      <c r="C218" s="1" t="str">
        <f aca="false">IF(LEN(A218&amp;"")=0,"",Base!C218)</f>
        <v>Core</v>
      </c>
      <c r="D218" s="1" t="str">
        <f aca="false">IF(LEN(A218&amp;"")=0,"",Base!G218)</f>
        <v>Annual</v>
      </c>
      <c r="E218" s="1" t="str">
        <f aca="false">IF(LEN(A218&amp;"")=0,"",Base!E218)</f>
        <v>Yes</v>
      </c>
      <c r="F218" s="61" t="n">
        <f aca="false">IF(LEN(A218&amp;"")=0,"",IF(Base!I218="-",0,Base!I218))</f>
        <v>0</v>
      </c>
      <c r="G218" s="61" t="n">
        <f aca="false">IF(LEN(A218&amp;"")=0,"",SUM(Base!F218,F218,Base!K218))</f>
        <v>5</v>
      </c>
      <c r="H218" s="61" t="n">
        <f aca="false">IF(LEN(A218&amp;"")=0,"",Base!L218)</f>
        <v>0</v>
      </c>
      <c r="I218" s="61" t="n">
        <f aca="false">IF(LEN(A218&amp;"")=0,"",G218-H218)</f>
        <v>5</v>
      </c>
      <c r="J218" s="61" t="n">
        <f aca="false">IF(LEN(A218&amp;"")=0,"",Base!M218)</f>
        <v>5</v>
      </c>
      <c r="K218" s="1" t="n">
        <f aca="false">IF(OR(LEN(A218&amp;"")=0,$P$3=0),0,IF(AND(B218&gt;=Painel!$B$8,B218&lt;=Painel!$G$8,OR(Painel!$L$8="Todos",C218=Painel!$L$8),OR(Painel!$Q$8="Todos",D218=Painel!$Q$8),OR(Painel!$V$8="Todas",E218=Painel!$V$8)),1,0))</f>
        <v>1</v>
      </c>
      <c r="L218" s="61" t="n">
        <f aca="false">IF(LEN(A218&amp;"")=0,"",J218-I218)</f>
        <v>0</v>
      </c>
      <c r="M218" s="1" t="n">
        <f aca="false">IF(LEN(A218&amp;"")=0,0,IF(COUNTIFS(Base!$A$7:$A$1006,A218)&gt;1,1,0))</f>
        <v>0</v>
      </c>
      <c r="N218" s="1" t="n">
        <f aca="false">IF(LEN(A218&amp;"")=0,0,IF(ABS(L218)&gt;0.005,1,0))</f>
        <v>0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customFormat="false" ht="23" hidden="false" customHeight="true" outlineLevel="0" collapsed="false">
      <c r="A219" s="1" t="n">
        <f aca="false">IF(LEN(Base!A219&amp;"")=0,"",Base!A219)</f>
        <v>3443</v>
      </c>
      <c r="B219" s="60" t="n">
        <f aca="false">IF(LEN(A219&amp;"")=0,"",Base!D219)</f>
        <v>45560</v>
      </c>
      <c r="C219" s="1" t="str">
        <f aca="false">IF(LEN(A219&amp;"")=0,"",Base!C219)</f>
        <v>Ultimate</v>
      </c>
      <c r="D219" s="1" t="str">
        <f aca="false">IF(LEN(A219&amp;"")=0,"",Base!G219)</f>
        <v>Quarterly</v>
      </c>
      <c r="E219" s="1" t="str">
        <f aca="false">IF(LEN(A219&amp;"")=0,"",Base!E219)</f>
        <v>No</v>
      </c>
      <c r="F219" s="61" t="n">
        <f aca="false">IF(LEN(A219&amp;"")=0,"",IF(Base!I219="-",0,Base!I219))</f>
        <v>30</v>
      </c>
      <c r="G219" s="61" t="n">
        <f aca="false">IF(LEN(A219&amp;"")=0,"",SUM(Base!F219,F219,Base!K219))</f>
        <v>65</v>
      </c>
      <c r="H219" s="61" t="n">
        <f aca="false">IF(LEN(A219&amp;"")=0,"",Base!L219)</f>
        <v>20</v>
      </c>
      <c r="I219" s="61" t="n">
        <f aca="false">IF(LEN(A219&amp;"")=0,"",G219-H219)</f>
        <v>45</v>
      </c>
      <c r="J219" s="61" t="n">
        <f aca="false">IF(LEN(A219&amp;"")=0,"",Base!M219)</f>
        <v>45</v>
      </c>
      <c r="K219" s="1" t="n">
        <f aca="false">IF(OR(LEN(A219&amp;"")=0,$P$3=0),0,IF(AND(B219&gt;=Painel!$B$8,B219&lt;=Painel!$G$8,OR(Painel!$L$8="Todos",C219=Painel!$L$8),OR(Painel!$Q$8="Todos",D219=Painel!$Q$8),OR(Painel!$V$8="Todas",E219=Painel!$V$8)),1,0))</f>
        <v>1</v>
      </c>
      <c r="L219" s="61" t="n">
        <f aca="false">IF(LEN(A219&amp;"")=0,"",J219-I219)</f>
        <v>0</v>
      </c>
      <c r="M219" s="1" t="n">
        <f aca="false">IF(LEN(A219&amp;"")=0,0,IF(COUNTIFS(Base!$A$7:$A$1006,A219)&gt;1,1,0))</f>
        <v>0</v>
      </c>
      <c r="N219" s="1" t="n">
        <f aca="false">IF(LEN(A219&amp;"")=0,0,IF(ABS(L219)&gt;0.005,1,0))</f>
        <v>0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customFormat="false" ht="23" hidden="false" customHeight="true" outlineLevel="0" collapsed="false">
      <c r="A220" s="1" t="n">
        <f aca="false">IF(LEN(Base!A220&amp;"")=0,"",Base!A220)</f>
        <v>3444</v>
      </c>
      <c r="B220" s="60" t="n">
        <f aca="false">IF(LEN(A220&amp;"")=0,"",Base!D220)</f>
        <v>45561</v>
      </c>
      <c r="C220" s="1" t="str">
        <f aca="false">IF(LEN(A220&amp;"")=0,"",Base!C220)</f>
        <v>Standard</v>
      </c>
      <c r="D220" s="1" t="str">
        <f aca="false">IF(LEN(A220&amp;"")=0,"",Base!G220)</f>
        <v>Quarterly</v>
      </c>
      <c r="E220" s="1" t="str">
        <f aca="false">IF(LEN(A220&amp;"")=0,"",Base!E220)</f>
        <v>Yes</v>
      </c>
      <c r="F220" s="61" t="n">
        <f aca="false">IF(LEN(A220&amp;"")=0,"",IF(Base!I220="-",0,Base!I220))</f>
        <v>0</v>
      </c>
      <c r="G220" s="61" t="n">
        <f aca="false">IF(LEN(A220&amp;"")=0,"",SUM(Base!F220,F220,Base!K220))</f>
        <v>30</v>
      </c>
      <c r="H220" s="61" t="n">
        <f aca="false">IF(LEN(A220&amp;"")=0,"",Base!L220)</f>
        <v>12</v>
      </c>
      <c r="I220" s="61" t="n">
        <f aca="false">IF(LEN(A220&amp;"")=0,"",G220-H220)</f>
        <v>18</v>
      </c>
      <c r="J220" s="61" t="n">
        <f aca="false">IF(LEN(A220&amp;"")=0,"",Base!M220)</f>
        <v>18</v>
      </c>
      <c r="K220" s="1" t="n">
        <f aca="false">IF(OR(LEN(A220&amp;"")=0,$P$3=0),0,IF(AND(B220&gt;=Painel!$B$8,B220&lt;=Painel!$G$8,OR(Painel!$L$8="Todos",C220=Painel!$L$8),OR(Painel!$Q$8="Todos",D220=Painel!$Q$8),OR(Painel!$V$8="Todas",E220=Painel!$V$8)),1,0))</f>
        <v>1</v>
      </c>
      <c r="L220" s="61" t="n">
        <f aca="false">IF(LEN(A220&amp;"")=0,"",J220-I220)</f>
        <v>0</v>
      </c>
      <c r="M220" s="1" t="n">
        <f aca="false">IF(LEN(A220&amp;"")=0,0,IF(COUNTIFS(Base!$A$7:$A$1006,A220)&gt;1,1,0))</f>
        <v>0</v>
      </c>
      <c r="N220" s="1" t="n">
        <f aca="false">IF(LEN(A220&amp;"")=0,0,IF(ABS(L220)&gt;0.005,1,0))</f>
        <v>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customFormat="false" ht="23" hidden="false" customHeight="true" outlineLevel="0" collapsed="false">
      <c r="A221" s="1" t="n">
        <f aca="false">IF(LEN(Base!A221&amp;"")=0,"",Base!A221)</f>
        <v>3445</v>
      </c>
      <c r="B221" s="60" t="n">
        <f aca="false">IF(LEN(A221&amp;"")=0,"",Base!D221)</f>
        <v>45562</v>
      </c>
      <c r="C221" s="1" t="str">
        <f aca="false">IF(LEN(A221&amp;"")=0,"",Base!C221)</f>
        <v>Core</v>
      </c>
      <c r="D221" s="1" t="str">
        <f aca="false">IF(LEN(A221&amp;"")=0,"",Base!G221)</f>
        <v>Monthly</v>
      </c>
      <c r="E221" s="1" t="str">
        <f aca="false">IF(LEN(A221&amp;"")=0,"",Base!E221)</f>
        <v>No</v>
      </c>
      <c r="F221" s="61" t="n">
        <f aca="false">IF(LEN(A221&amp;"")=0,"",IF(Base!I221="-",0,Base!I221))</f>
        <v>0</v>
      </c>
      <c r="G221" s="61" t="n">
        <f aca="false">IF(LEN(A221&amp;"")=0,"",SUM(Base!F221,F221,Base!K221))</f>
        <v>5</v>
      </c>
      <c r="H221" s="61" t="n">
        <f aca="false">IF(LEN(A221&amp;"")=0,"",Base!L221)</f>
        <v>2</v>
      </c>
      <c r="I221" s="61" t="n">
        <f aca="false">IF(LEN(A221&amp;"")=0,"",G221-H221)</f>
        <v>3</v>
      </c>
      <c r="J221" s="61" t="n">
        <f aca="false">IF(LEN(A221&amp;"")=0,"",Base!M221)</f>
        <v>3</v>
      </c>
      <c r="K221" s="1" t="n">
        <f aca="false">IF(OR(LEN(A221&amp;"")=0,$P$3=0),0,IF(AND(B221&gt;=Painel!$B$8,B221&lt;=Painel!$G$8,OR(Painel!$L$8="Todos",C221=Painel!$L$8),OR(Painel!$Q$8="Todos",D221=Painel!$Q$8),OR(Painel!$V$8="Todas",E221=Painel!$V$8)),1,0))</f>
        <v>1</v>
      </c>
      <c r="L221" s="61" t="n">
        <f aca="false">IF(LEN(A221&amp;"")=0,"",J221-I221)</f>
        <v>0</v>
      </c>
      <c r="M221" s="1" t="n">
        <f aca="false">IF(LEN(A221&amp;"")=0,0,IF(COUNTIFS(Base!$A$7:$A$1006,A221)&gt;1,1,0))</f>
        <v>0</v>
      </c>
      <c r="N221" s="1" t="n">
        <f aca="false">IF(LEN(A221&amp;"")=0,0,IF(ABS(L221)&gt;0.005,1,0))</f>
        <v>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customFormat="false" ht="23" hidden="false" customHeight="true" outlineLevel="0" collapsed="false">
      <c r="A222" s="1" t="n">
        <f aca="false">IF(LEN(Base!A222&amp;"")=0,"",Base!A222)</f>
        <v>3446</v>
      </c>
      <c r="B222" s="60" t="n">
        <f aca="false">IF(LEN(A222&amp;"")=0,"",Base!D222)</f>
        <v>45563</v>
      </c>
      <c r="C222" s="1" t="str">
        <f aca="false">IF(LEN(A222&amp;"")=0,"",Base!C222)</f>
        <v>Ultimate</v>
      </c>
      <c r="D222" s="1" t="str">
        <f aca="false">IF(LEN(A222&amp;"")=0,"",Base!G222)</f>
        <v>Annual</v>
      </c>
      <c r="E222" s="1" t="str">
        <f aca="false">IF(LEN(A222&amp;"")=0,"",Base!E222)</f>
        <v>Yes</v>
      </c>
      <c r="F222" s="61" t="n">
        <f aca="false">IF(LEN(A222&amp;"")=0,"",IF(Base!I222="-",0,Base!I222))</f>
        <v>30</v>
      </c>
      <c r="G222" s="61" t="n">
        <f aca="false">IF(LEN(A222&amp;"")=0,"",SUM(Base!F222,F222,Base!K222))</f>
        <v>65</v>
      </c>
      <c r="H222" s="61" t="n">
        <f aca="false">IF(LEN(A222&amp;"")=0,"",Base!L222)</f>
        <v>5</v>
      </c>
      <c r="I222" s="61" t="n">
        <f aca="false">IF(LEN(A222&amp;"")=0,"",G222-H222)</f>
        <v>60</v>
      </c>
      <c r="J222" s="61" t="n">
        <f aca="false">IF(LEN(A222&amp;"")=0,"",Base!M222)</f>
        <v>60</v>
      </c>
      <c r="K222" s="1" t="n">
        <f aca="false">IF(OR(LEN(A222&amp;"")=0,$P$3=0),0,IF(AND(B222&gt;=Painel!$B$8,B222&lt;=Painel!$G$8,OR(Painel!$L$8="Todos",C222=Painel!$L$8),OR(Painel!$Q$8="Todos",D222=Painel!$Q$8),OR(Painel!$V$8="Todas",E222=Painel!$V$8)),1,0))</f>
        <v>1</v>
      </c>
      <c r="L222" s="61" t="n">
        <f aca="false">IF(LEN(A222&amp;"")=0,"",J222-I222)</f>
        <v>0</v>
      </c>
      <c r="M222" s="1" t="n">
        <f aca="false">IF(LEN(A222&amp;"")=0,0,IF(COUNTIFS(Base!$A$7:$A$1006,A222)&gt;1,1,0))</f>
        <v>0</v>
      </c>
      <c r="N222" s="1" t="n">
        <f aca="false">IF(LEN(A222&amp;"")=0,0,IF(ABS(L222)&gt;0.005,1,0))</f>
        <v>0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customFormat="false" ht="23" hidden="false" customHeight="true" outlineLevel="0" collapsed="false">
      <c r="A223" s="1" t="n">
        <f aca="false">IF(LEN(Base!A223&amp;"")=0,"",Base!A223)</f>
        <v>3447</v>
      </c>
      <c r="B223" s="60" t="n">
        <f aca="false">IF(LEN(A223&amp;"")=0,"",Base!D223)</f>
        <v>45564</v>
      </c>
      <c r="C223" s="1" t="str">
        <f aca="false">IF(LEN(A223&amp;"")=0,"",Base!C223)</f>
        <v>Standard</v>
      </c>
      <c r="D223" s="1" t="str">
        <f aca="false">IF(LEN(A223&amp;"")=0,"",Base!G223)</f>
        <v>Monthly</v>
      </c>
      <c r="E223" s="1" t="str">
        <f aca="false">IF(LEN(A223&amp;"")=0,"",Base!E223)</f>
        <v>No</v>
      </c>
      <c r="F223" s="61" t="n">
        <f aca="false">IF(LEN(A223&amp;"")=0,"",IF(Base!I223="-",0,Base!I223))</f>
        <v>0</v>
      </c>
      <c r="G223" s="61" t="n">
        <f aca="false">IF(LEN(A223&amp;"")=0,"",SUM(Base!F223,F223,Base!K223))</f>
        <v>30</v>
      </c>
      <c r="H223" s="61" t="n">
        <f aca="false">IF(LEN(A223&amp;"")=0,"",Base!L223)</f>
        <v>10</v>
      </c>
      <c r="I223" s="61" t="n">
        <f aca="false">IF(LEN(A223&amp;"")=0,"",G223-H223)</f>
        <v>20</v>
      </c>
      <c r="J223" s="61" t="n">
        <f aca="false">IF(LEN(A223&amp;"")=0,"",Base!M223)</f>
        <v>20</v>
      </c>
      <c r="K223" s="1" t="n">
        <f aca="false">IF(OR(LEN(A223&amp;"")=0,$P$3=0),0,IF(AND(B223&gt;=Painel!$B$8,B223&lt;=Painel!$G$8,OR(Painel!$L$8="Todos",C223=Painel!$L$8),OR(Painel!$Q$8="Todos",D223=Painel!$Q$8),OR(Painel!$V$8="Todas",E223=Painel!$V$8)),1,0))</f>
        <v>1</v>
      </c>
      <c r="L223" s="61" t="n">
        <f aca="false">IF(LEN(A223&amp;"")=0,"",J223-I223)</f>
        <v>0</v>
      </c>
      <c r="M223" s="1" t="n">
        <f aca="false">IF(LEN(A223&amp;"")=0,0,IF(COUNTIFS(Base!$A$7:$A$1006,A223)&gt;1,1,0))</f>
        <v>0</v>
      </c>
      <c r="N223" s="1" t="n">
        <f aca="false">IF(LEN(A223&amp;"")=0,0,IF(ABS(L223)&gt;0.005,1,0))</f>
        <v>0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customFormat="false" ht="23" hidden="false" customHeight="true" outlineLevel="0" collapsed="false">
      <c r="A224" s="1" t="n">
        <f aca="false">IF(LEN(Base!A224&amp;"")=0,"",Base!A224)</f>
        <v>3448</v>
      </c>
      <c r="B224" s="60" t="n">
        <f aca="false">IF(LEN(A224&amp;"")=0,"",Base!D224)</f>
        <v>45565</v>
      </c>
      <c r="C224" s="1" t="str">
        <f aca="false">IF(LEN(A224&amp;"")=0,"",Base!C224)</f>
        <v>Core</v>
      </c>
      <c r="D224" s="1" t="str">
        <f aca="false">IF(LEN(A224&amp;"")=0,"",Base!G224)</f>
        <v>Quarterly</v>
      </c>
      <c r="E224" s="1" t="str">
        <f aca="false">IF(LEN(A224&amp;"")=0,"",Base!E224)</f>
        <v>Yes</v>
      </c>
      <c r="F224" s="61" t="n">
        <f aca="false">IF(LEN(A224&amp;"")=0,"",IF(Base!I224="-",0,Base!I224))</f>
        <v>0</v>
      </c>
      <c r="G224" s="61" t="n">
        <f aca="false">IF(LEN(A224&amp;"")=0,"",SUM(Base!F224,F224,Base!K224))</f>
        <v>5</v>
      </c>
      <c r="H224" s="61" t="n">
        <f aca="false">IF(LEN(A224&amp;"")=0,"",Base!L224)</f>
        <v>0</v>
      </c>
      <c r="I224" s="61" t="n">
        <f aca="false">IF(LEN(A224&amp;"")=0,"",G224-H224)</f>
        <v>5</v>
      </c>
      <c r="J224" s="61" t="n">
        <f aca="false">IF(LEN(A224&amp;"")=0,"",Base!M224)</f>
        <v>5</v>
      </c>
      <c r="K224" s="1" t="n">
        <f aca="false">IF(OR(LEN(A224&amp;"")=0,$P$3=0),0,IF(AND(B224&gt;=Painel!$B$8,B224&lt;=Painel!$G$8,OR(Painel!$L$8="Todos",C224=Painel!$L$8),OR(Painel!$Q$8="Todos",D224=Painel!$Q$8),OR(Painel!$V$8="Todas",E224=Painel!$V$8)),1,0))</f>
        <v>1</v>
      </c>
      <c r="L224" s="61" t="n">
        <f aca="false">IF(LEN(A224&amp;"")=0,"",J224-I224)</f>
        <v>0</v>
      </c>
      <c r="M224" s="1" t="n">
        <f aca="false">IF(LEN(A224&amp;"")=0,0,IF(COUNTIFS(Base!$A$7:$A$1006,A224)&gt;1,1,0))</f>
        <v>0</v>
      </c>
      <c r="N224" s="1" t="n">
        <f aca="false">IF(LEN(A224&amp;"")=0,0,IF(ABS(L224)&gt;0.005,1,0))</f>
        <v>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customFormat="false" ht="23" hidden="false" customHeight="true" outlineLevel="0" collapsed="false">
      <c r="A225" s="1" t="n">
        <f aca="false">IF(LEN(Base!A225&amp;"")=0,"",Base!A225)</f>
        <v>3449</v>
      </c>
      <c r="B225" s="60" t="n">
        <f aca="false">IF(LEN(A225&amp;"")=0,"",Base!D225)</f>
        <v>45566</v>
      </c>
      <c r="C225" s="1" t="str">
        <f aca="false">IF(LEN(A225&amp;"")=0,"",Base!C225)</f>
        <v>Ultimate</v>
      </c>
      <c r="D225" s="1" t="str">
        <f aca="false">IF(LEN(A225&amp;"")=0,"",Base!G225)</f>
        <v>Monthly</v>
      </c>
      <c r="E225" s="1" t="str">
        <f aca="false">IF(LEN(A225&amp;"")=0,"",Base!E225)</f>
        <v>No</v>
      </c>
      <c r="F225" s="61" t="n">
        <f aca="false">IF(LEN(A225&amp;"")=0,"",IF(Base!I225="-",0,Base!I225))</f>
        <v>30</v>
      </c>
      <c r="G225" s="61" t="n">
        <f aca="false">IF(LEN(A225&amp;"")=0,"",SUM(Base!F225,F225,Base!K225))</f>
        <v>65</v>
      </c>
      <c r="H225" s="61" t="n">
        <f aca="false">IF(LEN(A225&amp;"")=0,"",Base!L225)</f>
        <v>3</v>
      </c>
      <c r="I225" s="61" t="n">
        <f aca="false">IF(LEN(A225&amp;"")=0,"",G225-H225)</f>
        <v>62</v>
      </c>
      <c r="J225" s="61" t="n">
        <f aca="false">IF(LEN(A225&amp;"")=0,"",Base!M225)</f>
        <v>62</v>
      </c>
      <c r="K225" s="1" t="n">
        <f aca="false">IF(OR(LEN(A225&amp;"")=0,$P$3=0),0,IF(AND(B225&gt;=Painel!$B$8,B225&lt;=Painel!$G$8,OR(Painel!$L$8="Todos",C225=Painel!$L$8),OR(Painel!$Q$8="Todos",D225=Painel!$Q$8),OR(Painel!$V$8="Todas",E225=Painel!$V$8)),1,0))</f>
        <v>1</v>
      </c>
      <c r="L225" s="61" t="n">
        <f aca="false">IF(LEN(A225&amp;"")=0,"",J225-I225)</f>
        <v>0</v>
      </c>
      <c r="M225" s="1" t="n">
        <f aca="false">IF(LEN(A225&amp;"")=0,0,IF(COUNTIFS(Base!$A$7:$A$1006,A225)&gt;1,1,0))</f>
        <v>0</v>
      </c>
      <c r="N225" s="1" t="n">
        <f aca="false">IF(LEN(A225&amp;"")=0,0,IF(ABS(L225)&gt;0.005,1,0))</f>
        <v>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customFormat="false" ht="23" hidden="false" customHeight="true" outlineLevel="0" collapsed="false">
      <c r="A226" s="1" t="n">
        <f aca="false">IF(LEN(Base!A226&amp;"")=0,"",Base!A226)</f>
        <v>3450</v>
      </c>
      <c r="B226" s="60" t="n">
        <f aca="false">IF(LEN(A226&amp;"")=0,"",Base!D226)</f>
        <v>45567</v>
      </c>
      <c r="C226" s="1" t="str">
        <f aca="false">IF(LEN(A226&amp;"")=0,"",Base!C226)</f>
        <v>Standard</v>
      </c>
      <c r="D226" s="1" t="str">
        <f aca="false">IF(LEN(A226&amp;"")=0,"",Base!G226)</f>
        <v>Annual</v>
      </c>
      <c r="E226" s="1" t="str">
        <f aca="false">IF(LEN(A226&amp;"")=0,"",Base!E226)</f>
        <v>Yes</v>
      </c>
      <c r="F226" s="61" t="n">
        <f aca="false">IF(LEN(A226&amp;"")=0,"",IF(Base!I226="-",0,Base!I226))</f>
        <v>0</v>
      </c>
      <c r="G226" s="61" t="n">
        <f aca="false">IF(LEN(A226&amp;"")=0,"",SUM(Base!F226,F226,Base!K226))</f>
        <v>30</v>
      </c>
      <c r="H226" s="61" t="n">
        <f aca="false">IF(LEN(A226&amp;"")=0,"",Base!L226)</f>
        <v>15</v>
      </c>
      <c r="I226" s="61" t="n">
        <f aca="false">IF(LEN(A226&amp;"")=0,"",G226-H226)</f>
        <v>15</v>
      </c>
      <c r="J226" s="61" t="n">
        <f aca="false">IF(LEN(A226&amp;"")=0,"",Base!M226)</f>
        <v>15</v>
      </c>
      <c r="K226" s="1" t="n">
        <f aca="false">IF(OR(LEN(A226&amp;"")=0,$P$3=0),0,IF(AND(B226&gt;=Painel!$B$8,B226&lt;=Painel!$G$8,OR(Painel!$L$8="Todos",C226=Painel!$L$8),OR(Painel!$Q$8="Todos",D226=Painel!$Q$8),OR(Painel!$V$8="Todas",E226=Painel!$V$8)),1,0))</f>
        <v>1</v>
      </c>
      <c r="L226" s="61" t="n">
        <f aca="false">IF(LEN(A226&amp;"")=0,"",J226-I226)</f>
        <v>0</v>
      </c>
      <c r="M226" s="1" t="n">
        <f aca="false">IF(LEN(A226&amp;"")=0,0,IF(COUNTIFS(Base!$A$7:$A$1006,A226)&gt;1,1,0))</f>
        <v>0</v>
      </c>
      <c r="N226" s="1" t="n">
        <f aca="false">IF(LEN(A226&amp;"")=0,0,IF(ABS(L226)&gt;0.005,1,0))</f>
        <v>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customFormat="false" ht="23" hidden="false" customHeight="true" outlineLevel="0" collapsed="false">
      <c r="A227" s="1" t="n">
        <f aca="false">IF(LEN(Base!A227&amp;"")=0,"",Base!A227)</f>
        <v>3451</v>
      </c>
      <c r="B227" s="60" t="n">
        <f aca="false">IF(LEN(A227&amp;"")=0,"",Base!D227)</f>
        <v>45568</v>
      </c>
      <c r="C227" s="1" t="str">
        <f aca="false">IF(LEN(A227&amp;"")=0,"",Base!C227)</f>
        <v>Core</v>
      </c>
      <c r="D227" s="1" t="str">
        <f aca="false">IF(LEN(A227&amp;"")=0,"",Base!G227)</f>
        <v>Monthly</v>
      </c>
      <c r="E227" s="1" t="str">
        <f aca="false">IF(LEN(A227&amp;"")=0,"",Base!E227)</f>
        <v>No</v>
      </c>
      <c r="F227" s="61" t="n">
        <f aca="false">IF(LEN(A227&amp;"")=0,"",IF(Base!I227="-",0,Base!I227))</f>
        <v>0</v>
      </c>
      <c r="G227" s="61" t="n">
        <f aca="false">IF(LEN(A227&amp;"")=0,"",SUM(Base!F227,F227,Base!K227))</f>
        <v>5</v>
      </c>
      <c r="H227" s="61" t="n">
        <f aca="false">IF(LEN(A227&amp;"")=0,"",Base!L227)</f>
        <v>1</v>
      </c>
      <c r="I227" s="61" t="n">
        <f aca="false">IF(LEN(A227&amp;"")=0,"",G227-H227)</f>
        <v>4</v>
      </c>
      <c r="J227" s="61" t="n">
        <f aca="false">IF(LEN(A227&amp;"")=0,"",Base!M227)</f>
        <v>4</v>
      </c>
      <c r="K227" s="1" t="n">
        <f aca="false">IF(OR(LEN(A227&amp;"")=0,$P$3=0),0,IF(AND(B227&gt;=Painel!$B$8,B227&lt;=Painel!$G$8,OR(Painel!$L$8="Todos",C227=Painel!$L$8),OR(Painel!$Q$8="Todos",D227=Painel!$Q$8),OR(Painel!$V$8="Todas",E227=Painel!$V$8)),1,0))</f>
        <v>1</v>
      </c>
      <c r="L227" s="61" t="n">
        <f aca="false">IF(LEN(A227&amp;"")=0,"",J227-I227)</f>
        <v>0</v>
      </c>
      <c r="M227" s="1" t="n">
        <f aca="false">IF(LEN(A227&amp;"")=0,0,IF(COUNTIFS(Base!$A$7:$A$1006,A227)&gt;1,1,0))</f>
        <v>0</v>
      </c>
      <c r="N227" s="1" t="n">
        <f aca="false">IF(LEN(A227&amp;"")=0,0,IF(ABS(L227)&gt;0.005,1,0))</f>
        <v>0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customFormat="false" ht="23" hidden="false" customHeight="true" outlineLevel="0" collapsed="false">
      <c r="A228" s="1" t="n">
        <f aca="false">IF(LEN(Base!A228&amp;"")=0,"",Base!A228)</f>
        <v>3452</v>
      </c>
      <c r="B228" s="60" t="n">
        <f aca="false">IF(LEN(A228&amp;"")=0,"",Base!D228)</f>
        <v>45569</v>
      </c>
      <c r="C228" s="1" t="str">
        <f aca="false">IF(LEN(A228&amp;"")=0,"",Base!C228)</f>
        <v>Ultimate</v>
      </c>
      <c r="D228" s="1" t="str">
        <f aca="false">IF(LEN(A228&amp;"")=0,"",Base!G228)</f>
        <v>Quarterly</v>
      </c>
      <c r="E228" s="1" t="str">
        <f aca="false">IF(LEN(A228&amp;"")=0,"",Base!E228)</f>
        <v>Yes</v>
      </c>
      <c r="F228" s="61" t="n">
        <f aca="false">IF(LEN(A228&amp;"")=0,"",IF(Base!I228="-",0,Base!I228))</f>
        <v>30</v>
      </c>
      <c r="G228" s="61" t="n">
        <f aca="false">IF(LEN(A228&amp;"")=0,"",SUM(Base!F228,F228,Base!K228))</f>
        <v>65</v>
      </c>
      <c r="H228" s="61" t="n">
        <f aca="false">IF(LEN(A228&amp;"")=0,"",Base!L228)</f>
        <v>7</v>
      </c>
      <c r="I228" s="61" t="n">
        <f aca="false">IF(LEN(A228&amp;"")=0,"",G228-H228)</f>
        <v>58</v>
      </c>
      <c r="J228" s="61" t="n">
        <f aca="false">IF(LEN(A228&amp;"")=0,"",Base!M228)</f>
        <v>58</v>
      </c>
      <c r="K228" s="1" t="n">
        <f aca="false">IF(OR(LEN(A228&amp;"")=0,$P$3=0),0,IF(AND(B228&gt;=Painel!$B$8,B228&lt;=Painel!$G$8,OR(Painel!$L$8="Todos",C228=Painel!$L$8),OR(Painel!$Q$8="Todos",D228=Painel!$Q$8),OR(Painel!$V$8="Todas",E228=Painel!$V$8)),1,0))</f>
        <v>1</v>
      </c>
      <c r="L228" s="61" t="n">
        <f aca="false">IF(LEN(A228&amp;"")=0,"",J228-I228)</f>
        <v>0</v>
      </c>
      <c r="M228" s="1" t="n">
        <f aca="false">IF(LEN(A228&amp;"")=0,0,IF(COUNTIFS(Base!$A$7:$A$1006,A228)&gt;1,1,0))</f>
        <v>0</v>
      </c>
      <c r="N228" s="1" t="n">
        <f aca="false">IF(LEN(A228&amp;"")=0,0,IF(ABS(L228)&gt;0.005,1,0))</f>
        <v>0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customFormat="false" ht="23" hidden="false" customHeight="true" outlineLevel="0" collapsed="false">
      <c r="A229" s="1" t="n">
        <f aca="false">IF(LEN(Base!A229&amp;"")=0,"",Base!A229)</f>
        <v>3453</v>
      </c>
      <c r="B229" s="60" t="n">
        <f aca="false">IF(LEN(A229&amp;"")=0,"",Base!D229)</f>
        <v>45570</v>
      </c>
      <c r="C229" s="1" t="str">
        <f aca="false">IF(LEN(A229&amp;"")=0,"",Base!C229)</f>
        <v>Standard</v>
      </c>
      <c r="D229" s="1" t="str">
        <f aca="false">IF(LEN(A229&amp;"")=0,"",Base!G229)</f>
        <v>Monthly</v>
      </c>
      <c r="E229" s="1" t="str">
        <f aca="false">IF(LEN(A229&amp;"")=0,"",Base!E229)</f>
        <v>No</v>
      </c>
      <c r="F229" s="61" t="n">
        <f aca="false">IF(LEN(A229&amp;"")=0,"",IF(Base!I229="-",0,Base!I229))</f>
        <v>0</v>
      </c>
      <c r="G229" s="61" t="n">
        <f aca="false">IF(LEN(A229&amp;"")=0,"",SUM(Base!F229,F229,Base!K229))</f>
        <v>30</v>
      </c>
      <c r="H229" s="61" t="n">
        <f aca="false">IF(LEN(A229&amp;"")=0,"",Base!L229)</f>
        <v>10</v>
      </c>
      <c r="I229" s="61" t="n">
        <f aca="false">IF(LEN(A229&amp;"")=0,"",G229-H229)</f>
        <v>20</v>
      </c>
      <c r="J229" s="61" t="n">
        <f aca="false">IF(LEN(A229&amp;"")=0,"",Base!M229)</f>
        <v>20</v>
      </c>
      <c r="K229" s="1" t="n">
        <f aca="false">IF(OR(LEN(A229&amp;"")=0,$P$3=0),0,IF(AND(B229&gt;=Painel!$B$8,B229&lt;=Painel!$G$8,OR(Painel!$L$8="Todos",C229=Painel!$L$8),OR(Painel!$Q$8="Todos",D229=Painel!$Q$8),OR(Painel!$V$8="Todas",E229=Painel!$V$8)),1,0))</f>
        <v>1</v>
      </c>
      <c r="L229" s="61" t="n">
        <f aca="false">IF(LEN(A229&amp;"")=0,"",J229-I229)</f>
        <v>0</v>
      </c>
      <c r="M229" s="1" t="n">
        <f aca="false">IF(LEN(A229&amp;"")=0,0,IF(COUNTIFS(Base!$A$7:$A$1006,A229)&gt;1,1,0))</f>
        <v>0</v>
      </c>
      <c r="N229" s="1" t="n">
        <f aca="false">IF(LEN(A229&amp;"")=0,0,IF(ABS(L229)&gt;0.005,1,0))</f>
        <v>0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customFormat="false" ht="23" hidden="false" customHeight="true" outlineLevel="0" collapsed="false">
      <c r="A230" s="1" t="n">
        <f aca="false">IF(LEN(Base!A230&amp;"")=0,"",Base!A230)</f>
        <v>3454</v>
      </c>
      <c r="B230" s="60" t="n">
        <f aca="false">IF(LEN(A230&amp;"")=0,"",Base!D230)</f>
        <v>45571</v>
      </c>
      <c r="C230" s="1" t="str">
        <f aca="false">IF(LEN(A230&amp;"")=0,"",Base!C230)</f>
        <v>Core</v>
      </c>
      <c r="D230" s="1" t="str">
        <f aca="false">IF(LEN(A230&amp;"")=0,"",Base!G230)</f>
        <v>Annual</v>
      </c>
      <c r="E230" s="1" t="str">
        <f aca="false">IF(LEN(A230&amp;"")=0,"",Base!E230)</f>
        <v>Yes</v>
      </c>
      <c r="F230" s="61" t="n">
        <f aca="false">IF(LEN(A230&amp;"")=0,"",IF(Base!I230="-",0,Base!I230))</f>
        <v>0</v>
      </c>
      <c r="G230" s="61" t="n">
        <f aca="false">IF(LEN(A230&amp;"")=0,"",SUM(Base!F230,F230,Base!K230))</f>
        <v>5</v>
      </c>
      <c r="H230" s="61" t="n">
        <f aca="false">IF(LEN(A230&amp;"")=0,"",Base!L230)</f>
        <v>0</v>
      </c>
      <c r="I230" s="61" t="n">
        <f aca="false">IF(LEN(A230&amp;"")=0,"",G230-H230)</f>
        <v>5</v>
      </c>
      <c r="J230" s="61" t="n">
        <f aca="false">IF(LEN(A230&amp;"")=0,"",Base!M230)</f>
        <v>5</v>
      </c>
      <c r="K230" s="1" t="n">
        <f aca="false">IF(OR(LEN(A230&amp;"")=0,$P$3=0),0,IF(AND(B230&gt;=Painel!$B$8,B230&lt;=Painel!$G$8,OR(Painel!$L$8="Todos",C230=Painel!$L$8),OR(Painel!$Q$8="Todos",D230=Painel!$Q$8),OR(Painel!$V$8="Todas",E230=Painel!$V$8)),1,0))</f>
        <v>1</v>
      </c>
      <c r="L230" s="61" t="n">
        <f aca="false">IF(LEN(A230&amp;"")=0,"",J230-I230)</f>
        <v>0</v>
      </c>
      <c r="M230" s="1" t="n">
        <f aca="false">IF(LEN(A230&amp;"")=0,0,IF(COUNTIFS(Base!$A$7:$A$1006,A230)&gt;1,1,0))</f>
        <v>0</v>
      </c>
      <c r="N230" s="1" t="n">
        <f aca="false">IF(LEN(A230&amp;"")=0,0,IF(ABS(L230)&gt;0.005,1,0))</f>
        <v>0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customFormat="false" ht="23" hidden="false" customHeight="true" outlineLevel="0" collapsed="false">
      <c r="A231" s="1" t="n">
        <f aca="false">IF(LEN(Base!A231&amp;"")=0,"",Base!A231)</f>
        <v>3455</v>
      </c>
      <c r="B231" s="60" t="n">
        <f aca="false">IF(LEN(A231&amp;"")=0,"",Base!D231)</f>
        <v>45572</v>
      </c>
      <c r="C231" s="1" t="str">
        <f aca="false">IF(LEN(A231&amp;"")=0,"",Base!C231)</f>
        <v>Ultimate</v>
      </c>
      <c r="D231" s="1" t="str">
        <f aca="false">IF(LEN(A231&amp;"")=0,"",Base!G231)</f>
        <v>Monthly</v>
      </c>
      <c r="E231" s="1" t="str">
        <f aca="false">IF(LEN(A231&amp;"")=0,"",Base!E231)</f>
        <v>No</v>
      </c>
      <c r="F231" s="61" t="n">
        <f aca="false">IF(LEN(A231&amp;"")=0,"",IF(Base!I231="-",0,Base!I231))</f>
        <v>30</v>
      </c>
      <c r="G231" s="61" t="n">
        <f aca="false">IF(LEN(A231&amp;"")=0,"",SUM(Base!F231,F231,Base!K231))</f>
        <v>65</v>
      </c>
      <c r="H231" s="61" t="n">
        <f aca="false">IF(LEN(A231&amp;"")=0,"",Base!L231)</f>
        <v>20</v>
      </c>
      <c r="I231" s="61" t="n">
        <f aca="false">IF(LEN(A231&amp;"")=0,"",G231-H231)</f>
        <v>45</v>
      </c>
      <c r="J231" s="61" t="n">
        <f aca="false">IF(LEN(A231&amp;"")=0,"",Base!M231)</f>
        <v>45</v>
      </c>
      <c r="K231" s="1" t="n">
        <f aca="false">IF(OR(LEN(A231&amp;"")=0,$P$3=0),0,IF(AND(B231&gt;=Painel!$B$8,B231&lt;=Painel!$G$8,OR(Painel!$L$8="Todos",C231=Painel!$L$8),OR(Painel!$Q$8="Todos",D231=Painel!$Q$8),OR(Painel!$V$8="Todas",E231=Painel!$V$8)),1,0))</f>
        <v>1</v>
      </c>
      <c r="L231" s="61" t="n">
        <f aca="false">IF(LEN(A231&amp;"")=0,"",J231-I231)</f>
        <v>0</v>
      </c>
      <c r="M231" s="1" t="n">
        <f aca="false">IF(LEN(A231&amp;"")=0,0,IF(COUNTIFS(Base!$A$7:$A$1006,A231)&gt;1,1,0))</f>
        <v>0</v>
      </c>
      <c r="N231" s="1" t="n">
        <f aca="false">IF(LEN(A231&amp;"")=0,0,IF(ABS(L231)&gt;0.005,1,0))</f>
        <v>0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customFormat="false" ht="23" hidden="false" customHeight="true" outlineLevel="0" collapsed="false">
      <c r="A232" s="1" t="n">
        <f aca="false">IF(LEN(Base!A232&amp;"")=0,"",Base!A232)</f>
        <v>3456</v>
      </c>
      <c r="B232" s="60" t="n">
        <f aca="false">IF(LEN(A232&amp;"")=0,"",Base!D232)</f>
        <v>45573</v>
      </c>
      <c r="C232" s="1" t="str">
        <f aca="false">IF(LEN(A232&amp;"")=0,"",Base!C232)</f>
        <v>Standard</v>
      </c>
      <c r="D232" s="1" t="str">
        <f aca="false">IF(LEN(A232&amp;"")=0,"",Base!G232)</f>
        <v>Quarterly</v>
      </c>
      <c r="E232" s="1" t="str">
        <f aca="false">IF(LEN(A232&amp;"")=0,"",Base!E232)</f>
        <v>Yes</v>
      </c>
      <c r="F232" s="61" t="n">
        <f aca="false">IF(LEN(A232&amp;"")=0,"",IF(Base!I232="-",0,Base!I232))</f>
        <v>0</v>
      </c>
      <c r="G232" s="61" t="n">
        <f aca="false">IF(LEN(A232&amp;"")=0,"",SUM(Base!F232,F232,Base!K232))</f>
        <v>30</v>
      </c>
      <c r="H232" s="61" t="n">
        <f aca="false">IF(LEN(A232&amp;"")=0,"",Base!L232)</f>
        <v>15</v>
      </c>
      <c r="I232" s="61" t="n">
        <f aca="false">IF(LEN(A232&amp;"")=0,"",G232-H232)</f>
        <v>15</v>
      </c>
      <c r="J232" s="61" t="n">
        <f aca="false">IF(LEN(A232&amp;"")=0,"",Base!M232)</f>
        <v>15</v>
      </c>
      <c r="K232" s="1" t="n">
        <f aca="false">IF(OR(LEN(A232&amp;"")=0,$P$3=0),0,IF(AND(B232&gt;=Painel!$B$8,B232&lt;=Painel!$G$8,OR(Painel!$L$8="Todos",C232=Painel!$L$8),OR(Painel!$Q$8="Todos",D232=Painel!$Q$8),OR(Painel!$V$8="Todas",E232=Painel!$V$8)),1,0))</f>
        <v>1</v>
      </c>
      <c r="L232" s="61" t="n">
        <f aca="false">IF(LEN(A232&amp;"")=0,"",J232-I232)</f>
        <v>0</v>
      </c>
      <c r="M232" s="1" t="n">
        <f aca="false">IF(LEN(A232&amp;"")=0,0,IF(COUNTIFS(Base!$A$7:$A$1006,A232)&gt;1,1,0))</f>
        <v>0</v>
      </c>
      <c r="N232" s="1" t="n">
        <f aca="false">IF(LEN(A232&amp;"")=0,0,IF(ABS(L232)&gt;0.005,1,0))</f>
        <v>0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customFormat="false" ht="23" hidden="false" customHeight="true" outlineLevel="0" collapsed="false">
      <c r="A233" s="1" t="n">
        <f aca="false">IF(LEN(Base!A233&amp;"")=0,"",Base!A233)</f>
        <v>3457</v>
      </c>
      <c r="B233" s="60" t="n">
        <f aca="false">IF(LEN(A233&amp;"")=0,"",Base!D233)</f>
        <v>45574</v>
      </c>
      <c r="C233" s="1" t="str">
        <f aca="false">IF(LEN(A233&amp;"")=0,"",Base!C233)</f>
        <v>Core</v>
      </c>
      <c r="D233" s="1" t="str">
        <f aca="false">IF(LEN(A233&amp;"")=0,"",Base!G233)</f>
        <v>Monthly</v>
      </c>
      <c r="E233" s="1" t="str">
        <f aca="false">IF(LEN(A233&amp;"")=0,"",Base!E233)</f>
        <v>No</v>
      </c>
      <c r="F233" s="61" t="n">
        <f aca="false">IF(LEN(A233&amp;"")=0,"",IF(Base!I233="-",0,Base!I233))</f>
        <v>0</v>
      </c>
      <c r="G233" s="61" t="n">
        <f aca="false">IF(LEN(A233&amp;"")=0,"",SUM(Base!F233,F233,Base!K233))</f>
        <v>5</v>
      </c>
      <c r="H233" s="61" t="n">
        <f aca="false">IF(LEN(A233&amp;"")=0,"",Base!L233)</f>
        <v>1</v>
      </c>
      <c r="I233" s="61" t="n">
        <f aca="false">IF(LEN(A233&amp;"")=0,"",G233-H233)</f>
        <v>4</v>
      </c>
      <c r="J233" s="61" t="n">
        <f aca="false">IF(LEN(A233&amp;"")=0,"",Base!M233)</f>
        <v>4</v>
      </c>
      <c r="K233" s="1" t="n">
        <f aca="false">IF(OR(LEN(A233&amp;"")=0,$P$3=0),0,IF(AND(B233&gt;=Painel!$B$8,B233&lt;=Painel!$G$8,OR(Painel!$L$8="Todos",C233=Painel!$L$8),OR(Painel!$Q$8="Todos",D233=Painel!$Q$8),OR(Painel!$V$8="Todas",E233=Painel!$V$8)),1,0))</f>
        <v>1</v>
      </c>
      <c r="L233" s="61" t="n">
        <f aca="false">IF(LEN(A233&amp;"")=0,"",J233-I233)</f>
        <v>0</v>
      </c>
      <c r="M233" s="1" t="n">
        <f aca="false">IF(LEN(A233&amp;"")=0,0,IF(COUNTIFS(Base!$A$7:$A$1006,A233)&gt;1,1,0))</f>
        <v>0</v>
      </c>
      <c r="N233" s="1" t="n">
        <f aca="false">IF(LEN(A233&amp;"")=0,0,IF(ABS(L233)&gt;0.005,1,0))</f>
        <v>0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customFormat="false" ht="23" hidden="false" customHeight="true" outlineLevel="0" collapsed="false">
      <c r="A234" s="1" t="n">
        <f aca="false">IF(LEN(Base!A234&amp;"")=0,"",Base!A234)</f>
        <v>3458</v>
      </c>
      <c r="B234" s="60" t="n">
        <f aca="false">IF(LEN(A234&amp;"")=0,"",Base!D234)</f>
        <v>45575</v>
      </c>
      <c r="C234" s="1" t="str">
        <f aca="false">IF(LEN(A234&amp;"")=0,"",Base!C234)</f>
        <v>Ultimate</v>
      </c>
      <c r="D234" s="1" t="str">
        <f aca="false">IF(LEN(A234&amp;"")=0,"",Base!G234)</f>
        <v>Annual</v>
      </c>
      <c r="E234" s="1" t="str">
        <f aca="false">IF(LEN(A234&amp;"")=0,"",Base!E234)</f>
        <v>Yes</v>
      </c>
      <c r="F234" s="61" t="n">
        <f aca="false">IF(LEN(A234&amp;"")=0,"",IF(Base!I234="-",0,Base!I234))</f>
        <v>30</v>
      </c>
      <c r="G234" s="61" t="n">
        <f aca="false">IF(LEN(A234&amp;"")=0,"",SUM(Base!F234,F234,Base!K234))</f>
        <v>65</v>
      </c>
      <c r="H234" s="61" t="n">
        <f aca="false">IF(LEN(A234&amp;"")=0,"",Base!L234)</f>
        <v>3</v>
      </c>
      <c r="I234" s="61" t="n">
        <f aca="false">IF(LEN(A234&amp;"")=0,"",G234-H234)</f>
        <v>62</v>
      </c>
      <c r="J234" s="61" t="n">
        <f aca="false">IF(LEN(A234&amp;"")=0,"",Base!M234)</f>
        <v>62</v>
      </c>
      <c r="K234" s="1" t="n">
        <f aca="false">IF(OR(LEN(A234&amp;"")=0,$P$3=0),0,IF(AND(B234&gt;=Painel!$B$8,B234&lt;=Painel!$G$8,OR(Painel!$L$8="Todos",C234=Painel!$L$8),OR(Painel!$Q$8="Todos",D234=Painel!$Q$8),OR(Painel!$V$8="Todas",E234=Painel!$V$8)),1,0))</f>
        <v>1</v>
      </c>
      <c r="L234" s="61" t="n">
        <f aca="false">IF(LEN(A234&amp;"")=0,"",J234-I234)</f>
        <v>0</v>
      </c>
      <c r="M234" s="1" t="n">
        <f aca="false">IF(LEN(A234&amp;"")=0,0,IF(COUNTIFS(Base!$A$7:$A$1006,A234)&gt;1,1,0))</f>
        <v>0</v>
      </c>
      <c r="N234" s="1" t="n">
        <f aca="false">IF(LEN(A234&amp;"")=0,0,IF(ABS(L234)&gt;0.005,1,0))</f>
        <v>0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customFormat="false" ht="23" hidden="false" customHeight="true" outlineLevel="0" collapsed="false">
      <c r="A235" s="1" t="n">
        <f aca="false">IF(LEN(Base!A235&amp;"")=0,"",Base!A235)</f>
        <v>3459</v>
      </c>
      <c r="B235" s="60" t="n">
        <f aca="false">IF(LEN(A235&amp;"")=0,"",Base!D235)</f>
        <v>45576</v>
      </c>
      <c r="C235" s="1" t="str">
        <f aca="false">IF(LEN(A235&amp;"")=0,"",Base!C235)</f>
        <v>Standard</v>
      </c>
      <c r="D235" s="1" t="str">
        <f aca="false">IF(LEN(A235&amp;"")=0,"",Base!G235)</f>
        <v>Monthly</v>
      </c>
      <c r="E235" s="1" t="str">
        <f aca="false">IF(LEN(A235&amp;"")=0,"",Base!E235)</f>
        <v>No</v>
      </c>
      <c r="F235" s="61" t="n">
        <f aca="false">IF(LEN(A235&amp;"")=0,"",IF(Base!I235="-",0,Base!I235))</f>
        <v>0</v>
      </c>
      <c r="G235" s="61" t="n">
        <f aca="false">IF(LEN(A235&amp;"")=0,"",SUM(Base!F235,F235,Base!K235))</f>
        <v>30</v>
      </c>
      <c r="H235" s="61" t="n">
        <f aca="false">IF(LEN(A235&amp;"")=0,"",Base!L235)</f>
        <v>10</v>
      </c>
      <c r="I235" s="61" t="n">
        <f aca="false">IF(LEN(A235&amp;"")=0,"",G235-H235)</f>
        <v>20</v>
      </c>
      <c r="J235" s="61" t="n">
        <f aca="false">IF(LEN(A235&amp;"")=0,"",Base!M235)</f>
        <v>20</v>
      </c>
      <c r="K235" s="1" t="n">
        <f aca="false">IF(OR(LEN(A235&amp;"")=0,$P$3=0),0,IF(AND(B235&gt;=Painel!$B$8,B235&lt;=Painel!$G$8,OR(Painel!$L$8="Todos",C235=Painel!$L$8),OR(Painel!$Q$8="Todos",D235=Painel!$Q$8),OR(Painel!$V$8="Todas",E235=Painel!$V$8)),1,0))</f>
        <v>1</v>
      </c>
      <c r="L235" s="61" t="n">
        <f aca="false">IF(LEN(A235&amp;"")=0,"",J235-I235)</f>
        <v>0</v>
      </c>
      <c r="M235" s="1" t="n">
        <f aca="false">IF(LEN(A235&amp;"")=0,0,IF(COUNTIFS(Base!$A$7:$A$1006,A235)&gt;1,1,0))</f>
        <v>0</v>
      </c>
      <c r="N235" s="1" t="n">
        <f aca="false">IF(LEN(A235&amp;"")=0,0,IF(ABS(L235)&gt;0.005,1,0))</f>
        <v>0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customFormat="false" ht="23" hidden="false" customHeight="true" outlineLevel="0" collapsed="false">
      <c r="A236" s="1" t="n">
        <f aca="false">IF(LEN(Base!A236&amp;"")=0,"",Base!A236)</f>
        <v>3460</v>
      </c>
      <c r="B236" s="60" t="n">
        <f aca="false">IF(LEN(A236&amp;"")=0,"",Base!D236)</f>
        <v>45577</v>
      </c>
      <c r="C236" s="1" t="str">
        <f aca="false">IF(LEN(A236&amp;"")=0,"",Base!C236)</f>
        <v>Core</v>
      </c>
      <c r="D236" s="1" t="str">
        <f aca="false">IF(LEN(A236&amp;"")=0,"",Base!G236)</f>
        <v>Quarterly</v>
      </c>
      <c r="E236" s="1" t="str">
        <f aca="false">IF(LEN(A236&amp;"")=0,"",Base!E236)</f>
        <v>Yes</v>
      </c>
      <c r="F236" s="61" t="n">
        <f aca="false">IF(LEN(A236&amp;"")=0,"",IF(Base!I236="-",0,Base!I236))</f>
        <v>0</v>
      </c>
      <c r="G236" s="61" t="n">
        <f aca="false">IF(LEN(A236&amp;"")=0,"",SUM(Base!F236,F236,Base!K236))</f>
        <v>5</v>
      </c>
      <c r="H236" s="61" t="n">
        <f aca="false">IF(LEN(A236&amp;"")=0,"",Base!L236)</f>
        <v>0</v>
      </c>
      <c r="I236" s="61" t="n">
        <f aca="false">IF(LEN(A236&amp;"")=0,"",G236-H236)</f>
        <v>5</v>
      </c>
      <c r="J236" s="61" t="n">
        <f aca="false">IF(LEN(A236&amp;"")=0,"",Base!M236)</f>
        <v>5</v>
      </c>
      <c r="K236" s="1" t="n">
        <f aca="false">IF(OR(LEN(A236&amp;"")=0,$P$3=0),0,IF(AND(B236&gt;=Painel!$B$8,B236&lt;=Painel!$G$8,OR(Painel!$L$8="Todos",C236=Painel!$L$8),OR(Painel!$Q$8="Todos",D236=Painel!$Q$8),OR(Painel!$V$8="Todas",E236=Painel!$V$8)),1,0))</f>
        <v>1</v>
      </c>
      <c r="L236" s="61" t="n">
        <f aca="false">IF(LEN(A236&amp;"")=0,"",J236-I236)</f>
        <v>0</v>
      </c>
      <c r="M236" s="1" t="n">
        <f aca="false">IF(LEN(A236&amp;"")=0,0,IF(COUNTIFS(Base!$A$7:$A$1006,A236)&gt;1,1,0))</f>
        <v>0</v>
      </c>
      <c r="N236" s="1" t="n">
        <f aca="false">IF(LEN(A236&amp;"")=0,0,IF(ABS(L236)&gt;0.005,1,0))</f>
        <v>0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customFormat="false" ht="23" hidden="false" customHeight="true" outlineLevel="0" collapsed="false">
      <c r="A237" s="1" t="n">
        <f aca="false">IF(LEN(Base!A237&amp;"")=0,"",Base!A237)</f>
        <v>3461</v>
      </c>
      <c r="B237" s="60" t="n">
        <f aca="false">IF(LEN(A237&amp;"")=0,"",Base!D237)</f>
        <v>45578</v>
      </c>
      <c r="C237" s="1" t="str">
        <f aca="false">IF(LEN(A237&amp;"")=0,"",Base!C237)</f>
        <v>Ultimate</v>
      </c>
      <c r="D237" s="1" t="str">
        <f aca="false">IF(LEN(A237&amp;"")=0,"",Base!G237)</f>
        <v>Monthly</v>
      </c>
      <c r="E237" s="1" t="str">
        <f aca="false">IF(LEN(A237&amp;"")=0,"",Base!E237)</f>
        <v>No</v>
      </c>
      <c r="F237" s="61" t="n">
        <f aca="false">IF(LEN(A237&amp;"")=0,"",IF(Base!I237="-",0,Base!I237))</f>
        <v>30</v>
      </c>
      <c r="G237" s="61" t="n">
        <f aca="false">IF(LEN(A237&amp;"")=0,"",SUM(Base!F237,F237,Base!K237))</f>
        <v>65</v>
      </c>
      <c r="H237" s="61" t="n">
        <f aca="false">IF(LEN(A237&amp;"")=0,"",Base!L237)</f>
        <v>15</v>
      </c>
      <c r="I237" s="61" t="n">
        <f aca="false">IF(LEN(A237&amp;"")=0,"",G237-H237)</f>
        <v>50</v>
      </c>
      <c r="J237" s="61" t="n">
        <f aca="false">IF(LEN(A237&amp;"")=0,"",Base!M237)</f>
        <v>50</v>
      </c>
      <c r="K237" s="1" t="n">
        <f aca="false">IF(OR(LEN(A237&amp;"")=0,$P$3=0),0,IF(AND(B237&gt;=Painel!$B$8,B237&lt;=Painel!$G$8,OR(Painel!$L$8="Todos",C237=Painel!$L$8),OR(Painel!$Q$8="Todos",D237=Painel!$Q$8),OR(Painel!$V$8="Todas",E237=Painel!$V$8)),1,0))</f>
        <v>1</v>
      </c>
      <c r="L237" s="61" t="n">
        <f aca="false">IF(LEN(A237&amp;"")=0,"",J237-I237)</f>
        <v>0</v>
      </c>
      <c r="M237" s="1" t="n">
        <f aca="false">IF(LEN(A237&amp;"")=0,0,IF(COUNTIFS(Base!$A$7:$A$1006,A237)&gt;1,1,0))</f>
        <v>0</v>
      </c>
      <c r="N237" s="1" t="n">
        <f aca="false">IF(LEN(A237&amp;"")=0,0,IF(ABS(L237)&gt;0.005,1,0))</f>
        <v>0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customFormat="false" ht="23" hidden="false" customHeight="true" outlineLevel="0" collapsed="false">
      <c r="A238" s="1" t="n">
        <f aca="false">IF(LEN(Base!A238&amp;"")=0,"",Base!A238)</f>
        <v>3462</v>
      </c>
      <c r="B238" s="60" t="n">
        <f aca="false">IF(LEN(A238&amp;"")=0,"",Base!D238)</f>
        <v>45579</v>
      </c>
      <c r="C238" s="1" t="str">
        <f aca="false">IF(LEN(A238&amp;"")=0,"",Base!C238)</f>
        <v>Standard</v>
      </c>
      <c r="D238" s="1" t="str">
        <f aca="false">IF(LEN(A238&amp;"")=0,"",Base!G238)</f>
        <v>Annual</v>
      </c>
      <c r="E238" s="1" t="str">
        <f aca="false">IF(LEN(A238&amp;"")=0,"",Base!E238)</f>
        <v>Yes</v>
      </c>
      <c r="F238" s="61" t="n">
        <f aca="false">IF(LEN(A238&amp;"")=0,"",IF(Base!I238="-",0,Base!I238))</f>
        <v>0</v>
      </c>
      <c r="G238" s="61" t="n">
        <f aca="false">IF(LEN(A238&amp;"")=0,"",SUM(Base!F238,F238,Base!K238))</f>
        <v>30</v>
      </c>
      <c r="H238" s="61" t="n">
        <f aca="false">IF(LEN(A238&amp;"")=0,"",Base!L238)</f>
        <v>15</v>
      </c>
      <c r="I238" s="61" t="n">
        <f aca="false">IF(LEN(A238&amp;"")=0,"",G238-H238)</f>
        <v>15</v>
      </c>
      <c r="J238" s="61" t="n">
        <f aca="false">IF(LEN(A238&amp;"")=0,"",Base!M238)</f>
        <v>15</v>
      </c>
      <c r="K238" s="1" t="n">
        <f aca="false">IF(OR(LEN(A238&amp;"")=0,$P$3=0),0,IF(AND(B238&gt;=Painel!$B$8,B238&lt;=Painel!$G$8,OR(Painel!$L$8="Todos",C238=Painel!$L$8),OR(Painel!$Q$8="Todos",D238=Painel!$Q$8),OR(Painel!$V$8="Todas",E238=Painel!$V$8)),1,0))</f>
        <v>1</v>
      </c>
      <c r="L238" s="61" t="n">
        <f aca="false">IF(LEN(A238&amp;"")=0,"",J238-I238)</f>
        <v>0</v>
      </c>
      <c r="M238" s="1" t="n">
        <f aca="false">IF(LEN(A238&amp;"")=0,0,IF(COUNTIFS(Base!$A$7:$A$1006,A238)&gt;1,1,0))</f>
        <v>0</v>
      </c>
      <c r="N238" s="1" t="n">
        <f aca="false">IF(LEN(A238&amp;"")=0,0,IF(ABS(L238)&gt;0.005,1,0))</f>
        <v>0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customFormat="false" ht="23" hidden="false" customHeight="true" outlineLevel="0" collapsed="false">
      <c r="A239" s="1" t="n">
        <f aca="false">IF(LEN(Base!A239&amp;"")=0,"",Base!A239)</f>
        <v>3463</v>
      </c>
      <c r="B239" s="60" t="n">
        <f aca="false">IF(LEN(A239&amp;"")=0,"",Base!D239)</f>
        <v>45580</v>
      </c>
      <c r="C239" s="1" t="str">
        <f aca="false">IF(LEN(A239&amp;"")=0,"",Base!C239)</f>
        <v>Core</v>
      </c>
      <c r="D239" s="1" t="str">
        <f aca="false">IF(LEN(A239&amp;"")=0,"",Base!G239)</f>
        <v>Monthly</v>
      </c>
      <c r="E239" s="1" t="str">
        <f aca="false">IF(LEN(A239&amp;"")=0,"",Base!E239)</f>
        <v>No</v>
      </c>
      <c r="F239" s="61" t="n">
        <f aca="false">IF(LEN(A239&amp;"")=0,"",IF(Base!I239="-",0,Base!I239))</f>
        <v>0</v>
      </c>
      <c r="G239" s="61" t="n">
        <f aca="false">IF(LEN(A239&amp;"")=0,"",SUM(Base!F239,F239,Base!K239))</f>
        <v>5</v>
      </c>
      <c r="H239" s="61" t="n">
        <f aca="false">IF(LEN(A239&amp;"")=0,"",Base!L239)</f>
        <v>1</v>
      </c>
      <c r="I239" s="61" t="n">
        <f aca="false">IF(LEN(A239&amp;"")=0,"",G239-H239)</f>
        <v>4</v>
      </c>
      <c r="J239" s="61" t="n">
        <f aca="false">IF(LEN(A239&amp;"")=0,"",Base!M239)</f>
        <v>4</v>
      </c>
      <c r="K239" s="1" t="n">
        <f aca="false">IF(OR(LEN(A239&amp;"")=0,$P$3=0),0,IF(AND(B239&gt;=Painel!$B$8,B239&lt;=Painel!$G$8,OR(Painel!$L$8="Todos",C239=Painel!$L$8),OR(Painel!$Q$8="Todos",D239=Painel!$Q$8),OR(Painel!$V$8="Todas",E239=Painel!$V$8)),1,0))</f>
        <v>1</v>
      </c>
      <c r="L239" s="61" t="n">
        <f aca="false">IF(LEN(A239&amp;"")=0,"",J239-I239)</f>
        <v>0</v>
      </c>
      <c r="M239" s="1" t="n">
        <f aca="false">IF(LEN(A239&amp;"")=0,0,IF(COUNTIFS(Base!$A$7:$A$1006,A239)&gt;1,1,0))</f>
        <v>0</v>
      </c>
      <c r="N239" s="1" t="n">
        <f aca="false">IF(LEN(A239&amp;"")=0,0,IF(ABS(L239)&gt;0.005,1,0))</f>
        <v>0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customFormat="false" ht="23" hidden="false" customHeight="true" outlineLevel="0" collapsed="false">
      <c r="A240" s="1" t="n">
        <f aca="false">IF(LEN(Base!A240&amp;"")=0,"",Base!A240)</f>
        <v>3464</v>
      </c>
      <c r="B240" s="60" t="n">
        <f aca="false">IF(LEN(A240&amp;"")=0,"",Base!D240)</f>
        <v>45581</v>
      </c>
      <c r="C240" s="1" t="str">
        <f aca="false">IF(LEN(A240&amp;"")=0,"",Base!C240)</f>
        <v>Ultimate</v>
      </c>
      <c r="D240" s="1" t="str">
        <f aca="false">IF(LEN(A240&amp;"")=0,"",Base!G240)</f>
        <v>Quarterly</v>
      </c>
      <c r="E240" s="1" t="str">
        <f aca="false">IF(LEN(A240&amp;"")=0,"",Base!E240)</f>
        <v>Yes</v>
      </c>
      <c r="F240" s="61" t="n">
        <f aca="false">IF(LEN(A240&amp;"")=0,"",IF(Base!I240="-",0,Base!I240))</f>
        <v>30</v>
      </c>
      <c r="G240" s="61" t="n">
        <f aca="false">IF(LEN(A240&amp;"")=0,"",SUM(Base!F240,F240,Base!K240))</f>
        <v>65</v>
      </c>
      <c r="H240" s="61" t="n">
        <f aca="false">IF(LEN(A240&amp;"")=0,"",Base!L240)</f>
        <v>7</v>
      </c>
      <c r="I240" s="61" t="n">
        <f aca="false">IF(LEN(A240&amp;"")=0,"",G240-H240)</f>
        <v>58</v>
      </c>
      <c r="J240" s="61" t="n">
        <f aca="false">IF(LEN(A240&amp;"")=0,"",Base!M240)</f>
        <v>58</v>
      </c>
      <c r="K240" s="1" t="n">
        <f aca="false">IF(OR(LEN(A240&amp;"")=0,$P$3=0),0,IF(AND(B240&gt;=Painel!$B$8,B240&lt;=Painel!$G$8,OR(Painel!$L$8="Todos",C240=Painel!$L$8),OR(Painel!$Q$8="Todos",D240=Painel!$Q$8),OR(Painel!$V$8="Todas",E240=Painel!$V$8)),1,0))</f>
        <v>1</v>
      </c>
      <c r="L240" s="61" t="n">
        <f aca="false">IF(LEN(A240&amp;"")=0,"",J240-I240)</f>
        <v>0</v>
      </c>
      <c r="M240" s="1" t="n">
        <f aca="false">IF(LEN(A240&amp;"")=0,0,IF(COUNTIFS(Base!$A$7:$A$1006,A240)&gt;1,1,0))</f>
        <v>0</v>
      </c>
      <c r="N240" s="1" t="n">
        <f aca="false">IF(LEN(A240&amp;"")=0,0,IF(ABS(L240)&gt;0.005,1,0))</f>
        <v>0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customFormat="false" ht="23" hidden="false" customHeight="true" outlineLevel="0" collapsed="false">
      <c r="A241" s="1" t="n">
        <f aca="false">IF(LEN(Base!A241&amp;"")=0,"",Base!A241)</f>
        <v>3465</v>
      </c>
      <c r="B241" s="60" t="n">
        <f aca="false">IF(LEN(A241&amp;"")=0,"",Base!D241)</f>
        <v>45582</v>
      </c>
      <c r="C241" s="1" t="str">
        <f aca="false">IF(LEN(A241&amp;"")=0,"",Base!C241)</f>
        <v>Standard</v>
      </c>
      <c r="D241" s="1" t="str">
        <f aca="false">IF(LEN(A241&amp;"")=0,"",Base!G241)</f>
        <v>Monthly</v>
      </c>
      <c r="E241" s="1" t="str">
        <f aca="false">IF(LEN(A241&amp;"")=0,"",Base!E241)</f>
        <v>No</v>
      </c>
      <c r="F241" s="61" t="n">
        <f aca="false">IF(LEN(A241&amp;"")=0,"",IF(Base!I241="-",0,Base!I241))</f>
        <v>0</v>
      </c>
      <c r="G241" s="61" t="n">
        <f aca="false">IF(LEN(A241&amp;"")=0,"",SUM(Base!F241,F241,Base!K241))</f>
        <v>30</v>
      </c>
      <c r="H241" s="61" t="n">
        <f aca="false">IF(LEN(A241&amp;"")=0,"",Base!L241)</f>
        <v>10</v>
      </c>
      <c r="I241" s="61" t="n">
        <f aca="false">IF(LEN(A241&amp;"")=0,"",G241-H241)</f>
        <v>20</v>
      </c>
      <c r="J241" s="61" t="n">
        <f aca="false">IF(LEN(A241&amp;"")=0,"",Base!M241)</f>
        <v>20</v>
      </c>
      <c r="K241" s="1" t="n">
        <f aca="false">IF(OR(LEN(A241&amp;"")=0,$P$3=0),0,IF(AND(B241&gt;=Painel!$B$8,B241&lt;=Painel!$G$8,OR(Painel!$L$8="Todos",C241=Painel!$L$8),OR(Painel!$Q$8="Todos",D241=Painel!$Q$8),OR(Painel!$V$8="Todas",E241=Painel!$V$8)),1,0))</f>
        <v>1</v>
      </c>
      <c r="L241" s="61" t="n">
        <f aca="false">IF(LEN(A241&amp;"")=0,"",J241-I241)</f>
        <v>0</v>
      </c>
      <c r="M241" s="1" t="n">
        <f aca="false">IF(LEN(A241&amp;"")=0,0,IF(COUNTIFS(Base!$A$7:$A$1006,A241)&gt;1,1,0))</f>
        <v>0</v>
      </c>
      <c r="N241" s="1" t="n">
        <f aca="false">IF(LEN(A241&amp;"")=0,0,IF(ABS(L241)&gt;0.005,1,0))</f>
        <v>0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customFormat="false" ht="23" hidden="false" customHeight="true" outlineLevel="0" collapsed="false">
      <c r="A242" s="1" t="n">
        <f aca="false">IF(LEN(Base!A242&amp;"")=0,"",Base!A242)</f>
        <v>3466</v>
      </c>
      <c r="B242" s="60" t="n">
        <f aca="false">IF(LEN(A242&amp;"")=0,"",Base!D242)</f>
        <v>45583</v>
      </c>
      <c r="C242" s="1" t="str">
        <f aca="false">IF(LEN(A242&amp;"")=0,"",Base!C242)</f>
        <v>Core</v>
      </c>
      <c r="D242" s="1" t="str">
        <f aca="false">IF(LEN(A242&amp;"")=0,"",Base!G242)</f>
        <v>Annual</v>
      </c>
      <c r="E242" s="1" t="str">
        <f aca="false">IF(LEN(A242&amp;"")=0,"",Base!E242)</f>
        <v>Yes</v>
      </c>
      <c r="F242" s="61" t="n">
        <f aca="false">IF(LEN(A242&amp;"")=0,"",IF(Base!I242="-",0,Base!I242))</f>
        <v>0</v>
      </c>
      <c r="G242" s="61" t="n">
        <f aca="false">IF(LEN(A242&amp;"")=0,"",SUM(Base!F242,F242,Base!K242))</f>
        <v>5</v>
      </c>
      <c r="H242" s="61" t="n">
        <f aca="false">IF(LEN(A242&amp;"")=0,"",Base!L242)</f>
        <v>0</v>
      </c>
      <c r="I242" s="61" t="n">
        <f aca="false">IF(LEN(A242&amp;"")=0,"",G242-H242)</f>
        <v>5</v>
      </c>
      <c r="J242" s="61" t="n">
        <f aca="false">IF(LEN(A242&amp;"")=0,"",Base!M242)</f>
        <v>5</v>
      </c>
      <c r="K242" s="1" t="n">
        <f aca="false">IF(OR(LEN(A242&amp;"")=0,$P$3=0),0,IF(AND(B242&gt;=Painel!$B$8,B242&lt;=Painel!$G$8,OR(Painel!$L$8="Todos",C242=Painel!$L$8),OR(Painel!$Q$8="Todos",D242=Painel!$Q$8),OR(Painel!$V$8="Todas",E242=Painel!$V$8)),1,0))</f>
        <v>1</v>
      </c>
      <c r="L242" s="61" t="n">
        <f aca="false">IF(LEN(A242&amp;"")=0,"",J242-I242)</f>
        <v>0</v>
      </c>
      <c r="M242" s="1" t="n">
        <f aca="false">IF(LEN(A242&amp;"")=0,0,IF(COUNTIFS(Base!$A$7:$A$1006,A242)&gt;1,1,0))</f>
        <v>0</v>
      </c>
      <c r="N242" s="1" t="n">
        <f aca="false">IF(LEN(A242&amp;"")=0,0,IF(ABS(L242)&gt;0.005,1,0))</f>
        <v>0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customFormat="false" ht="23" hidden="false" customHeight="true" outlineLevel="0" collapsed="false">
      <c r="A243" s="1" t="n">
        <f aca="false">IF(LEN(Base!A243&amp;"")=0,"",Base!A243)</f>
        <v>3467</v>
      </c>
      <c r="B243" s="60" t="n">
        <f aca="false">IF(LEN(A243&amp;"")=0,"",Base!D243)</f>
        <v>45584</v>
      </c>
      <c r="C243" s="1" t="str">
        <f aca="false">IF(LEN(A243&amp;"")=0,"",Base!C243)</f>
        <v>Ultimate</v>
      </c>
      <c r="D243" s="1" t="str">
        <f aca="false">IF(LEN(A243&amp;"")=0,"",Base!G243)</f>
        <v>Monthly</v>
      </c>
      <c r="E243" s="1" t="str">
        <f aca="false">IF(LEN(A243&amp;"")=0,"",Base!E243)</f>
        <v>No</v>
      </c>
      <c r="F243" s="61" t="n">
        <f aca="false">IF(LEN(A243&amp;"")=0,"",IF(Base!I243="-",0,Base!I243))</f>
        <v>30</v>
      </c>
      <c r="G243" s="61" t="n">
        <f aca="false">IF(LEN(A243&amp;"")=0,"",SUM(Base!F243,F243,Base!K243))</f>
        <v>65</v>
      </c>
      <c r="H243" s="61" t="n">
        <f aca="false">IF(LEN(A243&amp;"")=0,"",Base!L243)</f>
        <v>15</v>
      </c>
      <c r="I243" s="61" t="n">
        <f aca="false">IF(LEN(A243&amp;"")=0,"",G243-H243)</f>
        <v>50</v>
      </c>
      <c r="J243" s="61" t="n">
        <f aca="false">IF(LEN(A243&amp;"")=0,"",Base!M243)</f>
        <v>50</v>
      </c>
      <c r="K243" s="1" t="n">
        <f aca="false">IF(OR(LEN(A243&amp;"")=0,$P$3=0),0,IF(AND(B243&gt;=Painel!$B$8,B243&lt;=Painel!$G$8,OR(Painel!$L$8="Todos",C243=Painel!$L$8),OR(Painel!$Q$8="Todos",D243=Painel!$Q$8),OR(Painel!$V$8="Todas",E243=Painel!$V$8)),1,0))</f>
        <v>1</v>
      </c>
      <c r="L243" s="61" t="n">
        <f aca="false">IF(LEN(A243&amp;"")=0,"",J243-I243)</f>
        <v>0</v>
      </c>
      <c r="M243" s="1" t="n">
        <f aca="false">IF(LEN(A243&amp;"")=0,0,IF(COUNTIFS(Base!$A$7:$A$1006,A243)&gt;1,1,0))</f>
        <v>0</v>
      </c>
      <c r="N243" s="1" t="n">
        <f aca="false">IF(LEN(A243&amp;"")=0,0,IF(ABS(L243)&gt;0.005,1,0))</f>
        <v>0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customFormat="false" ht="23" hidden="false" customHeight="true" outlineLevel="0" collapsed="false">
      <c r="A244" s="1" t="n">
        <f aca="false">IF(LEN(Base!A244&amp;"")=0,"",Base!A244)</f>
        <v>3468</v>
      </c>
      <c r="B244" s="60" t="n">
        <f aca="false">IF(LEN(A244&amp;"")=0,"",Base!D244)</f>
        <v>45585</v>
      </c>
      <c r="C244" s="1" t="str">
        <f aca="false">IF(LEN(A244&amp;"")=0,"",Base!C244)</f>
        <v>Standard</v>
      </c>
      <c r="D244" s="1" t="str">
        <f aca="false">IF(LEN(A244&amp;"")=0,"",Base!G244)</f>
        <v>Quarterly</v>
      </c>
      <c r="E244" s="1" t="str">
        <f aca="false">IF(LEN(A244&amp;"")=0,"",Base!E244)</f>
        <v>Yes</v>
      </c>
      <c r="F244" s="61" t="n">
        <f aca="false">IF(LEN(A244&amp;"")=0,"",IF(Base!I244="-",0,Base!I244))</f>
        <v>0</v>
      </c>
      <c r="G244" s="61" t="n">
        <f aca="false">IF(LEN(A244&amp;"")=0,"",SUM(Base!F244,F244,Base!K244))</f>
        <v>30</v>
      </c>
      <c r="H244" s="61" t="n">
        <f aca="false">IF(LEN(A244&amp;"")=0,"",Base!L244)</f>
        <v>12</v>
      </c>
      <c r="I244" s="61" t="n">
        <f aca="false">IF(LEN(A244&amp;"")=0,"",G244-H244)</f>
        <v>18</v>
      </c>
      <c r="J244" s="61" t="n">
        <f aca="false">IF(LEN(A244&amp;"")=0,"",Base!M244)</f>
        <v>18</v>
      </c>
      <c r="K244" s="1" t="n">
        <f aca="false">IF(OR(LEN(A244&amp;"")=0,$P$3=0),0,IF(AND(B244&gt;=Painel!$B$8,B244&lt;=Painel!$G$8,OR(Painel!$L$8="Todos",C244=Painel!$L$8),OR(Painel!$Q$8="Todos",D244=Painel!$Q$8),OR(Painel!$V$8="Todas",E244=Painel!$V$8)),1,0))</f>
        <v>1</v>
      </c>
      <c r="L244" s="61" t="n">
        <f aca="false">IF(LEN(A244&amp;"")=0,"",J244-I244)</f>
        <v>0</v>
      </c>
      <c r="M244" s="1" t="n">
        <f aca="false">IF(LEN(A244&amp;"")=0,0,IF(COUNTIFS(Base!$A$7:$A$1006,A244)&gt;1,1,0))</f>
        <v>0</v>
      </c>
      <c r="N244" s="1" t="n">
        <f aca="false">IF(LEN(A244&amp;"")=0,0,IF(ABS(L244)&gt;0.005,1,0))</f>
        <v>0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customFormat="false" ht="23" hidden="false" customHeight="true" outlineLevel="0" collapsed="false">
      <c r="A245" s="1" t="n">
        <f aca="false">IF(LEN(Base!A245&amp;"")=0,"",Base!A245)</f>
        <v>3469</v>
      </c>
      <c r="B245" s="60" t="n">
        <f aca="false">IF(LEN(A245&amp;"")=0,"",Base!D245)</f>
        <v>45586</v>
      </c>
      <c r="C245" s="1" t="str">
        <f aca="false">IF(LEN(A245&amp;"")=0,"",Base!C245)</f>
        <v>Core</v>
      </c>
      <c r="D245" s="1" t="str">
        <f aca="false">IF(LEN(A245&amp;"")=0,"",Base!G245)</f>
        <v>Monthly</v>
      </c>
      <c r="E245" s="1" t="str">
        <f aca="false">IF(LEN(A245&amp;"")=0,"",Base!E245)</f>
        <v>No</v>
      </c>
      <c r="F245" s="61" t="n">
        <f aca="false">IF(LEN(A245&amp;"")=0,"",IF(Base!I245="-",0,Base!I245))</f>
        <v>0</v>
      </c>
      <c r="G245" s="61" t="n">
        <f aca="false">IF(LEN(A245&amp;"")=0,"",SUM(Base!F245,F245,Base!K245))</f>
        <v>5</v>
      </c>
      <c r="H245" s="61" t="n">
        <f aca="false">IF(LEN(A245&amp;"")=0,"",Base!L245)</f>
        <v>2</v>
      </c>
      <c r="I245" s="61" t="n">
        <f aca="false">IF(LEN(A245&amp;"")=0,"",G245-H245)</f>
        <v>3</v>
      </c>
      <c r="J245" s="61" t="n">
        <f aca="false">IF(LEN(A245&amp;"")=0,"",Base!M245)</f>
        <v>3</v>
      </c>
      <c r="K245" s="1" t="n">
        <f aca="false">IF(OR(LEN(A245&amp;"")=0,$P$3=0),0,IF(AND(B245&gt;=Painel!$B$8,B245&lt;=Painel!$G$8,OR(Painel!$L$8="Todos",C245=Painel!$L$8),OR(Painel!$Q$8="Todos",D245=Painel!$Q$8),OR(Painel!$V$8="Todas",E245=Painel!$V$8)),1,0))</f>
        <v>1</v>
      </c>
      <c r="L245" s="61" t="n">
        <f aca="false">IF(LEN(A245&amp;"")=0,"",J245-I245)</f>
        <v>0</v>
      </c>
      <c r="M245" s="1" t="n">
        <f aca="false">IF(LEN(A245&amp;"")=0,0,IF(COUNTIFS(Base!$A$7:$A$1006,A245)&gt;1,1,0))</f>
        <v>0</v>
      </c>
      <c r="N245" s="1" t="n">
        <f aca="false">IF(LEN(A245&amp;"")=0,0,IF(ABS(L245)&gt;0.005,1,0))</f>
        <v>0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customFormat="false" ht="23" hidden="false" customHeight="true" outlineLevel="0" collapsed="false">
      <c r="A246" s="1" t="n">
        <f aca="false">IF(LEN(Base!A246&amp;"")=0,"",Base!A246)</f>
        <v>3470</v>
      </c>
      <c r="B246" s="60" t="n">
        <f aca="false">IF(LEN(A246&amp;"")=0,"",Base!D246)</f>
        <v>45587</v>
      </c>
      <c r="C246" s="1" t="str">
        <f aca="false">IF(LEN(A246&amp;"")=0,"",Base!C246)</f>
        <v>Ultimate</v>
      </c>
      <c r="D246" s="1" t="str">
        <f aca="false">IF(LEN(A246&amp;"")=0,"",Base!G246)</f>
        <v>Annual</v>
      </c>
      <c r="E246" s="1" t="str">
        <f aca="false">IF(LEN(A246&amp;"")=0,"",Base!E246)</f>
        <v>Yes</v>
      </c>
      <c r="F246" s="61" t="n">
        <f aca="false">IF(LEN(A246&amp;"")=0,"",IF(Base!I246="-",0,Base!I246))</f>
        <v>30</v>
      </c>
      <c r="G246" s="61" t="n">
        <f aca="false">IF(LEN(A246&amp;"")=0,"",SUM(Base!F246,F246,Base!K246))</f>
        <v>65</v>
      </c>
      <c r="H246" s="61" t="n">
        <f aca="false">IF(LEN(A246&amp;"")=0,"",Base!L246)</f>
        <v>5</v>
      </c>
      <c r="I246" s="61" t="n">
        <f aca="false">IF(LEN(A246&amp;"")=0,"",G246-H246)</f>
        <v>60</v>
      </c>
      <c r="J246" s="61" t="n">
        <f aca="false">IF(LEN(A246&amp;"")=0,"",Base!M246)</f>
        <v>60</v>
      </c>
      <c r="K246" s="1" t="n">
        <f aca="false">IF(OR(LEN(A246&amp;"")=0,$P$3=0),0,IF(AND(B246&gt;=Painel!$B$8,B246&lt;=Painel!$G$8,OR(Painel!$L$8="Todos",C246=Painel!$L$8),OR(Painel!$Q$8="Todos",D246=Painel!$Q$8),OR(Painel!$V$8="Todas",E246=Painel!$V$8)),1,0))</f>
        <v>1</v>
      </c>
      <c r="L246" s="61" t="n">
        <f aca="false">IF(LEN(A246&amp;"")=0,"",J246-I246)</f>
        <v>0</v>
      </c>
      <c r="M246" s="1" t="n">
        <f aca="false">IF(LEN(A246&amp;"")=0,0,IF(COUNTIFS(Base!$A$7:$A$1006,A246)&gt;1,1,0))</f>
        <v>0</v>
      </c>
      <c r="N246" s="1" t="n">
        <f aca="false">IF(LEN(A246&amp;"")=0,0,IF(ABS(L246)&gt;0.005,1,0))</f>
        <v>0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customFormat="false" ht="23" hidden="false" customHeight="true" outlineLevel="0" collapsed="false">
      <c r="A247" s="1" t="n">
        <f aca="false">IF(LEN(Base!A247&amp;"")=0,"",Base!A247)</f>
        <v>3471</v>
      </c>
      <c r="B247" s="60" t="n">
        <f aca="false">IF(LEN(A247&amp;"")=0,"",Base!D247)</f>
        <v>45588</v>
      </c>
      <c r="C247" s="1" t="str">
        <f aca="false">IF(LEN(A247&amp;"")=0,"",Base!C247)</f>
        <v>Standard</v>
      </c>
      <c r="D247" s="1" t="str">
        <f aca="false">IF(LEN(A247&amp;"")=0,"",Base!G247)</f>
        <v>Monthly</v>
      </c>
      <c r="E247" s="1" t="str">
        <f aca="false">IF(LEN(A247&amp;"")=0,"",Base!E247)</f>
        <v>No</v>
      </c>
      <c r="F247" s="61" t="n">
        <f aca="false">IF(LEN(A247&amp;"")=0,"",IF(Base!I247="-",0,Base!I247))</f>
        <v>0</v>
      </c>
      <c r="G247" s="61" t="n">
        <f aca="false">IF(LEN(A247&amp;"")=0,"",SUM(Base!F247,F247,Base!K247))</f>
        <v>30</v>
      </c>
      <c r="H247" s="61" t="n">
        <f aca="false">IF(LEN(A247&amp;"")=0,"",Base!L247)</f>
        <v>10</v>
      </c>
      <c r="I247" s="61" t="n">
        <f aca="false">IF(LEN(A247&amp;"")=0,"",G247-H247)</f>
        <v>20</v>
      </c>
      <c r="J247" s="61" t="n">
        <f aca="false">IF(LEN(A247&amp;"")=0,"",Base!M247)</f>
        <v>20</v>
      </c>
      <c r="K247" s="1" t="n">
        <f aca="false">IF(OR(LEN(A247&amp;"")=0,$P$3=0),0,IF(AND(B247&gt;=Painel!$B$8,B247&lt;=Painel!$G$8,OR(Painel!$L$8="Todos",C247=Painel!$L$8),OR(Painel!$Q$8="Todos",D247=Painel!$Q$8),OR(Painel!$V$8="Todas",E247=Painel!$V$8)),1,0))</f>
        <v>1</v>
      </c>
      <c r="L247" s="61" t="n">
        <f aca="false">IF(LEN(A247&amp;"")=0,"",J247-I247)</f>
        <v>0</v>
      </c>
      <c r="M247" s="1" t="n">
        <f aca="false">IF(LEN(A247&amp;"")=0,0,IF(COUNTIFS(Base!$A$7:$A$1006,A247)&gt;1,1,0))</f>
        <v>0</v>
      </c>
      <c r="N247" s="1" t="n">
        <f aca="false">IF(LEN(A247&amp;"")=0,0,IF(ABS(L247)&gt;0.005,1,0))</f>
        <v>0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customFormat="false" ht="23" hidden="false" customHeight="true" outlineLevel="0" collapsed="false">
      <c r="A248" s="1" t="n">
        <f aca="false">IF(LEN(Base!A248&amp;"")=0,"",Base!A248)</f>
        <v>3472</v>
      </c>
      <c r="B248" s="60" t="n">
        <f aca="false">IF(LEN(A248&amp;"")=0,"",Base!D248)</f>
        <v>45589</v>
      </c>
      <c r="C248" s="1" t="str">
        <f aca="false">IF(LEN(A248&amp;"")=0,"",Base!C248)</f>
        <v>Core</v>
      </c>
      <c r="D248" s="1" t="str">
        <f aca="false">IF(LEN(A248&amp;"")=0,"",Base!G248)</f>
        <v>Quarterly</v>
      </c>
      <c r="E248" s="1" t="str">
        <f aca="false">IF(LEN(A248&amp;"")=0,"",Base!E248)</f>
        <v>Yes</v>
      </c>
      <c r="F248" s="61" t="n">
        <f aca="false">IF(LEN(A248&amp;"")=0,"",IF(Base!I248="-",0,Base!I248))</f>
        <v>0</v>
      </c>
      <c r="G248" s="61" t="n">
        <f aca="false">IF(LEN(A248&amp;"")=0,"",SUM(Base!F248,F248,Base!K248))</f>
        <v>5</v>
      </c>
      <c r="H248" s="61" t="n">
        <f aca="false">IF(LEN(A248&amp;"")=0,"",Base!L248)</f>
        <v>0</v>
      </c>
      <c r="I248" s="61" t="n">
        <f aca="false">IF(LEN(A248&amp;"")=0,"",G248-H248)</f>
        <v>5</v>
      </c>
      <c r="J248" s="61" t="n">
        <f aca="false">IF(LEN(A248&amp;"")=0,"",Base!M248)</f>
        <v>5</v>
      </c>
      <c r="K248" s="1" t="n">
        <f aca="false">IF(OR(LEN(A248&amp;"")=0,$P$3=0),0,IF(AND(B248&gt;=Painel!$B$8,B248&lt;=Painel!$G$8,OR(Painel!$L$8="Todos",C248=Painel!$L$8),OR(Painel!$Q$8="Todos",D248=Painel!$Q$8),OR(Painel!$V$8="Todas",E248=Painel!$V$8)),1,0))</f>
        <v>1</v>
      </c>
      <c r="L248" s="61" t="n">
        <f aca="false">IF(LEN(A248&amp;"")=0,"",J248-I248)</f>
        <v>0</v>
      </c>
      <c r="M248" s="1" t="n">
        <f aca="false">IF(LEN(A248&amp;"")=0,0,IF(COUNTIFS(Base!$A$7:$A$1006,A248)&gt;1,1,0))</f>
        <v>0</v>
      </c>
      <c r="N248" s="1" t="n">
        <f aca="false">IF(LEN(A248&amp;"")=0,0,IF(ABS(L248)&gt;0.005,1,0))</f>
        <v>0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customFormat="false" ht="23" hidden="false" customHeight="true" outlineLevel="0" collapsed="false">
      <c r="A249" s="1" t="n">
        <f aca="false">IF(LEN(Base!A249&amp;"")=0,"",Base!A249)</f>
        <v>3473</v>
      </c>
      <c r="B249" s="60" t="n">
        <f aca="false">IF(LEN(A249&amp;"")=0,"",Base!D249)</f>
        <v>45590</v>
      </c>
      <c r="C249" s="1" t="str">
        <f aca="false">IF(LEN(A249&amp;"")=0,"",Base!C249)</f>
        <v>Ultimate</v>
      </c>
      <c r="D249" s="1" t="str">
        <f aca="false">IF(LEN(A249&amp;"")=0,"",Base!G249)</f>
        <v>Monthly</v>
      </c>
      <c r="E249" s="1" t="str">
        <f aca="false">IF(LEN(A249&amp;"")=0,"",Base!E249)</f>
        <v>No</v>
      </c>
      <c r="F249" s="61" t="n">
        <f aca="false">IF(LEN(A249&amp;"")=0,"",IF(Base!I249="-",0,Base!I249))</f>
        <v>30</v>
      </c>
      <c r="G249" s="61" t="n">
        <f aca="false">IF(LEN(A249&amp;"")=0,"",SUM(Base!F249,F249,Base!K249))</f>
        <v>65</v>
      </c>
      <c r="H249" s="61" t="n">
        <f aca="false">IF(LEN(A249&amp;"")=0,"",Base!L249)</f>
        <v>3</v>
      </c>
      <c r="I249" s="61" t="n">
        <f aca="false">IF(LEN(A249&amp;"")=0,"",G249-H249)</f>
        <v>62</v>
      </c>
      <c r="J249" s="61" t="n">
        <f aca="false">IF(LEN(A249&amp;"")=0,"",Base!M249)</f>
        <v>62</v>
      </c>
      <c r="K249" s="1" t="n">
        <f aca="false">IF(OR(LEN(A249&amp;"")=0,$P$3=0),0,IF(AND(B249&gt;=Painel!$B$8,B249&lt;=Painel!$G$8,OR(Painel!$L$8="Todos",C249=Painel!$L$8),OR(Painel!$Q$8="Todos",D249=Painel!$Q$8),OR(Painel!$V$8="Todas",E249=Painel!$V$8)),1,0))</f>
        <v>1</v>
      </c>
      <c r="L249" s="61" t="n">
        <f aca="false">IF(LEN(A249&amp;"")=0,"",J249-I249)</f>
        <v>0</v>
      </c>
      <c r="M249" s="1" t="n">
        <f aca="false">IF(LEN(A249&amp;"")=0,0,IF(COUNTIFS(Base!$A$7:$A$1006,A249)&gt;1,1,0))</f>
        <v>0</v>
      </c>
      <c r="N249" s="1" t="n">
        <f aca="false">IF(LEN(A249&amp;"")=0,0,IF(ABS(L249)&gt;0.005,1,0))</f>
        <v>0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customFormat="false" ht="23" hidden="false" customHeight="true" outlineLevel="0" collapsed="false">
      <c r="A250" s="1" t="n">
        <f aca="false">IF(LEN(Base!A250&amp;"")=0,"",Base!A250)</f>
        <v>3474</v>
      </c>
      <c r="B250" s="60" t="n">
        <f aca="false">IF(LEN(A250&amp;"")=0,"",Base!D250)</f>
        <v>45591</v>
      </c>
      <c r="C250" s="1" t="str">
        <f aca="false">IF(LEN(A250&amp;"")=0,"",Base!C250)</f>
        <v>Standard</v>
      </c>
      <c r="D250" s="1" t="str">
        <f aca="false">IF(LEN(A250&amp;"")=0,"",Base!G250)</f>
        <v>Annual</v>
      </c>
      <c r="E250" s="1" t="str">
        <f aca="false">IF(LEN(A250&amp;"")=0,"",Base!E250)</f>
        <v>Yes</v>
      </c>
      <c r="F250" s="61" t="n">
        <f aca="false">IF(LEN(A250&amp;"")=0,"",IF(Base!I250="-",0,Base!I250))</f>
        <v>0</v>
      </c>
      <c r="G250" s="61" t="n">
        <f aca="false">IF(LEN(A250&amp;"")=0,"",SUM(Base!F250,F250,Base!K250))</f>
        <v>30</v>
      </c>
      <c r="H250" s="61" t="n">
        <f aca="false">IF(LEN(A250&amp;"")=0,"",Base!L250)</f>
        <v>15</v>
      </c>
      <c r="I250" s="61" t="n">
        <f aca="false">IF(LEN(A250&amp;"")=0,"",G250-H250)</f>
        <v>15</v>
      </c>
      <c r="J250" s="61" t="n">
        <f aca="false">IF(LEN(A250&amp;"")=0,"",Base!M250)</f>
        <v>15</v>
      </c>
      <c r="K250" s="1" t="n">
        <f aca="false">IF(OR(LEN(A250&amp;"")=0,$P$3=0),0,IF(AND(B250&gt;=Painel!$B$8,B250&lt;=Painel!$G$8,OR(Painel!$L$8="Todos",C250=Painel!$L$8),OR(Painel!$Q$8="Todos",D250=Painel!$Q$8),OR(Painel!$V$8="Todas",E250=Painel!$V$8)),1,0))</f>
        <v>1</v>
      </c>
      <c r="L250" s="61" t="n">
        <f aca="false">IF(LEN(A250&amp;"")=0,"",J250-I250)</f>
        <v>0</v>
      </c>
      <c r="M250" s="1" t="n">
        <f aca="false">IF(LEN(A250&amp;"")=0,0,IF(COUNTIFS(Base!$A$7:$A$1006,A250)&gt;1,1,0))</f>
        <v>0</v>
      </c>
      <c r="N250" s="1" t="n">
        <f aca="false">IF(LEN(A250&amp;"")=0,0,IF(ABS(L250)&gt;0.005,1,0))</f>
        <v>0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customFormat="false" ht="23" hidden="false" customHeight="true" outlineLevel="0" collapsed="false">
      <c r="A251" s="1" t="n">
        <f aca="false">IF(LEN(Base!A251&amp;"")=0,"",Base!A251)</f>
        <v>3475</v>
      </c>
      <c r="B251" s="60" t="n">
        <f aca="false">IF(LEN(A251&amp;"")=0,"",Base!D251)</f>
        <v>45592</v>
      </c>
      <c r="C251" s="1" t="str">
        <f aca="false">IF(LEN(A251&amp;"")=0,"",Base!C251)</f>
        <v>Core</v>
      </c>
      <c r="D251" s="1" t="str">
        <f aca="false">IF(LEN(A251&amp;"")=0,"",Base!G251)</f>
        <v>Monthly</v>
      </c>
      <c r="E251" s="1" t="str">
        <f aca="false">IF(LEN(A251&amp;"")=0,"",Base!E251)</f>
        <v>No</v>
      </c>
      <c r="F251" s="61" t="n">
        <f aca="false">IF(LEN(A251&amp;"")=0,"",IF(Base!I251="-",0,Base!I251))</f>
        <v>0</v>
      </c>
      <c r="G251" s="61" t="n">
        <f aca="false">IF(LEN(A251&amp;"")=0,"",SUM(Base!F251,F251,Base!K251))</f>
        <v>5</v>
      </c>
      <c r="H251" s="61" t="n">
        <f aca="false">IF(LEN(A251&amp;"")=0,"",Base!L251)</f>
        <v>1</v>
      </c>
      <c r="I251" s="61" t="n">
        <f aca="false">IF(LEN(A251&amp;"")=0,"",G251-H251)</f>
        <v>4</v>
      </c>
      <c r="J251" s="61" t="n">
        <f aca="false">IF(LEN(A251&amp;"")=0,"",Base!M251)</f>
        <v>4</v>
      </c>
      <c r="K251" s="1" t="n">
        <f aca="false">IF(OR(LEN(A251&amp;"")=0,$P$3=0),0,IF(AND(B251&gt;=Painel!$B$8,B251&lt;=Painel!$G$8,OR(Painel!$L$8="Todos",C251=Painel!$L$8),OR(Painel!$Q$8="Todos",D251=Painel!$Q$8),OR(Painel!$V$8="Todas",E251=Painel!$V$8)),1,0))</f>
        <v>1</v>
      </c>
      <c r="L251" s="61" t="n">
        <f aca="false">IF(LEN(A251&amp;"")=0,"",J251-I251)</f>
        <v>0</v>
      </c>
      <c r="M251" s="1" t="n">
        <f aca="false">IF(LEN(A251&amp;"")=0,0,IF(COUNTIFS(Base!$A$7:$A$1006,A251)&gt;1,1,0))</f>
        <v>0</v>
      </c>
      <c r="N251" s="1" t="n">
        <f aca="false">IF(LEN(A251&amp;"")=0,0,IF(ABS(L251)&gt;0.005,1,0))</f>
        <v>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customFormat="false" ht="23" hidden="false" customHeight="true" outlineLevel="0" collapsed="false">
      <c r="A252" s="1" t="n">
        <f aca="false">IF(LEN(Base!A252&amp;"")=0,"",Base!A252)</f>
        <v>3476</v>
      </c>
      <c r="B252" s="60" t="n">
        <f aca="false">IF(LEN(A252&amp;"")=0,"",Base!D252)</f>
        <v>45593</v>
      </c>
      <c r="C252" s="1" t="str">
        <f aca="false">IF(LEN(A252&amp;"")=0,"",Base!C252)</f>
        <v>Ultimate</v>
      </c>
      <c r="D252" s="1" t="str">
        <f aca="false">IF(LEN(A252&amp;"")=0,"",Base!G252)</f>
        <v>Quarterly</v>
      </c>
      <c r="E252" s="1" t="str">
        <f aca="false">IF(LEN(A252&amp;"")=0,"",Base!E252)</f>
        <v>Yes</v>
      </c>
      <c r="F252" s="61" t="n">
        <f aca="false">IF(LEN(A252&amp;"")=0,"",IF(Base!I252="-",0,Base!I252))</f>
        <v>30</v>
      </c>
      <c r="G252" s="61" t="n">
        <f aca="false">IF(LEN(A252&amp;"")=0,"",SUM(Base!F252,F252,Base!K252))</f>
        <v>65</v>
      </c>
      <c r="H252" s="61" t="n">
        <f aca="false">IF(LEN(A252&amp;"")=0,"",Base!L252)</f>
        <v>7</v>
      </c>
      <c r="I252" s="61" t="n">
        <f aca="false">IF(LEN(A252&amp;"")=0,"",G252-H252)</f>
        <v>58</v>
      </c>
      <c r="J252" s="61" t="n">
        <f aca="false">IF(LEN(A252&amp;"")=0,"",Base!M252)</f>
        <v>58</v>
      </c>
      <c r="K252" s="1" t="n">
        <f aca="false">IF(OR(LEN(A252&amp;"")=0,$P$3=0),0,IF(AND(B252&gt;=Painel!$B$8,B252&lt;=Painel!$G$8,OR(Painel!$L$8="Todos",C252=Painel!$L$8),OR(Painel!$Q$8="Todos",D252=Painel!$Q$8),OR(Painel!$V$8="Todas",E252=Painel!$V$8)),1,0))</f>
        <v>1</v>
      </c>
      <c r="L252" s="61" t="n">
        <f aca="false">IF(LEN(A252&amp;"")=0,"",J252-I252)</f>
        <v>0</v>
      </c>
      <c r="M252" s="1" t="n">
        <f aca="false">IF(LEN(A252&amp;"")=0,0,IF(COUNTIFS(Base!$A$7:$A$1006,A252)&gt;1,1,0))</f>
        <v>0</v>
      </c>
      <c r="N252" s="1" t="n">
        <f aca="false">IF(LEN(A252&amp;"")=0,0,IF(ABS(L252)&gt;0.005,1,0))</f>
        <v>0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customFormat="false" ht="23" hidden="false" customHeight="true" outlineLevel="0" collapsed="false">
      <c r="A253" s="1" t="n">
        <f aca="false">IF(LEN(Base!A253&amp;"")=0,"",Base!A253)</f>
        <v>3477</v>
      </c>
      <c r="B253" s="60" t="n">
        <f aca="false">IF(LEN(A253&amp;"")=0,"",Base!D253)</f>
        <v>45594</v>
      </c>
      <c r="C253" s="1" t="str">
        <f aca="false">IF(LEN(A253&amp;"")=0,"",Base!C253)</f>
        <v>Standard</v>
      </c>
      <c r="D253" s="1" t="str">
        <f aca="false">IF(LEN(A253&amp;"")=0,"",Base!G253)</f>
        <v>Monthly</v>
      </c>
      <c r="E253" s="1" t="str">
        <f aca="false">IF(LEN(A253&amp;"")=0,"",Base!E253)</f>
        <v>No</v>
      </c>
      <c r="F253" s="61" t="n">
        <f aca="false">IF(LEN(A253&amp;"")=0,"",IF(Base!I253="-",0,Base!I253))</f>
        <v>0</v>
      </c>
      <c r="G253" s="61" t="n">
        <f aca="false">IF(LEN(A253&amp;"")=0,"",SUM(Base!F253,F253,Base!K253))</f>
        <v>30</v>
      </c>
      <c r="H253" s="61" t="n">
        <f aca="false">IF(LEN(A253&amp;"")=0,"",Base!L253)</f>
        <v>10</v>
      </c>
      <c r="I253" s="61" t="n">
        <f aca="false">IF(LEN(A253&amp;"")=0,"",G253-H253)</f>
        <v>20</v>
      </c>
      <c r="J253" s="61" t="n">
        <f aca="false">IF(LEN(A253&amp;"")=0,"",Base!M253)</f>
        <v>20</v>
      </c>
      <c r="K253" s="1" t="n">
        <f aca="false">IF(OR(LEN(A253&amp;"")=0,$P$3=0),0,IF(AND(B253&gt;=Painel!$B$8,B253&lt;=Painel!$G$8,OR(Painel!$L$8="Todos",C253=Painel!$L$8),OR(Painel!$Q$8="Todos",D253=Painel!$Q$8),OR(Painel!$V$8="Todas",E253=Painel!$V$8)),1,0))</f>
        <v>1</v>
      </c>
      <c r="L253" s="61" t="n">
        <f aca="false">IF(LEN(A253&amp;"")=0,"",J253-I253)</f>
        <v>0</v>
      </c>
      <c r="M253" s="1" t="n">
        <f aca="false">IF(LEN(A253&amp;"")=0,0,IF(COUNTIFS(Base!$A$7:$A$1006,A253)&gt;1,1,0))</f>
        <v>0</v>
      </c>
      <c r="N253" s="1" t="n">
        <f aca="false">IF(LEN(A253&amp;"")=0,0,IF(ABS(L253)&gt;0.005,1,0))</f>
        <v>0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customFormat="false" ht="23" hidden="false" customHeight="true" outlineLevel="0" collapsed="false">
      <c r="A254" s="1" t="n">
        <f aca="false">IF(LEN(Base!A254&amp;"")=0,"",Base!A254)</f>
        <v>3478</v>
      </c>
      <c r="B254" s="60" t="n">
        <f aca="false">IF(LEN(A254&amp;"")=0,"",Base!D254)</f>
        <v>45595</v>
      </c>
      <c r="C254" s="1" t="str">
        <f aca="false">IF(LEN(A254&amp;"")=0,"",Base!C254)</f>
        <v>Core</v>
      </c>
      <c r="D254" s="1" t="str">
        <f aca="false">IF(LEN(A254&amp;"")=0,"",Base!G254)</f>
        <v>Annual</v>
      </c>
      <c r="E254" s="1" t="str">
        <f aca="false">IF(LEN(A254&amp;"")=0,"",Base!E254)</f>
        <v>Yes</v>
      </c>
      <c r="F254" s="61" t="n">
        <f aca="false">IF(LEN(A254&amp;"")=0,"",IF(Base!I254="-",0,Base!I254))</f>
        <v>0</v>
      </c>
      <c r="G254" s="61" t="n">
        <f aca="false">IF(LEN(A254&amp;"")=0,"",SUM(Base!F254,F254,Base!K254))</f>
        <v>5</v>
      </c>
      <c r="H254" s="61" t="n">
        <f aca="false">IF(LEN(A254&amp;"")=0,"",Base!L254)</f>
        <v>0</v>
      </c>
      <c r="I254" s="61" t="n">
        <f aca="false">IF(LEN(A254&amp;"")=0,"",G254-H254)</f>
        <v>5</v>
      </c>
      <c r="J254" s="61" t="n">
        <f aca="false">IF(LEN(A254&amp;"")=0,"",Base!M254)</f>
        <v>5</v>
      </c>
      <c r="K254" s="1" t="n">
        <f aca="false">IF(OR(LEN(A254&amp;"")=0,$P$3=0),0,IF(AND(B254&gt;=Painel!$B$8,B254&lt;=Painel!$G$8,OR(Painel!$L$8="Todos",C254=Painel!$L$8),OR(Painel!$Q$8="Todos",D254=Painel!$Q$8),OR(Painel!$V$8="Todas",E254=Painel!$V$8)),1,0))</f>
        <v>1</v>
      </c>
      <c r="L254" s="61" t="n">
        <f aca="false">IF(LEN(A254&amp;"")=0,"",J254-I254)</f>
        <v>0</v>
      </c>
      <c r="M254" s="1" t="n">
        <f aca="false">IF(LEN(A254&amp;"")=0,0,IF(COUNTIFS(Base!$A$7:$A$1006,A254)&gt;1,1,0))</f>
        <v>0</v>
      </c>
      <c r="N254" s="1" t="n">
        <f aca="false">IF(LEN(A254&amp;"")=0,0,IF(ABS(L254)&gt;0.005,1,0))</f>
        <v>0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customFormat="false" ht="23" hidden="false" customHeight="true" outlineLevel="0" collapsed="false">
      <c r="A255" s="1" t="n">
        <f aca="false">IF(LEN(Base!A255&amp;"")=0,"",Base!A255)</f>
        <v>3479</v>
      </c>
      <c r="B255" s="60" t="n">
        <f aca="false">IF(LEN(A255&amp;"")=0,"",Base!D255)</f>
        <v>45596</v>
      </c>
      <c r="C255" s="1" t="str">
        <f aca="false">IF(LEN(A255&amp;"")=0,"",Base!C255)</f>
        <v>Ultimate</v>
      </c>
      <c r="D255" s="1" t="str">
        <f aca="false">IF(LEN(A255&amp;"")=0,"",Base!G255)</f>
        <v>Monthly</v>
      </c>
      <c r="E255" s="1" t="str">
        <f aca="false">IF(LEN(A255&amp;"")=0,"",Base!E255)</f>
        <v>No</v>
      </c>
      <c r="F255" s="61" t="n">
        <f aca="false">IF(LEN(A255&amp;"")=0,"",IF(Base!I255="-",0,Base!I255))</f>
        <v>30</v>
      </c>
      <c r="G255" s="61" t="n">
        <f aca="false">IF(LEN(A255&amp;"")=0,"",SUM(Base!F255,F255,Base!K255))</f>
        <v>65</v>
      </c>
      <c r="H255" s="61" t="n">
        <f aca="false">IF(LEN(A255&amp;"")=0,"",Base!L255)</f>
        <v>20</v>
      </c>
      <c r="I255" s="61" t="n">
        <f aca="false">IF(LEN(A255&amp;"")=0,"",G255-H255)</f>
        <v>45</v>
      </c>
      <c r="J255" s="61" t="n">
        <f aca="false">IF(LEN(A255&amp;"")=0,"",Base!M255)</f>
        <v>45</v>
      </c>
      <c r="K255" s="1" t="n">
        <f aca="false">IF(OR(LEN(A255&amp;"")=0,$P$3=0),0,IF(AND(B255&gt;=Painel!$B$8,B255&lt;=Painel!$G$8,OR(Painel!$L$8="Todos",C255=Painel!$L$8),OR(Painel!$Q$8="Todos",D255=Painel!$Q$8),OR(Painel!$V$8="Todas",E255=Painel!$V$8)),1,0))</f>
        <v>1</v>
      </c>
      <c r="L255" s="61" t="n">
        <f aca="false">IF(LEN(A255&amp;"")=0,"",J255-I255)</f>
        <v>0</v>
      </c>
      <c r="M255" s="1" t="n">
        <f aca="false">IF(LEN(A255&amp;"")=0,0,IF(COUNTIFS(Base!$A$7:$A$1006,A255)&gt;1,1,0))</f>
        <v>0</v>
      </c>
      <c r="N255" s="1" t="n">
        <f aca="false">IF(LEN(A255&amp;"")=0,0,IF(ABS(L255)&gt;0.005,1,0))</f>
        <v>0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customFormat="false" ht="23" hidden="false" customHeight="true" outlineLevel="0" collapsed="false">
      <c r="A256" s="1" t="n">
        <f aca="false">IF(LEN(Base!A256&amp;"")=0,"",Base!A256)</f>
        <v>3480</v>
      </c>
      <c r="B256" s="60" t="n">
        <f aca="false">IF(LEN(A256&amp;"")=0,"",Base!D256)</f>
        <v>45597</v>
      </c>
      <c r="C256" s="1" t="str">
        <f aca="false">IF(LEN(A256&amp;"")=0,"",Base!C256)</f>
        <v>Standard</v>
      </c>
      <c r="D256" s="1" t="str">
        <f aca="false">IF(LEN(A256&amp;"")=0,"",Base!G256)</f>
        <v>Quarterly</v>
      </c>
      <c r="E256" s="1" t="str">
        <f aca="false">IF(LEN(A256&amp;"")=0,"",Base!E256)</f>
        <v>Yes</v>
      </c>
      <c r="F256" s="61" t="n">
        <f aca="false">IF(LEN(A256&amp;"")=0,"",IF(Base!I256="-",0,Base!I256))</f>
        <v>0</v>
      </c>
      <c r="G256" s="61" t="n">
        <f aca="false">IF(LEN(A256&amp;"")=0,"",SUM(Base!F256,F256,Base!K256))</f>
        <v>30</v>
      </c>
      <c r="H256" s="61" t="n">
        <f aca="false">IF(LEN(A256&amp;"")=0,"",Base!L256)</f>
        <v>15</v>
      </c>
      <c r="I256" s="61" t="n">
        <f aca="false">IF(LEN(A256&amp;"")=0,"",G256-H256)</f>
        <v>15</v>
      </c>
      <c r="J256" s="61" t="n">
        <f aca="false">IF(LEN(A256&amp;"")=0,"",Base!M256)</f>
        <v>15</v>
      </c>
      <c r="K256" s="1" t="n">
        <f aca="false">IF(OR(LEN(A256&amp;"")=0,$P$3=0),0,IF(AND(B256&gt;=Painel!$B$8,B256&lt;=Painel!$G$8,OR(Painel!$L$8="Todos",C256=Painel!$L$8),OR(Painel!$Q$8="Todos",D256=Painel!$Q$8),OR(Painel!$V$8="Todas",E256=Painel!$V$8)),1,0))</f>
        <v>1</v>
      </c>
      <c r="L256" s="61" t="n">
        <f aca="false">IF(LEN(A256&amp;"")=0,"",J256-I256)</f>
        <v>0</v>
      </c>
      <c r="M256" s="1" t="n">
        <f aca="false">IF(LEN(A256&amp;"")=0,0,IF(COUNTIFS(Base!$A$7:$A$1006,A256)&gt;1,1,0))</f>
        <v>0</v>
      </c>
      <c r="N256" s="1" t="n">
        <f aca="false">IF(LEN(A256&amp;"")=0,0,IF(ABS(L256)&gt;0.005,1,0))</f>
        <v>0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customFormat="false" ht="23" hidden="false" customHeight="true" outlineLevel="0" collapsed="false">
      <c r="A257" s="1" t="n">
        <f aca="false">IF(LEN(Base!A257&amp;"")=0,"",Base!A257)</f>
        <v>3481</v>
      </c>
      <c r="B257" s="60" t="n">
        <f aca="false">IF(LEN(A257&amp;"")=0,"",Base!D257)</f>
        <v>45598</v>
      </c>
      <c r="C257" s="1" t="str">
        <f aca="false">IF(LEN(A257&amp;"")=0,"",Base!C257)</f>
        <v>Core</v>
      </c>
      <c r="D257" s="1" t="str">
        <f aca="false">IF(LEN(A257&amp;"")=0,"",Base!G257)</f>
        <v>Monthly</v>
      </c>
      <c r="E257" s="1" t="str">
        <f aca="false">IF(LEN(A257&amp;"")=0,"",Base!E257)</f>
        <v>No</v>
      </c>
      <c r="F257" s="61" t="n">
        <f aca="false">IF(LEN(A257&amp;"")=0,"",IF(Base!I257="-",0,Base!I257))</f>
        <v>0</v>
      </c>
      <c r="G257" s="61" t="n">
        <f aca="false">IF(LEN(A257&amp;"")=0,"",SUM(Base!F257,F257,Base!K257))</f>
        <v>5</v>
      </c>
      <c r="H257" s="61" t="n">
        <f aca="false">IF(LEN(A257&amp;"")=0,"",Base!L257)</f>
        <v>1</v>
      </c>
      <c r="I257" s="61" t="n">
        <f aca="false">IF(LEN(A257&amp;"")=0,"",G257-H257)</f>
        <v>4</v>
      </c>
      <c r="J257" s="61" t="n">
        <f aca="false">IF(LEN(A257&amp;"")=0,"",Base!M257)</f>
        <v>4</v>
      </c>
      <c r="K257" s="1" t="n">
        <f aca="false">IF(OR(LEN(A257&amp;"")=0,$P$3=0),0,IF(AND(B257&gt;=Painel!$B$8,B257&lt;=Painel!$G$8,OR(Painel!$L$8="Todos",C257=Painel!$L$8),OR(Painel!$Q$8="Todos",D257=Painel!$Q$8),OR(Painel!$V$8="Todas",E257=Painel!$V$8)),1,0))</f>
        <v>1</v>
      </c>
      <c r="L257" s="61" t="n">
        <f aca="false">IF(LEN(A257&amp;"")=0,"",J257-I257)</f>
        <v>0</v>
      </c>
      <c r="M257" s="1" t="n">
        <f aca="false">IF(LEN(A257&amp;"")=0,0,IF(COUNTIFS(Base!$A$7:$A$1006,A257)&gt;1,1,0))</f>
        <v>0</v>
      </c>
      <c r="N257" s="1" t="n">
        <f aca="false">IF(LEN(A257&amp;"")=0,0,IF(ABS(L257)&gt;0.005,1,0))</f>
        <v>0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customFormat="false" ht="23" hidden="false" customHeight="true" outlineLevel="0" collapsed="false">
      <c r="A258" s="1" t="n">
        <f aca="false">IF(LEN(Base!A258&amp;"")=0,"",Base!A258)</f>
        <v>3482</v>
      </c>
      <c r="B258" s="60" t="n">
        <f aca="false">IF(LEN(A258&amp;"")=0,"",Base!D258)</f>
        <v>45599</v>
      </c>
      <c r="C258" s="1" t="str">
        <f aca="false">IF(LEN(A258&amp;"")=0,"",Base!C258)</f>
        <v>Ultimate</v>
      </c>
      <c r="D258" s="1" t="str">
        <f aca="false">IF(LEN(A258&amp;"")=0,"",Base!G258)</f>
        <v>Annual</v>
      </c>
      <c r="E258" s="1" t="str">
        <f aca="false">IF(LEN(A258&amp;"")=0,"",Base!E258)</f>
        <v>Yes</v>
      </c>
      <c r="F258" s="61" t="n">
        <f aca="false">IF(LEN(A258&amp;"")=0,"",IF(Base!I258="-",0,Base!I258))</f>
        <v>30</v>
      </c>
      <c r="G258" s="61" t="n">
        <f aca="false">IF(LEN(A258&amp;"")=0,"",SUM(Base!F258,F258,Base!K258))</f>
        <v>65</v>
      </c>
      <c r="H258" s="61" t="n">
        <f aca="false">IF(LEN(A258&amp;"")=0,"",Base!L258)</f>
        <v>3</v>
      </c>
      <c r="I258" s="61" t="n">
        <f aca="false">IF(LEN(A258&amp;"")=0,"",G258-H258)</f>
        <v>62</v>
      </c>
      <c r="J258" s="61" t="n">
        <f aca="false">IF(LEN(A258&amp;"")=0,"",Base!M258)</f>
        <v>62</v>
      </c>
      <c r="K258" s="1" t="n">
        <f aca="false">IF(OR(LEN(A258&amp;"")=0,$P$3=0),0,IF(AND(B258&gt;=Painel!$B$8,B258&lt;=Painel!$G$8,OR(Painel!$L$8="Todos",C258=Painel!$L$8),OR(Painel!$Q$8="Todos",D258=Painel!$Q$8),OR(Painel!$V$8="Todas",E258=Painel!$V$8)),1,0))</f>
        <v>1</v>
      </c>
      <c r="L258" s="61" t="n">
        <f aca="false">IF(LEN(A258&amp;"")=0,"",J258-I258)</f>
        <v>0</v>
      </c>
      <c r="M258" s="1" t="n">
        <f aca="false">IF(LEN(A258&amp;"")=0,0,IF(COUNTIFS(Base!$A$7:$A$1006,A258)&gt;1,1,0))</f>
        <v>0</v>
      </c>
      <c r="N258" s="1" t="n">
        <f aca="false">IF(LEN(A258&amp;"")=0,0,IF(ABS(L258)&gt;0.005,1,0))</f>
        <v>0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customFormat="false" ht="23" hidden="false" customHeight="true" outlineLevel="0" collapsed="false">
      <c r="A259" s="1" t="n">
        <f aca="false">IF(LEN(Base!A259&amp;"")=0,"",Base!A259)</f>
        <v>3483</v>
      </c>
      <c r="B259" s="60" t="n">
        <f aca="false">IF(LEN(A259&amp;"")=0,"",Base!D259)</f>
        <v>45600</v>
      </c>
      <c r="C259" s="1" t="str">
        <f aca="false">IF(LEN(A259&amp;"")=0,"",Base!C259)</f>
        <v>Standard</v>
      </c>
      <c r="D259" s="1" t="str">
        <f aca="false">IF(LEN(A259&amp;"")=0,"",Base!G259)</f>
        <v>Monthly</v>
      </c>
      <c r="E259" s="1" t="str">
        <f aca="false">IF(LEN(A259&amp;"")=0,"",Base!E259)</f>
        <v>No</v>
      </c>
      <c r="F259" s="61" t="n">
        <f aca="false">IF(LEN(A259&amp;"")=0,"",IF(Base!I259="-",0,Base!I259))</f>
        <v>0</v>
      </c>
      <c r="G259" s="61" t="n">
        <f aca="false">IF(LEN(A259&amp;"")=0,"",SUM(Base!F259,F259,Base!K259))</f>
        <v>30</v>
      </c>
      <c r="H259" s="61" t="n">
        <f aca="false">IF(LEN(A259&amp;"")=0,"",Base!L259)</f>
        <v>10</v>
      </c>
      <c r="I259" s="61" t="n">
        <f aca="false">IF(LEN(A259&amp;"")=0,"",G259-H259)</f>
        <v>20</v>
      </c>
      <c r="J259" s="61" t="n">
        <f aca="false">IF(LEN(A259&amp;"")=0,"",Base!M259)</f>
        <v>20</v>
      </c>
      <c r="K259" s="1" t="n">
        <f aca="false">IF(OR(LEN(A259&amp;"")=0,$P$3=0),0,IF(AND(B259&gt;=Painel!$B$8,B259&lt;=Painel!$G$8,OR(Painel!$L$8="Todos",C259=Painel!$L$8),OR(Painel!$Q$8="Todos",D259=Painel!$Q$8),OR(Painel!$V$8="Todas",E259=Painel!$V$8)),1,0))</f>
        <v>1</v>
      </c>
      <c r="L259" s="61" t="n">
        <f aca="false">IF(LEN(A259&amp;"")=0,"",J259-I259)</f>
        <v>0</v>
      </c>
      <c r="M259" s="1" t="n">
        <f aca="false">IF(LEN(A259&amp;"")=0,0,IF(COUNTIFS(Base!$A$7:$A$1006,A259)&gt;1,1,0))</f>
        <v>0</v>
      </c>
      <c r="N259" s="1" t="n">
        <f aca="false">IF(LEN(A259&amp;"")=0,0,IF(ABS(L259)&gt;0.005,1,0))</f>
        <v>0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customFormat="false" ht="23" hidden="false" customHeight="true" outlineLevel="0" collapsed="false">
      <c r="A260" s="1" t="n">
        <f aca="false">IF(LEN(Base!A260&amp;"")=0,"",Base!A260)</f>
        <v>3484</v>
      </c>
      <c r="B260" s="60" t="n">
        <f aca="false">IF(LEN(A260&amp;"")=0,"",Base!D260)</f>
        <v>45601</v>
      </c>
      <c r="C260" s="1" t="str">
        <f aca="false">IF(LEN(A260&amp;"")=0,"",Base!C260)</f>
        <v>Core</v>
      </c>
      <c r="D260" s="1" t="str">
        <f aca="false">IF(LEN(A260&amp;"")=0,"",Base!G260)</f>
        <v>Quarterly</v>
      </c>
      <c r="E260" s="1" t="str">
        <f aca="false">IF(LEN(A260&amp;"")=0,"",Base!E260)</f>
        <v>Yes</v>
      </c>
      <c r="F260" s="61" t="n">
        <f aca="false">IF(LEN(A260&amp;"")=0,"",IF(Base!I260="-",0,Base!I260))</f>
        <v>0</v>
      </c>
      <c r="G260" s="61" t="n">
        <f aca="false">IF(LEN(A260&amp;"")=0,"",SUM(Base!F260,F260,Base!K260))</f>
        <v>5</v>
      </c>
      <c r="H260" s="61" t="n">
        <f aca="false">IF(LEN(A260&amp;"")=0,"",Base!L260)</f>
        <v>0</v>
      </c>
      <c r="I260" s="61" t="n">
        <f aca="false">IF(LEN(A260&amp;"")=0,"",G260-H260)</f>
        <v>5</v>
      </c>
      <c r="J260" s="61" t="n">
        <f aca="false">IF(LEN(A260&amp;"")=0,"",Base!M260)</f>
        <v>5</v>
      </c>
      <c r="K260" s="1" t="n">
        <f aca="false">IF(OR(LEN(A260&amp;"")=0,$P$3=0),0,IF(AND(B260&gt;=Painel!$B$8,B260&lt;=Painel!$G$8,OR(Painel!$L$8="Todos",C260=Painel!$L$8),OR(Painel!$Q$8="Todos",D260=Painel!$Q$8),OR(Painel!$V$8="Todas",E260=Painel!$V$8)),1,0))</f>
        <v>1</v>
      </c>
      <c r="L260" s="61" t="n">
        <f aca="false">IF(LEN(A260&amp;"")=0,"",J260-I260)</f>
        <v>0</v>
      </c>
      <c r="M260" s="1" t="n">
        <f aca="false">IF(LEN(A260&amp;"")=0,0,IF(COUNTIFS(Base!$A$7:$A$1006,A260)&gt;1,1,0))</f>
        <v>0</v>
      </c>
      <c r="N260" s="1" t="n">
        <f aca="false">IF(LEN(A260&amp;"")=0,0,IF(ABS(L260)&gt;0.005,1,0))</f>
        <v>0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customFormat="false" ht="23" hidden="false" customHeight="true" outlineLevel="0" collapsed="false">
      <c r="A261" s="1" t="n">
        <f aca="false">IF(LEN(Base!A261&amp;"")=0,"",Base!A261)</f>
        <v>3485</v>
      </c>
      <c r="B261" s="60" t="n">
        <f aca="false">IF(LEN(A261&amp;"")=0,"",Base!D261)</f>
        <v>45602</v>
      </c>
      <c r="C261" s="1" t="str">
        <f aca="false">IF(LEN(A261&amp;"")=0,"",Base!C261)</f>
        <v>Ultimate</v>
      </c>
      <c r="D261" s="1" t="str">
        <f aca="false">IF(LEN(A261&amp;"")=0,"",Base!G261)</f>
        <v>Monthly</v>
      </c>
      <c r="E261" s="1" t="str">
        <f aca="false">IF(LEN(A261&amp;"")=0,"",Base!E261)</f>
        <v>No</v>
      </c>
      <c r="F261" s="61" t="n">
        <f aca="false">IF(LEN(A261&amp;"")=0,"",IF(Base!I261="-",0,Base!I261))</f>
        <v>30</v>
      </c>
      <c r="G261" s="61" t="n">
        <f aca="false">IF(LEN(A261&amp;"")=0,"",SUM(Base!F261,F261,Base!K261))</f>
        <v>65</v>
      </c>
      <c r="H261" s="61" t="n">
        <f aca="false">IF(LEN(A261&amp;"")=0,"",Base!L261)</f>
        <v>15</v>
      </c>
      <c r="I261" s="61" t="n">
        <f aca="false">IF(LEN(A261&amp;"")=0,"",G261-H261)</f>
        <v>50</v>
      </c>
      <c r="J261" s="61" t="n">
        <f aca="false">IF(LEN(A261&amp;"")=0,"",Base!M261)</f>
        <v>50</v>
      </c>
      <c r="K261" s="1" t="n">
        <f aca="false">IF(OR(LEN(A261&amp;"")=0,$P$3=0),0,IF(AND(B261&gt;=Painel!$B$8,B261&lt;=Painel!$G$8,OR(Painel!$L$8="Todos",C261=Painel!$L$8),OR(Painel!$Q$8="Todos",D261=Painel!$Q$8),OR(Painel!$V$8="Todas",E261=Painel!$V$8)),1,0))</f>
        <v>1</v>
      </c>
      <c r="L261" s="61" t="n">
        <f aca="false">IF(LEN(A261&amp;"")=0,"",J261-I261)</f>
        <v>0</v>
      </c>
      <c r="M261" s="1" t="n">
        <f aca="false">IF(LEN(A261&amp;"")=0,0,IF(COUNTIFS(Base!$A$7:$A$1006,A261)&gt;1,1,0))</f>
        <v>0</v>
      </c>
      <c r="N261" s="1" t="n">
        <f aca="false">IF(LEN(A261&amp;"")=0,0,IF(ABS(L261)&gt;0.005,1,0))</f>
        <v>0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customFormat="false" ht="23" hidden="false" customHeight="true" outlineLevel="0" collapsed="false">
      <c r="A262" s="1" t="n">
        <f aca="false">IF(LEN(Base!A262&amp;"")=0,"",Base!A262)</f>
        <v>3486</v>
      </c>
      <c r="B262" s="60" t="n">
        <f aca="false">IF(LEN(A262&amp;"")=0,"",Base!D262)</f>
        <v>45603</v>
      </c>
      <c r="C262" s="1" t="str">
        <f aca="false">IF(LEN(A262&amp;"")=0,"",Base!C262)</f>
        <v>Core</v>
      </c>
      <c r="D262" s="1" t="str">
        <f aca="false">IF(LEN(A262&amp;"")=0,"",Base!G262)</f>
        <v>Monthly</v>
      </c>
      <c r="E262" s="1" t="str">
        <f aca="false">IF(LEN(A262&amp;"")=0,"",Base!E262)</f>
        <v>Yes</v>
      </c>
      <c r="F262" s="61" t="n">
        <f aca="false">IF(LEN(A262&amp;"")=0,"",IF(Base!I262="-",0,Base!I262))</f>
        <v>0</v>
      </c>
      <c r="G262" s="61" t="n">
        <f aca="false">IF(LEN(A262&amp;"")=0,"",SUM(Base!F262,F262,Base!K262))</f>
        <v>5</v>
      </c>
      <c r="H262" s="61" t="n">
        <f aca="false">IF(LEN(A262&amp;"")=0,"",Base!L262)</f>
        <v>0</v>
      </c>
      <c r="I262" s="61" t="n">
        <f aca="false">IF(LEN(A262&amp;"")=0,"",G262-H262)</f>
        <v>5</v>
      </c>
      <c r="J262" s="61" t="n">
        <f aca="false">IF(LEN(A262&amp;"")=0,"",Base!M262)</f>
        <v>5</v>
      </c>
      <c r="K262" s="1" t="n">
        <f aca="false">IF(OR(LEN(A262&amp;"")=0,$P$3=0),0,IF(AND(B262&gt;=Painel!$B$8,B262&lt;=Painel!$G$8,OR(Painel!$L$8="Todos",C262=Painel!$L$8),OR(Painel!$Q$8="Todos",D262=Painel!$Q$8),OR(Painel!$V$8="Todas",E262=Painel!$V$8)),1,0))</f>
        <v>1</v>
      </c>
      <c r="L262" s="61" t="n">
        <f aca="false">IF(LEN(A262&amp;"")=0,"",J262-I262)</f>
        <v>0</v>
      </c>
      <c r="M262" s="1" t="n">
        <f aca="false">IF(LEN(A262&amp;"")=0,0,IF(COUNTIFS(Base!$A$7:$A$1006,A262)&gt;1,1,0))</f>
        <v>0</v>
      </c>
      <c r="N262" s="1" t="n">
        <f aca="false">IF(LEN(A262&amp;"")=0,0,IF(ABS(L262)&gt;0.005,1,0))</f>
        <v>0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customFormat="false" ht="23" hidden="false" customHeight="true" outlineLevel="0" collapsed="false">
      <c r="A263" s="1" t="n">
        <f aca="false">IF(LEN(Base!A263&amp;"")=0,"",Base!A263)</f>
        <v>3487</v>
      </c>
      <c r="B263" s="60" t="n">
        <f aca="false">IF(LEN(A263&amp;"")=0,"",Base!D263)</f>
        <v>45604</v>
      </c>
      <c r="C263" s="1" t="str">
        <f aca="false">IF(LEN(A263&amp;"")=0,"",Base!C263)</f>
        <v>Ultimate</v>
      </c>
      <c r="D263" s="1" t="str">
        <f aca="false">IF(LEN(A263&amp;"")=0,"",Base!G263)</f>
        <v>Quarterly</v>
      </c>
      <c r="E263" s="1" t="str">
        <f aca="false">IF(LEN(A263&amp;"")=0,"",Base!E263)</f>
        <v>No</v>
      </c>
      <c r="F263" s="61" t="n">
        <f aca="false">IF(LEN(A263&amp;"")=0,"",IF(Base!I263="-",0,Base!I263))</f>
        <v>30</v>
      </c>
      <c r="G263" s="61" t="n">
        <f aca="false">IF(LEN(A263&amp;"")=0,"",SUM(Base!F263,F263,Base!K263))</f>
        <v>65</v>
      </c>
      <c r="H263" s="61" t="n">
        <f aca="false">IF(LEN(A263&amp;"")=0,"",Base!L263)</f>
        <v>7</v>
      </c>
      <c r="I263" s="61" t="n">
        <f aca="false">IF(LEN(A263&amp;"")=0,"",G263-H263)</f>
        <v>58</v>
      </c>
      <c r="J263" s="61" t="n">
        <f aca="false">IF(LEN(A263&amp;"")=0,"",Base!M263)</f>
        <v>58</v>
      </c>
      <c r="K263" s="1" t="n">
        <f aca="false">IF(OR(LEN(A263&amp;"")=0,$P$3=0),0,IF(AND(B263&gt;=Painel!$B$8,B263&lt;=Painel!$G$8,OR(Painel!$L$8="Todos",C263=Painel!$L$8),OR(Painel!$Q$8="Todos",D263=Painel!$Q$8),OR(Painel!$V$8="Todas",E263=Painel!$V$8)),1,0))</f>
        <v>1</v>
      </c>
      <c r="L263" s="61" t="n">
        <f aca="false">IF(LEN(A263&amp;"")=0,"",J263-I263)</f>
        <v>0</v>
      </c>
      <c r="M263" s="1" t="n">
        <f aca="false">IF(LEN(A263&amp;"")=0,0,IF(COUNTIFS(Base!$A$7:$A$1006,A263)&gt;1,1,0))</f>
        <v>0</v>
      </c>
      <c r="N263" s="1" t="n">
        <f aca="false">IF(LEN(A263&amp;"")=0,0,IF(ABS(L263)&gt;0.005,1,0))</f>
        <v>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customFormat="false" ht="23" hidden="false" customHeight="true" outlineLevel="0" collapsed="false">
      <c r="A264" s="1" t="n">
        <f aca="false">IF(LEN(Base!A264&amp;"")=0,"",Base!A264)</f>
        <v>3488</v>
      </c>
      <c r="B264" s="60" t="n">
        <f aca="false">IF(LEN(A264&amp;"")=0,"",Base!D264)</f>
        <v>45605</v>
      </c>
      <c r="C264" s="1" t="str">
        <f aca="false">IF(LEN(A264&amp;"")=0,"",Base!C264)</f>
        <v>Standard</v>
      </c>
      <c r="D264" s="1" t="str">
        <f aca="false">IF(LEN(A264&amp;"")=0,"",Base!G264)</f>
        <v>Annual</v>
      </c>
      <c r="E264" s="1" t="str">
        <f aca="false">IF(LEN(A264&amp;"")=0,"",Base!E264)</f>
        <v>Yes</v>
      </c>
      <c r="F264" s="61" t="n">
        <f aca="false">IF(LEN(A264&amp;"")=0,"",IF(Base!I264="-",0,Base!I264))</f>
        <v>0</v>
      </c>
      <c r="G264" s="61" t="n">
        <f aca="false">IF(LEN(A264&amp;"")=0,"",SUM(Base!F264,F264,Base!K264))</f>
        <v>30</v>
      </c>
      <c r="H264" s="61" t="n">
        <f aca="false">IF(LEN(A264&amp;"")=0,"",Base!L264)</f>
        <v>10</v>
      </c>
      <c r="I264" s="61" t="n">
        <f aca="false">IF(LEN(A264&amp;"")=0,"",G264-H264)</f>
        <v>20</v>
      </c>
      <c r="J264" s="61" t="n">
        <f aca="false">IF(LEN(A264&amp;"")=0,"",Base!M264)</f>
        <v>20</v>
      </c>
      <c r="K264" s="1" t="n">
        <f aca="false">IF(OR(LEN(A264&amp;"")=0,$P$3=0),0,IF(AND(B264&gt;=Painel!$B$8,B264&lt;=Painel!$G$8,OR(Painel!$L$8="Todos",C264=Painel!$L$8),OR(Painel!$Q$8="Todos",D264=Painel!$Q$8),OR(Painel!$V$8="Todas",E264=Painel!$V$8)),1,0))</f>
        <v>1</v>
      </c>
      <c r="L264" s="61" t="n">
        <f aca="false">IF(LEN(A264&amp;"")=0,"",J264-I264)</f>
        <v>0</v>
      </c>
      <c r="M264" s="1" t="n">
        <f aca="false">IF(LEN(A264&amp;"")=0,0,IF(COUNTIFS(Base!$A$7:$A$1006,A264)&gt;1,1,0))</f>
        <v>0</v>
      </c>
      <c r="N264" s="1" t="n">
        <f aca="false">IF(LEN(A264&amp;"")=0,0,IF(ABS(L264)&gt;0.005,1,0))</f>
        <v>0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customFormat="false" ht="23" hidden="false" customHeight="true" outlineLevel="0" collapsed="false">
      <c r="A265" s="1" t="n">
        <f aca="false">IF(LEN(Base!A265&amp;"")=0,"",Base!A265)</f>
        <v>3489</v>
      </c>
      <c r="B265" s="60" t="n">
        <f aca="false">IF(LEN(A265&amp;"")=0,"",Base!D265)</f>
        <v>45606</v>
      </c>
      <c r="C265" s="1" t="str">
        <f aca="false">IF(LEN(A265&amp;"")=0,"",Base!C265)</f>
        <v>Core</v>
      </c>
      <c r="D265" s="1" t="str">
        <f aca="false">IF(LEN(A265&amp;"")=0,"",Base!G265)</f>
        <v>Quarterly</v>
      </c>
      <c r="E265" s="1" t="str">
        <f aca="false">IF(LEN(A265&amp;"")=0,"",Base!E265)</f>
        <v>No</v>
      </c>
      <c r="F265" s="61" t="n">
        <f aca="false">IF(LEN(A265&amp;"")=0,"",IF(Base!I265="-",0,Base!I265))</f>
        <v>0</v>
      </c>
      <c r="G265" s="61" t="n">
        <f aca="false">IF(LEN(A265&amp;"")=0,"",SUM(Base!F265,F265,Base!K265))</f>
        <v>5</v>
      </c>
      <c r="H265" s="61" t="n">
        <f aca="false">IF(LEN(A265&amp;"")=0,"",Base!L265)</f>
        <v>1</v>
      </c>
      <c r="I265" s="61" t="n">
        <f aca="false">IF(LEN(A265&amp;"")=0,"",G265-H265)</f>
        <v>4</v>
      </c>
      <c r="J265" s="61" t="n">
        <f aca="false">IF(LEN(A265&amp;"")=0,"",Base!M265)</f>
        <v>4</v>
      </c>
      <c r="K265" s="1" t="n">
        <f aca="false">IF(OR(LEN(A265&amp;"")=0,$P$3=0),0,IF(AND(B265&gt;=Painel!$B$8,B265&lt;=Painel!$G$8,OR(Painel!$L$8="Todos",C265=Painel!$L$8),OR(Painel!$Q$8="Todos",D265=Painel!$Q$8),OR(Painel!$V$8="Todas",E265=Painel!$V$8)),1,0))</f>
        <v>1</v>
      </c>
      <c r="L265" s="61" t="n">
        <f aca="false">IF(LEN(A265&amp;"")=0,"",J265-I265)</f>
        <v>0</v>
      </c>
      <c r="M265" s="1" t="n">
        <f aca="false">IF(LEN(A265&amp;"")=0,0,IF(COUNTIFS(Base!$A$7:$A$1006,A265)&gt;1,1,0))</f>
        <v>0</v>
      </c>
      <c r="N265" s="1" t="n">
        <f aca="false">IF(LEN(A265&amp;"")=0,0,IF(ABS(L265)&gt;0.005,1,0))</f>
        <v>0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customFormat="false" ht="23" hidden="false" customHeight="true" outlineLevel="0" collapsed="false">
      <c r="A266" s="1" t="n">
        <f aca="false">IF(LEN(Base!A266&amp;"")=0,"",Base!A266)</f>
        <v>3490</v>
      </c>
      <c r="B266" s="60" t="n">
        <f aca="false">IF(LEN(A266&amp;"")=0,"",Base!D266)</f>
        <v>45607</v>
      </c>
      <c r="C266" s="1" t="str">
        <f aca="false">IF(LEN(A266&amp;"")=0,"",Base!C266)</f>
        <v>Ultimate</v>
      </c>
      <c r="D266" s="1" t="str">
        <f aca="false">IF(LEN(A266&amp;"")=0,"",Base!G266)</f>
        <v>Monthly</v>
      </c>
      <c r="E266" s="1" t="str">
        <f aca="false">IF(LEN(A266&amp;"")=0,"",Base!E266)</f>
        <v>Yes</v>
      </c>
      <c r="F266" s="61" t="n">
        <f aca="false">IF(LEN(A266&amp;"")=0,"",IF(Base!I266="-",0,Base!I266))</f>
        <v>30</v>
      </c>
      <c r="G266" s="61" t="n">
        <f aca="false">IF(LEN(A266&amp;"")=0,"",SUM(Base!F266,F266,Base!K266))</f>
        <v>65</v>
      </c>
      <c r="H266" s="61" t="n">
        <f aca="false">IF(LEN(A266&amp;"")=0,"",Base!L266)</f>
        <v>15</v>
      </c>
      <c r="I266" s="61" t="n">
        <f aca="false">IF(LEN(A266&amp;"")=0,"",G266-H266)</f>
        <v>50</v>
      </c>
      <c r="J266" s="61" t="n">
        <f aca="false">IF(LEN(A266&amp;"")=0,"",Base!M266)</f>
        <v>50</v>
      </c>
      <c r="K266" s="1" t="n">
        <f aca="false">IF(OR(LEN(A266&amp;"")=0,$P$3=0),0,IF(AND(B266&gt;=Painel!$B$8,B266&lt;=Painel!$G$8,OR(Painel!$L$8="Todos",C266=Painel!$L$8),OR(Painel!$Q$8="Todos",D266=Painel!$Q$8),OR(Painel!$V$8="Todas",E266=Painel!$V$8)),1,0))</f>
        <v>1</v>
      </c>
      <c r="L266" s="61" t="n">
        <f aca="false">IF(LEN(A266&amp;"")=0,"",J266-I266)</f>
        <v>0</v>
      </c>
      <c r="M266" s="1" t="n">
        <f aca="false">IF(LEN(A266&amp;"")=0,0,IF(COUNTIFS(Base!$A$7:$A$1006,A266)&gt;1,1,0))</f>
        <v>0</v>
      </c>
      <c r="N266" s="1" t="n">
        <f aca="false">IF(LEN(A266&amp;"")=0,0,IF(ABS(L266)&gt;0.005,1,0))</f>
        <v>0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customFormat="false" ht="23" hidden="false" customHeight="true" outlineLevel="0" collapsed="false">
      <c r="A267" s="1" t="n">
        <f aca="false">IF(LEN(Base!A267&amp;"")=0,"",Base!A267)</f>
        <v>3491</v>
      </c>
      <c r="B267" s="60" t="n">
        <f aca="false">IF(LEN(A267&amp;"")=0,"",Base!D267)</f>
        <v>45608</v>
      </c>
      <c r="C267" s="1" t="str">
        <f aca="false">IF(LEN(A267&amp;"")=0,"",Base!C267)</f>
        <v>Standard</v>
      </c>
      <c r="D267" s="1" t="str">
        <f aca="false">IF(LEN(A267&amp;"")=0,"",Base!G267)</f>
        <v>Monthly</v>
      </c>
      <c r="E267" s="1" t="str">
        <f aca="false">IF(LEN(A267&amp;"")=0,"",Base!E267)</f>
        <v>No</v>
      </c>
      <c r="F267" s="61" t="n">
        <f aca="false">IF(LEN(A267&amp;"")=0,"",IF(Base!I267="-",0,Base!I267))</f>
        <v>0</v>
      </c>
      <c r="G267" s="61" t="n">
        <f aca="false">IF(LEN(A267&amp;"")=0,"",SUM(Base!F267,F267,Base!K267))</f>
        <v>30</v>
      </c>
      <c r="H267" s="61" t="n">
        <f aca="false">IF(LEN(A267&amp;"")=0,"",Base!L267)</f>
        <v>5</v>
      </c>
      <c r="I267" s="61" t="n">
        <f aca="false">IF(LEN(A267&amp;"")=0,"",G267-H267)</f>
        <v>25</v>
      </c>
      <c r="J267" s="61" t="n">
        <f aca="false">IF(LEN(A267&amp;"")=0,"",Base!M267)</f>
        <v>25</v>
      </c>
      <c r="K267" s="1" t="n">
        <f aca="false">IF(OR(LEN(A267&amp;"")=0,$P$3=0),0,IF(AND(B267&gt;=Painel!$B$8,B267&lt;=Painel!$G$8,OR(Painel!$L$8="Todos",C267=Painel!$L$8),OR(Painel!$Q$8="Todos",D267=Painel!$Q$8),OR(Painel!$V$8="Todas",E267=Painel!$V$8)),1,0))</f>
        <v>1</v>
      </c>
      <c r="L267" s="61" t="n">
        <f aca="false">IF(LEN(A267&amp;"")=0,"",J267-I267)</f>
        <v>0</v>
      </c>
      <c r="M267" s="1" t="n">
        <f aca="false">IF(LEN(A267&amp;"")=0,0,IF(COUNTIFS(Base!$A$7:$A$1006,A267)&gt;1,1,0))</f>
        <v>0</v>
      </c>
      <c r="N267" s="1" t="n">
        <f aca="false">IF(LEN(A267&amp;"")=0,0,IF(ABS(L267)&gt;0.005,1,0))</f>
        <v>0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customFormat="false" ht="23" hidden="false" customHeight="true" outlineLevel="0" collapsed="false">
      <c r="A268" s="1" t="n">
        <f aca="false">IF(LEN(Base!A268&amp;"")=0,"",Base!A268)</f>
        <v>3492</v>
      </c>
      <c r="B268" s="60" t="n">
        <f aca="false">IF(LEN(A268&amp;"")=0,"",Base!D268)</f>
        <v>45609</v>
      </c>
      <c r="C268" s="1" t="str">
        <f aca="false">IF(LEN(A268&amp;"")=0,"",Base!C268)</f>
        <v>Core</v>
      </c>
      <c r="D268" s="1" t="str">
        <f aca="false">IF(LEN(A268&amp;"")=0,"",Base!G268)</f>
        <v>Annual</v>
      </c>
      <c r="E268" s="1" t="str">
        <f aca="false">IF(LEN(A268&amp;"")=0,"",Base!E268)</f>
        <v>Yes</v>
      </c>
      <c r="F268" s="61" t="n">
        <f aca="false">IF(LEN(A268&amp;"")=0,"",IF(Base!I268="-",0,Base!I268))</f>
        <v>0</v>
      </c>
      <c r="G268" s="61" t="n">
        <f aca="false">IF(LEN(A268&amp;"")=0,"",SUM(Base!F268,F268,Base!K268))</f>
        <v>5</v>
      </c>
      <c r="H268" s="61" t="n">
        <f aca="false">IF(LEN(A268&amp;"")=0,"",Base!L268)</f>
        <v>0</v>
      </c>
      <c r="I268" s="61" t="n">
        <f aca="false">IF(LEN(A268&amp;"")=0,"",G268-H268)</f>
        <v>5</v>
      </c>
      <c r="J268" s="61" t="n">
        <f aca="false">IF(LEN(A268&amp;"")=0,"",Base!M268)</f>
        <v>5</v>
      </c>
      <c r="K268" s="1" t="n">
        <f aca="false">IF(OR(LEN(A268&amp;"")=0,$P$3=0),0,IF(AND(B268&gt;=Painel!$B$8,B268&lt;=Painel!$G$8,OR(Painel!$L$8="Todos",C268=Painel!$L$8),OR(Painel!$Q$8="Todos",D268=Painel!$Q$8),OR(Painel!$V$8="Todas",E268=Painel!$V$8)),1,0))</f>
        <v>1</v>
      </c>
      <c r="L268" s="61" t="n">
        <f aca="false">IF(LEN(A268&amp;"")=0,"",J268-I268)</f>
        <v>0</v>
      </c>
      <c r="M268" s="1" t="n">
        <f aca="false">IF(LEN(A268&amp;"")=0,0,IF(COUNTIFS(Base!$A$7:$A$1006,A268)&gt;1,1,0))</f>
        <v>0</v>
      </c>
      <c r="N268" s="1" t="n">
        <f aca="false">IF(LEN(A268&amp;"")=0,0,IF(ABS(L268)&gt;0.005,1,0))</f>
        <v>0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customFormat="false" ht="23" hidden="false" customHeight="true" outlineLevel="0" collapsed="false">
      <c r="A269" s="1" t="n">
        <f aca="false">IF(LEN(Base!A269&amp;"")=0,"",Base!A269)</f>
        <v>3493</v>
      </c>
      <c r="B269" s="60" t="n">
        <f aca="false">IF(LEN(A269&amp;"")=0,"",Base!D269)</f>
        <v>45610</v>
      </c>
      <c r="C269" s="1" t="str">
        <f aca="false">IF(LEN(A269&amp;"")=0,"",Base!C269)</f>
        <v>Ultimate</v>
      </c>
      <c r="D269" s="1" t="str">
        <f aca="false">IF(LEN(A269&amp;"")=0,"",Base!G269)</f>
        <v>Quarterly</v>
      </c>
      <c r="E269" s="1" t="str">
        <f aca="false">IF(LEN(A269&amp;"")=0,"",Base!E269)</f>
        <v>No</v>
      </c>
      <c r="F269" s="61" t="n">
        <f aca="false">IF(LEN(A269&amp;"")=0,"",IF(Base!I269="-",0,Base!I269))</f>
        <v>30</v>
      </c>
      <c r="G269" s="61" t="n">
        <f aca="false">IF(LEN(A269&amp;"")=0,"",SUM(Base!F269,F269,Base!K269))</f>
        <v>65</v>
      </c>
      <c r="H269" s="61" t="n">
        <f aca="false">IF(LEN(A269&amp;"")=0,"",Base!L269)</f>
        <v>20</v>
      </c>
      <c r="I269" s="61" t="n">
        <f aca="false">IF(LEN(A269&amp;"")=0,"",G269-H269)</f>
        <v>45</v>
      </c>
      <c r="J269" s="61" t="n">
        <f aca="false">IF(LEN(A269&amp;"")=0,"",Base!M269)</f>
        <v>45</v>
      </c>
      <c r="K269" s="1" t="n">
        <f aca="false">IF(OR(LEN(A269&amp;"")=0,$P$3=0),0,IF(AND(B269&gt;=Painel!$B$8,B269&lt;=Painel!$G$8,OR(Painel!$L$8="Todos",C269=Painel!$L$8),OR(Painel!$Q$8="Todos",D269=Painel!$Q$8),OR(Painel!$V$8="Todas",E269=Painel!$V$8)),1,0))</f>
        <v>1</v>
      </c>
      <c r="L269" s="61" t="n">
        <f aca="false">IF(LEN(A269&amp;"")=0,"",J269-I269)</f>
        <v>0</v>
      </c>
      <c r="M269" s="1" t="n">
        <f aca="false">IF(LEN(A269&amp;"")=0,0,IF(COUNTIFS(Base!$A$7:$A$1006,A269)&gt;1,1,0))</f>
        <v>0</v>
      </c>
      <c r="N269" s="1" t="n">
        <f aca="false">IF(LEN(A269&amp;"")=0,0,IF(ABS(L269)&gt;0.005,1,0))</f>
        <v>0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customFormat="false" ht="23" hidden="false" customHeight="true" outlineLevel="0" collapsed="false">
      <c r="A270" s="1" t="n">
        <f aca="false">IF(LEN(Base!A270&amp;"")=0,"",Base!A270)</f>
        <v>3494</v>
      </c>
      <c r="B270" s="60" t="n">
        <f aca="false">IF(LEN(A270&amp;"")=0,"",Base!D270)</f>
        <v>45611</v>
      </c>
      <c r="C270" s="1" t="str">
        <f aca="false">IF(LEN(A270&amp;"")=0,"",Base!C270)</f>
        <v>Standard</v>
      </c>
      <c r="D270" s="1" t="str">
        <f aca="false">IF(LEN(A270&amp;"")=0,"",Base!G270)</f>
        <v>Quarterly</v>
      </c>
      <c r="E270" s="1" t="str">
        <f aca="false">IF(LEN(A270&amp;"")=0,"",Base!E270)</f>
        <v>Yes</v>
      </c>
      <c r="F270" s="61" t="n">
        <f aca="false">IF(LEN(A270&amp;"")=0,"",IF(Base!I270="-",0,Base!I270))</f>
        <v>0</v>
      </c>
      <c r="G270" s="61" t="n">
        <f aca="false">IF(LEN(A270&amp;"")=0,"",SUM(Base!F270,F270,Base!K270))</f>
        <v>30</v>
      </c>
      <c r="H270" s="61" t="n">
        <f aca="false">IF(LEN(A270&amp;"")=0,"",Base!L270)</f>
        <v>12</v>
      </c>
      <c r="I270" s="61" t="n">
        <f aca="false">IF(LEN(A270&amp;"")=0,"",G270-H270)</f>
        <v>18</v>
      </c>
      <c r="J270" s="61" t="n">
        <f aca="false">IF(LEN(A270&amp;"")=0,"",Base!M270)</f>
        <v>18</v>
      </c>
      <c r="K270" s="1" t="n">
        <f aca="false">IF(OR(LEN(A270&amp;"")=0,$P$3=0),0,IF(AND(B270&gt;=Painel!$B$8,B270&lt;=Painel!$G$8,OR(Painel!$L$8="Todos",C270=Painel!$L$8),OR(Painel!$Q$8="Todos",D270=Painel!$Q$8),OR(Painel!$V$8="Todas",E270=Painel!$V$8)),1,0))</f>
        <v>1</v>
      </c>
      <c r="L270" s="61" t="n">
        <f aca="false">IF(LEN(A270&amp;"")=0,"",J270-I270)</f>
        <v>0</v>
      </c>
      <c r="M270" s="1" t="n">
        <f aca="false">IF(LEN(A270&amp;"")=0,0,IF(COUNTIFS(Base!$A$7:$A$1006,A270)&gt;1,1,0))</f>
        <v>0</v>
      </c>
      <c r="N270" s="1" t="n">
        <f aca="false">IF(LEN(A270&amp;"")=0,0,IF(ABS(L270)&gt;0.005,1,0))</f>
        <v>0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customFormat="false" ht="23" hidden="false" customHeight="true" outlineLevel="0" collapsed="false">
      <c r="A271" s="1" t="n">
        <f aca="false">IF(LEN(Base!A271&amp;"")=0,"",Base!A271)</f>
        <v>3495</v>
      </c>
      <c r="B271" s="60" t="n">
        <f aca="false">IF(LEN(A271&amp;"")=0,"",Base!D271)</f>
        <v>45612</v>
      </c>
      <c r="C271" s="1" t="str">
        <f aca="false">IF(LEN(A271&amp;"")=0,"",Base!C271)</f>
        <v>Core</v>
      </c>
      <c r="D271" s="1" t="str">
        <f aca="false">IF(LEN(A271&amp;"")=0,"",Base!G271)</f>
        <v>Monthly</v>
      </c>
      <c r="E271" s="1" t="str">
        <f aca="false">IF(LEN(A271&amp;"")=0,"",Base!E271)</f>
        <v>No</v>
      </c>
      <c r="F271" s="61" t="n">
        <f aca="false">IF(LEN(A271&amp;"")=0,"",IF(Base!I271="-",0,Base!I271))</f>
        <v>0</v>
      </c>
      <c r="G271" s="61" t="n">
        <f aca="false">IF(LEN(A271&amp;"")=0,"",SUM(Base!F271,F271,Base!K271))</f>
        <v>5</v>
      </c>
      <c r="H271" s="61" t="n">
        <f aca="false">IF(LEN(A271&amp;"")=0,"",Base!L271)</f>
        <v>2</v>
      </c>
      <c r="I271" s="61" t="n">
        <f aca="false">IF(LEN(A271&amp;"")=0,"",G271-H271)</f>
        <v>3</v>
      </c>
      <c r="J271" s="61" t="n">
        <f aca="false">IF(LEN(A271&amp;"")=0,"",Base!M271)</f>
        <v>3</v>
      </c>
      <c r="K271" s="1" t="n">
        <f aca="false">IF(OR(LEN(A271&amp;"")=0,$P$3=0),0,IF(AND(B271&gt;=Painel!$B$8,B271&lt;=Painel!$G$8,OR(Painel!$L$8="Todos",C271=Painel!$L$8),OR(Painel!$Q$8="Todos",D271=Painel!$Q$8),OR(Painel!$V$8="Todas",E271=Painel!$V$8)),1,0))</f>
        <v>1</v>
      </c>
      <c r="L271" s="61" t="n">
        <f aca="false">IF(LEN(A271&amp;"")=0,"",J271-I271)</f>
        <v>0</v>
      </c>
      <c r="M271" s="1" t="n">
        <f aca="false">IF(LEN(A271&amp;"")=0,0,IF(COUNTIFS(Base!$A$7:$A$1006,A271)&gt;1,1,0))</f>
        <v>0</v>
      </c>
      <c r="N271" s="1" t="n">
        <f aca="false">IF(LEN(A271&amp;"")=0,0,IF(ABS(L271)&gt;0.005,1,0))</f>
        <v>0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customFormat="false" ht="23" hidden="false" customHeight="true" outlineLevel="0" collapsed="false">
      <c r="A272" s="1" t="n">
        <f aca="false">IF(LEN(Base!A272&amp;"")=0,"",Base!A272)</f>
        <v>3496</v>
      </c>
      <c r="B272" s="60" t="n">
        <f aca="false">IF(LEN(A272&amp;"")=0,"",Base!D272)</f>
        <v>45613</v>
      </c>
      <c r="C272" s="1" t="str">
        <f aca="false">IF(LEN(A272&amp;"")=0,"",Base!C272)</f>
        <v>Ultimate</v>
      </c>
      <c r="D272" s="1" t="str">
        <f aca="false">IF(LEN(A272&amp;"")=0,"",Base!G272)</f>
        <v>Annual</v>
      </c>
      <c r="E272" s="1" t="str">
        <f aca="false">IF(LEN(A272&amp;"")=0,"",Base!E272)</f>
        <v>Yes</v>
      </c>
      <c r="F272" s="61" t="n">
        <f aca="false">IF(LEN(A272&amp;"")=0,"",IF(Base!I272="-",0,Base!I272))</f>
        <v>30</v>
      </c>
      <c r="G272" s="61" t="n">
        <f aca="false">IF(LEN(A272&amp;"")=0,"",SUM(Base!F272,F272,Base!K272))</f>
        <v>65</v>
      </c>
      <c r="H272" s="61" t="n">
        <f aca="false">IF(LEN(A272&amp;"")=0,"",Base!L272)</f>
        <v>5</v>
      </c>
      <c r="I272" s="61" t="n">
        <f aca="false">IF(LEN(A272&amp;"")=0,"",G272-H272)</f>
        <v>60</v>
      </c>
      <c r="J272" s="61" t="n">
        <f aca="false">IF(LEN(A272&amp;"")=0,"",Base!M272)</f>
        <v>60</v>
      </c>
      <c r="K272" s="1" t="n">
        <f aca="false">IF(OR(LEN(A272&amp;"")=0,$P$3=0),0,IF(AND(B272&gt;=Painel!$B$8,B272&lt;=Painel!$G$8,OR(Painel!$L$8="Todos",C272=Painel!$L$8),OR(Painel!$Q$8="Todos",D272=Painel!$Q$8),OR(Painel!$V$8="Todas",E272=Painel!$V$8)),1,0))</f>
        <v>1</v>
      </c>
      <c r="L272" s="61" t="n">
        <f aca="false">IF(LEN(A272&amp;"")=0,"",J272-I272)</f>
        <v>0</v>
      </c>
      <c r="M272" s="1" t="n">
        <f aca="false">IF(LEN(A272&amp;"")=0,0,IF(COUNTIFS(Base!$A$7:$A$1006,A272)&gt;1,1,0))</f>
        <v>0</v>
      </c>
      <c r="N272" s="1" t="n">
        <f aca="false">IF(LEN(A272&amp;"")=0,0,IF(ABS(L272)&gt;0.005,1,0))</f>
        <v>0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customFormat="false" ht="23" hidden="false" customHeight="true" outlineLevel="0" collapsed="false">
      <c r="A273" s="1" t="n">
        <f aca="false">IF(LEN(Base!A273&amp;"")=0,"",Base!A273)</f>
        <v>3497</v>
      </c>
      <c r="B273" s="60" t="n">
        <f aca="false">IF(LEN(A273&amp;"")=0,"",Base!D273)</f>
        <v>45614</v>
      </c>
      <c r="C273" s="1" t="str">
        <f aca="false">IF(LEN(A273&amp;"")=0,"",Base!C273)</f>
        <v>Standard</v>
      </c>
      <c r="D273" s="1" t="str">
        <f aca="false">IF(LEN(A273&amp;"")=0,"",Base!G273)</f>
        <v>Monthly</v>
      </c>
      <c r="E273" s="1" t="str">
        <f aca="false">IF(LEN(A273&amp;"")=0,"",Base!E273)</f>
        <v>No</v>
      </c>
      <c r="F273" s="61" t="n">
        <f aca="false">IF(LEN(A273&amp;"")=0,"",IF(Base!I273="-",0,Base!I273))</f>
        <v>0</v>
      </c>
      <c r="G273" s="61" t="n">
        <f aca="false">IF(LEN(A273&amp;"")=0,"",SUM(Base!F273,F273,Base!K273))</f>
        <v>30</v>
      </c>
      <c r="H273" s="61" t="n">
        <f aca="false">IF(LEN(A273&amp;"")=0,"",Base!L273)</f>
        <v>10</v>
      </c>
      <c r="I273" s="61" t="n">
        <f aca="false">IF(LEN(A273&amp;"")=0,"",G273-H273)</f>
        <v>20</v>
      </c>
      <c r="J273" s="61" t="n">
        <f aca="false">IF(LEN(A273&amp;"")=0,"",Base!M273)</f>
        <v>20</v>
      </c>
      <c r="K273" s="1" t="n">
        <f aca="false">IF(OR(LEN(A273&amp;"")=0,$P$3=0),0,IF(AND(B273&gt;=Painel!$B$8,B273&lt;=Painel!$G$8,OR(Painel!$L$8="Todos",C273=Painel!$L$8),OR(Painel!$Q$8="Todos",D273=Painel!$Q$8),OR(Painel!$V$8="Todas",E273=Painel!$V$8)),1,0))</f>
        <v>1</v>
      </c>
      <c r="L273" s="61" t="n">
        <f aca="false">IF(LEN(A273&amp;"")=0,"",J273-I273)</f>
        <v>0</v>
      </c>
      <c r="M273" s="1" t="n">
        <f aca="false">IF(LEN(A273&amp;"")=0,0,IF(COUNTIFS(Base!$A$7:$A$1006,A273)&gt;1,1,0))</f>
        <v>0</v>
      </c>
      <c r="N273" s="1" t="n">
        <f aca="false">IF(LEN(A273&amp;"")=0,0,IF(ABS(L273)&gt;0.005,1,0))</f>
        <v>0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customFormat="false" ht="23" hidden="false" customHeight="true" outlineLevel="0" collapsed="false">
      <c r="A274" s="1" t="n">
        <f aca="false">IF(LEN(Base!A274&amp;"")=0,"",Base!A274)</f>
        <v>3498</v>
      </c>
      <c r="B274" s="60" t="n">
        <f aca="false">IF(LEN(A274&amp;"")=0,"",Base!D274)</f>
        <v>45615</v>
      </c>
      <c r="C274" s="1" t="str">
        <f aca="false">IF(LEN(A274&amp;"")=0,"",Base!C274)</f>
        <v>Core</v>
      </c>
      <c r="D274" s="1" t="str">
        <f aca="false">IF(LEN(A274&amp;"")=0,"",Base!G274)</f>
        <v>Quarterly</v>
      </c>
      <c r="E274" s="1" t="str">
        <f aca="false">IF(LEN(A274&amp;"")=0,"",Base!E274)</f>
        <v>Yes</v>
      </c>
      <c r="F274" s="61" t="n">
        <f aca="false">IF(LEN(A274&amp;"")=0,"",IF(Base!I274="-",0,Base!I274))</f>
        <v>0</v>
      </c>
      <c r="G274" s="61" t="n">
        <f aca="false">IF(LEN(A274&amp;"")=0,"",SUM(Base!F274,F274,Base!K274))</f>
        <v>5</v>
      </c>
      <c r="H274" s="61" t="n">
        <f aca="false">IF(LEN(A274&amp;"")=0,"",Base!L274)</f>
        <v>0</v>
      </c>
      <c r="I274" s="61" t="n">
        <f aca="false">IF(LEN(A274&amp;"")=0,"",G274-H274)</f>
        <v>5</v>
      </c>
      <c r="J274" s="61" t="n">
        <f aca="false">IF(LEN(A274&amp;"")=0,"",Base!M274)</f>
        <v>5</v>
      </c>
      <c r="K274" s="1" t="n">
        <f aca="false">IF(OR(LEN(A274&amp;"")=0,$P$3=0),0,IF(AND(B274&gt;=Painel!$B$8,B274&lt;=Painel!$G$8,OR(Painel!$L$8="Todos",C274=Painel!$L$8),OR(Painel!$Q$8="Todos",D274=Painel!$Q$8),OR(Painel!$V$8="Todas",E274=Painel!$V$8)),1,0))</f>
        <v>1</v>
      </c>
      <c r="L274" s="61" t="n">
        <f aca="false">IF(LEN(A274&amp;"")=0,"",J274-I274)</f>
        <v>0</v>
      </c>
      <c r="M274" s="1" t="n">
        <f aca="false">IF(LEN(A274&amp;"")=0,0,IF(COUNTIFS(Base!$A$7:$A$1006,A274)&gt;1,1,0))</f>
        <v>0</v>
      </c>
      <c r="N274" s="1" t="n">
        <f aca="false">IF(LEN(A274&amp;"")=0,0,IF(ABS(L274)&gt;0.005,1,0))</f>
        <v>0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customFormat="false" ht="23" hidden="false" customHeight="true" outlineLevel="0" collapsed="false">
      <c r="A275" s="1" t="n">
        <f aca="false">IF(LEN(Base!A275&amp;"")=0,"",Base!A275)</f>
        <v>3499</v>
      </c>
      <c r="B275" s="60" t="n">
        <f aca="false">IF(LEN(A275&amp;"")=0,"",Base!D275)</f>
        <v>45616</v>
      </c>
      <c r="C275" s="1" t="str">
        <f aca="false">IF(LEN(A275&amp;"")=0,"",Base!C275)</f>
        <v>Ultimate</v>
      </c>
      <c r="D275" s="1" t="str">
        <f aca="false">IF(LEN(A275&amp;"")=0,"",Base!G275)</f>
        <v>Monthly</v>
      </c>
      <c r="E275" s="1" t="str">
        <f aca="false">IF(LEN(A275&amp;"")=0,"",Base!E275)</f>
        <v>No</v>
      </c>
      <c r="F275" s="61" t="n">
        <f aca="false">IF(LEN(A275&amp;"")=0,"",IF(Base!I275="-",0,Base!I275))</f>
        <v>30</v>
      </c>
      <c r="G275" s="61" t="n">
        <f aca="false">IF(LEN(A275&amp;"")=0,"",SUM(Base!F275,F275,Base!K275))</f>
        <v>65</v>
      </c>
      <c r="H275" s="61" t="n">
        <f aca="false">IF(LEN(A275&amp;"")=0,"",Base!L275)</f>
        <v>3</v>
      </c>
      <c r="I275" s="61" t="n">
        <f aca="false">IF(LEN(A275&amp;"")=0,"",G275-H275)</f>
        <v>62</v>
      </c>
      <c r="J275" s="61" t="n">
        <f aca="false">IF(LEN(A275&amp;"")=0,"",Base!M275)</f>
        <v>62</v>
      </c>
      <c r="K275" s="1" t="n">
        <f aca="false">IF(OR(LEN(A275&amp;"")=0,$P$3=0),0,IF(AND(B275&gt;=Painel!$B$8,B275&lt;=Painel!$G$8,OR(Painel!$L$8="Todos",C275=Painel!$L$8),OR(Painel!$Q$8="Todos",D275=Painel!$Q$8),OR(Painel!$V$8="Todas",E275=Painel!$V$8)),1,0))</f>
        <v>1</v>
      </c>
      <c r="L275" s="61" t="n">
        <f aca="false">IF(LEN(A275&amp;"")=0,"",J275-I275)</f>
        <v>0</v>
      </c>
      <c r="M275" s="1" t="n">
        <f aca="false">IF(LEN(A275&amp;"")=0,0,IF(COUNTIFS(Base!$A$7:$A$1006,A275)&gt;1,1,0))</f>
        <v>0</v>
      </c>
      <c r="N275" s="1" t="n">
        <f aca="false">IF(LEN(A275&amp;"")=0,0,IF(ABS(L275)&gt;0.005,1,0))</f>
        <v>0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customFormat="false" ht="23" hidden="false" customHeight="true" outlineLevel="0" collapsed="false">
      <c r="A276" s="1" t="n">
        <f aca="false">IF(LEN(Base!A276&amp;"")=0,"",Base!A276)</f>
        <v>3500</v>
      </c>
      <c r="B276" s="60" t="n">
        <f aca="false">IF(LEN(A276&amp;"")=0,"",Base!D276)</f>
        <v>45617</v>
      </c>
      <c r="C276" s="1" t="str">
        <f aca="false">IF(LEN(A276&amp;"")=0,"",Base!C276)</f>
        <v>Standard</v>
      </c>
      <c r="D276" s="1" t="str">
        <f aca="false">IF(LEN(A276&amp;"")=0,"",Base!G276)</f>
        <v>Annual</v>
      </c>
      <c r="E276" s="1" t="str">
        <f aca="false">IF(LEN(A276&amp;"")=0,"",Base!E276)</f>
        <v>Yes</v>
      </c>
      <c r="F276" s="61" t="n">
        <f aca="false">IF(LEN(A276&amp;"")=0,"",IF(Base!I276="-",0,Base!I276))</f>
        <v>0</v>
      </c>
      <c r="G276" s="61" t="n">
        <f aca="false">IF(LEN(A276&amp;"")=0,"",SUM(Base!F276,F276,Base!K276))</f>
        <v>30</v>
      </c>
      <c r="H276" s="61" t="n">
        <f aca="false">IF(LEN(A276&amp;"")=0,"",Base!L276)</f>
        <v>15</v>
      </c>
      <c r="I276" s="61" t="n">
        <f aca="false">IF(LEN(A276&amp;"")=0,"",G276-H276)</f>
        <v>15</v>
      </c>
      <c r="J276" s="61" t="n">
        <f aca="false">IF(LEN(A276&amp;"")=0,"",Base!M276)</f>
        <v>15</v>
      </c>
      <c r="K276" s="1" t="n">
        <f aca="false">IF(OR(LEN(A276&amp;"")=0,$P$3=0),0,IF(AND(B276&gt;=Painel!$B$8,B276&lt;=Painel!$G$8,OR(Painel!$L$8="Todos",C276=Painel!$L$8),OR(Painel!$Q$8="Todos",D276=Painel!$Q$8),OR(Painel!$V$8="Todas",E276=Painel!$V$8)),1,0))</f>
        <v>1</v>
      </c>
      <c r="L276" s="61" t="n">
        <f aca="false">IF(LEN(A276&amp;"")=0,"",J276-I276)</f>
        <v>0</v>
      </c>
      <c r="M276" s="1" t="n">
        <f aca="false">IF(LEN(A276&amp;"")=0,0,IF(COUNTIFS(Base!$A$7:$A$1006,A276)&gt;1,1,0))</f>
        <v>0</v>
      </c>
      <c r="N276" s="1" t="n">
        <f aca="false">IF(LEN(A276&amp;"")=0,0,IF(ABS(L276)&gt;0.005,1,0))</f>
        <v>0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customFormat="false" ht="23" hidden="false" customHeight="true" outlineLevel="0" collapsed="false">
      <c r="A277" s="1" t="n">
        <f aca="false">IF(LEN(Base!A277&amp;"")=0,"",Base!A277)</f>
        <v>3501</v>
      </c>
      <c r="B277" s="60" t="n">
        <f aca="false">IF(LEN(A277&amp;"")=0,"",Base!D277)</f>
        <v>45618</v>
      </c>
      <c r="C277" s="1" t="str">
        <f aca="false">IF(LEN(A277&amp;"")=0,"",Base!C277)</f>
        <v>Core</v>
      </c>
      <c r="D277" s="1" t="str">
        <f aca="false">IF(LEN(A277&amp;"")=0,"",Base!G277)</f>
        <v>Monthly</v>
      </c>
      <c r="E277" s="1" t="str">
        <f aca="false">IF(LEN(A277&amp;"")=0,"",Base!E277)</f>
        <v>No</v>
      </c>
      <c r="F277" s="61" t="n">
        <f aca="false">IF(LEN(A277&amp;"")=0,"",IF(Base!I277="-",0,Base!I277))</f>
        <v>0</v>
      </c>
      <c r="G277" s="61" t="n">
        <f aca="false">IF(LEN(A277&amp;"")=0,"",SUM(Base!F277,F277,Base!K277))</f>
        <v>5</v>
      </c>
      <c r="H277" s="61" t="n">
        <f aca="false">IF(LEN(A277&amp;"")=0,"",Base!L277)</f>
        <v>1</v>
      </c>
      <c r="I277" s="61" t="n">
        <f aca="false">IF(LEN(A277&amp;"")=0,"",G277-H277)</f>
        <v>4</v>
      </c>
      <c r="J277" s="61" t="n">
        <f aca="false">IF(LEN(A277&amp;"")=0,"",Base!M277)</f>
        <v>4</v>
      </c>
      <c r="K277" s="1" t="n">
        <f aca="false">IF(OR(LEN(A277&amp;"")=0,$P$3=0),0,IF(AND(B277&gt;=Painel!$B$8,B277&lt;=Painel!$G$8,OR(Painel!$L$8="Todos",C277=Painel!$L$8),OR(Painel!$Q$8="Todos",D277=Painel!$Q$8),OR(Painel!$V$8="Todas",E277=Painel!$V$8)),1,0))</f>
        <v>1</v>
      </c>
      <c r="L277" s="61" t="n">
        <f aca="false">IF(LEN(A277&amp;"")=0,"",J277-I277)</f>
        <v>0</v>
      </c>
      <c r="M277" s="1" t="n">
        <f aca="false">IF(LEN(A277&amp;"")=0,0,IF(COUNTIFS(Base!$A$7:$A$1006,A277)&gt;1,1,0))</f>
        <v>0</v>
      </c>
      <c r="N277" s="1" t="n">
        <f aca="false">IF(LEN(A277&amp;"")=0,0,IF(ABS(L277)&gt;0.005,1,0))</f>
        <v>0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customFormat="false" ht="23" hidden="false" customHeight="true" outlineLevel="0" collapsed="false">
      <c r="A278" s="1" t="n">
        <f aca="false">IF(LEN(Base!A278&amp;"")=0,"",Base!A278)</f>
        <v>3502</v>
      </c>
      <c r="B278" s="60" t="n">
        <f aca="false">IF(LEN(A278&amp;"")=0,"",Base!D278)</f>
        <v>45619</v>
      </c>
      <c r="C278" s="1" t="str">
        <f aca="false">IF(LEN(A278&amp;"")=0,"",Base!C278)</f>
        <v>Ultimate</v>
      </c>
      <c r="D278" s="1" t="str">
        <f aca="false">IF(LEN(A278&amp;"")=0,"",Base!G278)</f>
        <v>Quarterly</v>
      </c>
      <c r="E278" s="1" t="str">
        <f aca="false">IF(LEN(A278&amp;"")=0,"",Base!E278)</f>
        <v>Yes</v>
      </c>
      <c r="F278" s="61" t="n">
        <f aca="false">IF(LEN(A278&amp;"")=0,"",IF(Base!I278="-",0,Base!I278))</f>
        <v>30</v>
      </c>
      <c r="G278" s="61" t="n">
        <f aca="false">IF(LEN(A278&amp;"")=0,"",SUM(Base!F278,F278,Base!K278))</f>
        <v>65</v>
      </c>
      <c r="H278" s="61" t="n">
        <f aca="false">IF(LEN(A278&amp;"")=0,"",Base!L278)</f>
        <v>7</v>
      </c>
      <c r="I278" s="61" t="n">
        <f aca="false">IF(LEN(A278&amp;"")=0,"",G278-H278)</f>
        <v>58</v>
      </c>
      <c r="J278" s="61" t="n">
        <f aca="false">IF(LEN(A278&amp;"")=0,"",Base!M278)</f>
        <v>58</v>
      </c>
      <c r="K278" s="1" t="n">
        <f aca="false">IF(OR(LEN(A278&amp;"")=0,$P$3=0),0,IF(AND(B278&gt;=Painel!$B$8,B278&lt;=Painel!$G$8,OR(Painel!$L$8="Todos",C278=Painel!$L$8),OR(Painel!$Q$8="Todos",D278=Painel!$Q$8),OR(Painel!$V$8="Todas",E278=Painel!$V$8)),1,0))</f>
        <v>1</v>
      </c>
      <c r="L278" s="61" t="n">
        <f aca="false">IF(LEN(A278&amp;"")=0,"",J278-I278)</f>
        <v>0</v>
      </c>
      <c r="M278" s="1" t="n">
        <f aca="false">IF(LEN(A278&amp;"")=0,0,IF(COUNTIFS(Base!$A$7:$A$1006,A278)&gt;1,1,0))</f>
        <v>0</v>
      </c>
      <c r="N278" s="1" t="n">
        <f aca="false">IF(LEN(A278&amp;"")=0,0,IF(ABS(L278)&gt;0.005,1,0))</f>
        <v>0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customFormat="false" ht="23" hidden="false" customHeight="true" outlineLevel="0" collapsed="false">
      <c r="A279" s="1" t="n">
        <f aca="false">IF(LEN(Base!A279&amp;"")=0,"",Base!A279)</f>
        <v>3503</v>
      </c>
      <c r="B279" s="60" t="n">
        <f aca="false">IF(LEN(A279&amp;"")=0,"",Base!D279)</f>
        <v>45620</v>
      </c>
      <c r="C279" s="1" t="str">
        <f aca="false">IF(LEN(A279&amp;"")=0,"",Base!C279)</f>
        <v>Standard</v>
      </c>
      <c r="D279" s="1" t="str">
        <f aca="false">IF(LEN(A279&amp;"")=0,"",Base!G279)</f>
        <v>Monthly</v>
      </c>
      <c r="E279" s="1" t="str">
        <f aca="false">IF(LEN(A279&amp;"")=0,"",Base!E279)</f>
        <v>No</v>
      </c>
      <c r="F279" s="61" t="n">
        <f aca="false">IF(LEN(A279&amp;"")=0,"",IF(Base!I279="-",0,Base!I279))</f>
        <v>0</v>
      </c>
      <c r="G279" s="61" t="n">
        <f aca="false">IF(LEN(A279&amp;"")=0,"",SUM(Base!F279,F279,Base!K279))</f>
        <v>30</v>
      </c>
      <c r="H279" s="61" t="n">
        <f aca="false">IF(LEN(A279&amp;"")=0,"",Base!L279)</f>
        <v>10</v>
      </c>
      <c r="I279" s="61" t="n">
        <f aca="false">IF(LEN(A279&amp;"")=0,"",G279-H279)</f>
        <v>20</v>
      </c>
      <c r="J279" s="61" t="n">
        <f aca="false">IF(LEN(A279&amp;"")=0,"",Base!M279)</f>
        <v>20</v>
      </c>
      <c r="K279" s="1" t="n">
        <f aca="false">IF(OR(LEN(A279&amp;"")=0,$P$3=0),0,IF(AND(B279&gt;=Painel!$B$8,B279&lt;=Painel!$G$8,OR(Painel!$L$8="Todos",C279=Painel!$L$8),OR(Painel!$Q$8="Todos",D279=Painel!$Q$8),OR(Painel!$V$8="Todas",E279=Painel!$V$8)),1,0))</f>
        <v>1</v>
      </c>
      <c r="L279" s="61" t="n">
        <f aca="false">IF(LEN(A279&amp;"")=0,"",J279-I279)</f>
        <v>0</v>
      </c>
      <c r="M279" s="1" t="n">
        <f aca="false">IF(LEN(A279&amp;"")=0,0,IF(COUNTIFS(Base!$A$7:$A$1006,A279)&gt;1,1,0))</f>
        <v>0</v>
      </c>
      <c r="N279" s="1" t="n">
        <f aca="false">IF(LEN(A279&amp;"")=0,0,IF(ABS(L279)&gt;0.005,1,0))</f>
        <v>0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customFormat="false" ht="23" hidden="false" customHeight="true" outlineLevel="0" collapsed="false">
      <c r="A280" s="1" t="n">
        <f aca="false">IF(LEN(Base!A280&amp;"")=0,"",Base!A280)</f>
        <v>3504</v>
      </c>
      <c r="B280" s="60" t="n">
        <f aca="false">IF(LEN(A280&amp;"")=0,"",Base!D280)</f>
        <v>45621</v>
      </c>
      <c r="C280" s="1" t="str">
        <f aca="false">IF(LEN(A280&amp;"")=0,"",Base!C280)</f>
        <v>Core</v>
      </c>
      <c r="D280" s="1" t="str">
        <f aca="false">IF(LEN(A280&amp;"")=0,"",Base!G280)</f>
        <v>Annual</v>
      </c>
      <c r="E280" s="1" t="str">
        <f aca="false">IF(LEN(A280&amp;"")=0,"",Base!E280)</f>
        <v>Yes</v>
      </c>
      <c r="F280" s="61" t="n">
        <f aca="false">IF(LEN(A280&amp;"")=0,"",IF(Base!I280="-",0,Base!I280))</f>
        <v>0</v>
      </c>
      <c r="G280" s="61" t="n">
        <f aca="false">IF(LEN(A280&amp;"")=0,"",SUM(Base!F280,F280,Base!K280))</f>
        <v>5</v>
      </c>
      <c r="H280" s="61" t="n">
        <f aca="false">IF(LEN(A280&amp;"")=0,"",Base!L280)</f>
        <v>0</v>
      </c>
      <c r="I280" s="61" t="n">
        <f aca="false">IF(LEN(A280&amp;"")=0,"",G280-H280)</f>
        <v>5</v>
      </c>
      <c r="J280" s="61" t="n">
        <f aca="false">IF(LEN(A280&amp;"")=0,"",Base!M280)</f>
        <v>5</v>
      </c>
      <c r="K280" s="1" t="n">
        <f aca="false">IF(OR(LEN(A280&amp;"")=0,$P$3=0),0,IF(AND(B280&gt;=Painel!$B$8,B280&lt;=Painel!$G$8,OR(Painel!$L$8="Todos",C280=Painel!$L$8),OR(Painel!$Q$8="Todos",D280=Painel!$Q$8),OR(Painel!$V$8="Todas",E280=Painel!$V$8)),1,0))</f>
        <v>1</v>
      </c>
      <c r="L280" s="61" t="n">
        <f aca="false">IF(LEN(A280&amp;"")=0,"",J280-I280)</f>
        <v>0</v>
      </c>
      <c r="M280" s="1" t="n">
        <f aca="false">IF(LEN(A280&amp;"")=0,0,IF(COUNTIFS(Base!$A$7:$A$1006,A280)&gt;1,1,0))</f>
        <v>0</v>
      </c>
      <c r="N280" s="1" t="n">
        <f aca="false">IF(LEN(A280&amp;"")=0,0,IF(ABS(L280)&gt;0.005,1,0))</f>
        <v>0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customFormat="false" ht="23" hidden="false" customHeight="true" outlineLevel="0" collapsed="false">
      <c r="A281" s="1" t="n">
        <f aca="false">IF(LEN(Base!A281&amp;"")=0,"",Base!A281)</f>
        <v>3505</v>
      </c>
      <c r="B281" s="60" t="n">
        <f aca="false">IF(LEN(A281&amp;"")=0,"",Base!D281)</f>
        <v>45622</v>
      </c>
      <c r="C281" s="1" t="str">
        <f aca="false">IF(LEN(A281&amp;"")=0,"",Base!C281)</f>
        <v>Ultimate</v>
      </c>
      <c r="D281" s="1" t="str">
        <f aca="false">IF(LEN(A281&amp;"")=0,"",Base!G281)</f>
        <v>Monthly</v>
      </c>
      <c r="E281" s="1" t="str">
        <f aca="false">IF(LEN(A281&amp;"")=0,"",Base!E281)</f>
        <v>No</v>
      </c>
      <c r="F281" s="61" t="n">
        <f aca="false">IF(LEN(A281&amp;"")=0,"",IF(Base!I281="-",0,Base!I281))</f>
        <v>30</v>
      </c>
      <c r="G281" s="61" t="n">
        <f aca="false">IF(LEN(A281&amp;"")=0,"",SUM(Base!F281,F281,Base!K281))</f>
        <v>65</v>
      </c>
      <c r="H281" s="61" t="n">
        <f aca="false">IF(LEN(A281&amp;"")=0,"",Base!L281)</f>
        <v>20</v>
      </c>
      <c r="I281" s="61" t="n">
        <f aca="false">IF(LEN(A281&amp;"")=0,"",G281-H281)</f>
        <v>45</v>
      </c>
      <c r="J281" s="61" t="n">
        <f aca="false">IF(LEN(A281&amp;"")=0,"",Base!M281)</f>
        <v>45</v>
      </c>
      <c r="K281" s="1" t="n">
        <f aca="false">IF(OR(LEN(A281&amp;"")=0,$P$3=0),0,IF(AND(B281&gt;=Painel!$B$8,B281&lt;=Painel!$G$8,OR(Painel!$L$8="Todos",C281=Painel!$L$8),OR(Painel!$Q$8="Todos",D281=Painel!$Q$8),OR(Painel!$V$8="Todas",E281=Painel!$V$8)),1,0))</f>
        <v>1</v>
      </c>
      <c r="L281" s="61" t="n">
        <f aca="false">IF(LEN(A281&amp;"")=0,"",J281-I281)</f>
        <v>0</v>
      </c>
      <c r="M281" s="1" t="n">
        <f aca="false">IF(LEN(A281&amp;"")=0,0,IF(COUNTIFS(Base!$A$7:$A$1006,A281)&gt;1,1,0))</f>
        <v>0</v>
      </c>
      <c r="N281" s="1" t="n">
        <f aca="false">IF(LEN(A281&amp;"")=0,0,IF(ABS(L281)&gt;0.005,1,0))</f>
        <v>0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customFormat="false" ht="23" hidden="false" customHeight="true" outlineLevel="0" collapsed="false">
      <c r="A282" s="1" t="n">
        <f aca="false">IF(LEN(Base!A282&amp;"")=0,"",Base!A282)</f>
        <v>3506</v>
      </c>
      <c r="B282" s="60" t="n">
        <f aca="false">IF(LEN(A282&amp;"")=0,"",Base!D282)</f>
        <v>45623</v>
      </c>
      <c r="C282" s="1" t="str">
        <f aca="false">IF(LEN(A282&amp;"")=0,"",Base!C282)</f>
        <v>Standard</v>
      </c>
      <c r="D282" s="1" t="str">
        <f aca="false">IF(LEN(A282&amp;"")=0,"",Base!G282)</f>
        <v>Quarterly</v>
      </c>
      <c r="E282" s="1" t="str">
        <f aca="false">IF(LEN(A282&amp;"")=0,"",Base!E282)</f>
        <v>Yes</v>
      </c>
      <c r="F282" s="61" t="n">
        <f aca="false">IF(LEN(A282&amp;"")=0,"",IF(Base!I282="-",0,Base!I282))</f>
        <v>0</v>
      </c>
      <c r="G282" s="61" t="n">
        <f aca="false">IF(LEN(A282&amp;"")=0,"",SUM(Base!F282,F282,Base!K282))</f>
        <v>30</v>
      </c>
      <c r="H282" s="61" t="n">
        <f aca="false">IF(LEN(A282&amp;"")=0,"",Base!L282)</f>
        <v>15</v>
      </c>
      <c r="I282" s="61" t="n">
        <f aca="false">IF(LEN(A282&amp;"")=0,"",G282-H282)</f>
        <v>15</v>
      </c>
      <c r="J282" s="61" t="n">
        <f aca="false">IF(LEN(A282&amp;"")=0,"",Base!M282)</f>
        <v>15</v>
      </c>
      <c r="K282" s="1" t="n">
        <f aca="false">IF(OR(LEN(A282&amp;"")=0,$P$3=0),0,IF(AND(B282&gt;=Painel!$B$8,B282&lt;=Painel!$G$8,OR(Painel!$L$8="Todos",C282=Painel!$L$8),OR(Painel!$Q$8="Todos",D282=Painel!$Q$8),OR(Painel!$V$8="Todas",E282=Painel!$V$8)),1,0))</f>
        <v>1</v>
      </c>
      <c r="L282" s="61" t="n">
        <f aca="false">IF(LEN(A282&amp;"")=0,"",J282-I282)</f>
        <v>0</v>
      </c>
      <c r="M282" s="1" t="n">
        <f aca="false">IF(LEN(A282&amp;"")=0,0,IF(COUNTIFS(Base!$A$7:$A$1006,A282)&gt;1,1,0))</f>
        <v>0</v>
      </c>
      <c r="N282" s="1" t="n">
        <f aca="false">IF(LEN(A282&amp;"")=0,0,IF(ABS(L282)&gt;0.005,1,0))</f>
        <v>0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customFormat="false" ht="23" hidden="false" customHeight="true" outlineLevel="0" collapsed="false">
      <c r="A283" s="1" t="n">
        <f aca="false">IF(LEN(Base!A283&amp;"")=0,"",Base!A283)</f>
        <v>3507</v>
      </c>
      <c r="B283" s="60" t="n">
        <f aca="false">IF(LEN(A283&amp;"")=0,"",Base!D283)</f>
        <v>45624</v>
      </c>
      <c r="C283" s="1" t="str">
        <f aca="false">IF(LEN(A283&amp;"")=0,"",Base!C283)</f>
        <v>Core</v>
      </c>
      <c r="D283" s="1" t="str">
        <f aca="false">IF(LEN(A283&amp;"")=0,"",Base!G283)</f>
        <v>Monthly</v>
      </c>
      <c r="E283" s="1" t="str">
        <f aca="false">IF(LEN(A283&amp;"")=0,"",Base!E283)</f>
        <v>No</v>
      </c>
      <c r="F283" s="61" t="n">
        <f aca="false">IF(LEN(A283&amp;"")=0,"",IF(Base!I283="-",0,Base!I283))</f>
        <v>0</v>
      </c>
      <c r="G283" s="61" t="n">
        <f aca="false">IF(LEN(A283&amp;"")=0,"",SUM(Base!F283,F283,Base!K283))</f>
        <v>5</v>
      </c>
      <c r="H283" s="61" t="n">
        <f aca="false">IF(LEN(A283&amp;"")=0,"",Base!L283)</f>
        <v>1</v>
      </c>
      <c r="I283" s="61" t="n">
        <f aca="false">IF(LEN(A283&amp;"")=0,"",G283-H283)</f>
        <v>4</v>
      </c>
      <c r="J283" s="61" t="n">
        <f aca="false">IF(LEN(A283&amp;"")=0,"",Base!M283)</f>
        <v>4</v>
      </c>
      <c r="K283" s="1" t="n">
        <f aca="false">IF(OR(LEN(A283&amp;"")=0,$P$3=0),0,IF(AND(B283&gt;=Painel!$B$8,B283&lt;=Painel!$G$8,OR(Painel!$L$8="Todos",C283=Painel!$L$8),OR(Painel!$Q$8="Todos",D283=Painel!$Q$8),OR(Painel!$V$8="Todas",E283=Painel!$V$8)),1,0))</f>
        <v>1</v>
      </c>
      <c r="L283" s="61" t="n">
        <f aca="false">IF(LEN(A283&amp;"")=0,"",J283-I283)</f>
        <v>0</v>
      </c>
      <c r="M283" s="1" t="n">
        <f aca="false">IF(LEN(A283&amp;"")=0,0,IF(COUNTIFS(Base!$A$7:$A$1006,A283)&gt;1,1,0))</f>
        <v>0</v>
      </c>
      <c r="N283" s="1" t="n">
        <f aca="false">IF(LEN(A283&amp;"")=0,0,IF(ABS(L283)&gt;0.005,1,0))</f>
        <v>0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customFormat="false" ht="23" hidden="false" customHeight="true" outlineLevel="0" collapsed="false">
      <c r="A284" s="1" t="n">
        <f aca="false">IF(LEN(Base!A284&amp;"")=0,"",Base!A284)</f>
        <v>3508</v>
      </c>
      <c r="B284" s="60" t="n">
        <f aca="false">IF(LEN(A284&amp;"")=0,"",Base!D284)</f>
        <v>45625</v>
      </c>
      <c r="C284" s="1" t="str">
        <f aca="false">IF(LEN(A284&amp;"")=0,"",Base!C284)</f>
        <v>Ultimate</v>
      </c>
      <c r="D284" s="1" t="str">
        <f aca="false">IF(LEN(A284&amp;"")=0,"",Base!G284)</f>
        <v>Annual</v>
      </c>
      <c r="E284" s="1" t="str">
        <f aca="false">IF(LEN(A284&amp;"")=0,"",Base!E284)</f>
        <v>Yes</v>
      </c>
      <c r="F284" s="61" t="n">
        <f aca="false">IF(LEN(A284&amp;"")=0,"",IF(Base!I284="-",0,Base!I284))</f>
        <v>30</v>
      </c>
      <c r="G284" s="61" t="n">
        <f aca="false">IF(LEN(A284&amp;"")=0,"",SUM(Base!F284,F284,Base!K284))</f>
        <v>65</v>
      </c>
      <c r="H284" s="61" t="n">
        <f aca="false">IF(LEN(A284&amp;"")=0,"",Base!L284)</f>
        <v>3</v>
      </c>
      <c r="I284" s="61" t="n">
        <f aca="false">IF(LEN(A284&amp;"")=0,"",G284-H284)</f>
        <v>62</v>
      </c>
      <c r="J284" s="61" t="n">
        <f aca="false">IF(LEN(A284&amp;"")=0,"",Base!M284)</f>
        <v>62</v>
      </c>
      <c r="K284" s="1" t="n">
        <f aca="false">IF(OR(LEN(A284&amp;"")=0,$P$3=0),0,IF(AND(B284&gt;=Painel!$B$8,B284&lt;=Painel!$G$8,OR(Painel!$L$8="Todos",C284=Painel!$L$8),OR(Painel!$Q$8="Todos",D284=Painel!$Q$8),OR(Painel!$V$8="Todas",E284=Painel!$V$8)),1,0))</f>
        <v>1</v>
      </c>
      <c r="L284" s="61" t="n">
        <f aca="false">IF(LEN(A284&amp;"")=0,"",J284-I284)</f>
        <v>0</v>
      </c>
      <c r="M284" s="1" t="n">
        <f aca="false">IF(LEN(A284&amp;"")=0,0,IF(COUNTIFS(Base!$A$7:$A$1006,A284)&gt;1,1,0))</f>
        <v>0</v>
      </c>
      <c r="N284" s="1" t="n">
        <f aca="false">IF(LEN(A284&amp;"")=0,0,IF(ABS(L284)&gt;0.005,1,0))</f>
        <v>0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customFormat="false" ht="23" hidden="false" customHeight="true" outlineLevel="0" collapsed="false">
      <c r="A285" s="1" t="n">
        <f aca="false">IF(LEN(Base!A285&amp;"")=0,"",Base!A285)</f>
        <v>3509</v>
      </c>
      <c r="B285" s="60" t="n">
        <f aca="false">IF(LEN(A285&amp;"")=0,"",Base!D285)</f>
        <v>45626</v>
      </c>
      <c r="C285" s="1" t="str">
        <f aca="false">IF(LEN(A285&amp;"")=0,"",Base!C285)</f>
        <v>Standard</v>
      </c>
      <c r="D285" s="1" t="str">
        <f aca="false">IF(LEN(A285&amp;"")=0,"",Base!G285)</f>
        <v>Monthly</v>
      </c>
      <c r="E285" s="1" t="str">
        <f aca="false">IF(LEN(A285&amp;"")=0,"",Base!E285)</f>
        <v>No</v>
      </c>
      <c r="F285" s="61" t="n">
        <f aca="false">IF(LEN(A285&amp;"")=0,"",IF(Base!I285="-",0,Base!I285))</f>
        <v>0</v>
      </c>
      <c r="G285" s="61" t="n">
        <f aca="false">IF(LEN(A285&amp;"")=0,"",SUM(Base!F285,F285,Base!K285))</f>
        <v>30</v>
      </c>
      <c r="H285" s="61" t="n">
        <f aca="false">IF(LEN(A285&amp;"")=0,"",Base!L285)</f>
        <v>10</v>
      </c>
      <c r="I285" s="61" t="n">
        <f aca="false">IF(LEN(A285&amp;"")=0,"",G285-H285)</f>
        <v>20</v>
      </c>
      <c r="J285" s="61" t="n">
        <f aca="false">IF(LEN(A285&amp;"")=0,"",Base!M285)</f>
        <v>20</v>
      </c>
      <c r="K285" s="1" t="n">
        <f aca="false">IF(OR(LEN(A285&amp;"")=0,$P$3=0),0,IF(AND(B285&gt;=Painel!$B$8,B285&lt;=Painel!$G$8,OR(Painel!$L$8="Todos",C285=Painel!$L$8),OR(Painel!$Q$8="Todos",D285=Painel!$Q$8),OR(Painel!$V$8="Todas",E285=Painel!$V$8)),1,0))</f>
        <v>1</v>
      </c>
      <c r="L285" s="61" t="n">
        <f aca="false">IF(LEN(A285&amp;"")=0,"",J285-I285)</f>
        <v>0</v>
      </c>
      <c r="M285" s="1" t="n">
        <f aca="false">IF(LEN(A285&amp;"")=0,0,IF(COUNTIFS(Base!$A$7:$A$1006,A285)&gt;1,1,0))</f>
        <v>0</v>
      </c>
      <c r="N285" s="1" t="n">
        <f aca="false">IF(LEN(A285&amp;"")=0,0,IF(ABS(L285)&gt;0.005,1,0))</f>
        <v>0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customFormat="false" ht="23" hidden="false" customHeight="true" outlineLevel="0" collapsed="false">
      <c r="A286" s="1" t="n">
        <f aca="false">IF(LEN(Base!A286&amp;"")=0,"",Base!A286)</f>
        <v>3510</v>
      </c>
      <c r="B286" s="60" t="n">
        <f aca="false">IF(LEN(A286&amp;"")=0,"",Base!D286)</f>
        <v>45627</v>
      </c>
      <c r="C286" s="1" t="str">
        <f aca="false">IF(LEN(A286&amp;"")=0,"",Base!C286)</f>
        <v>Core</v>
      </c>
      <c r="D286" s="1" t="str">
        <f aca="false">IF(LEN(A286&amp;"")=0,"",Base!G286)</f>
        <v>Quarterly</v>
      </c>
      <c r="E286" s="1" t="str">
        <f aca="false">IF(LEN(A286&amp;"")=0,"",Base!E286)</f>
        <v>Yes</v>
      </c>
      <c r="F286" s="61" t="n">
        <f aca="false">IF(LEN(A286&amp;"")=0,"",IF(Base!I286="-",0,Base!I286))</f>
        <v>0</v>
      </c>
      <c r="G286" s="61" t="n">
        <f aca="false">IF(LEN(A286&amp;"")=0,"",SUM(Base!F286,F286,Base!K286))</f>
        <v>5</v>
      </c>
      <c r="H286" s="61" t="n">
        <f aca="false">IF(LEN(A286&amp;"")=0,"",Base!L286)</f>
        <v>0</v>
      </c>
      <c r="I286" s="61" t="n">
        <f aca="false">IF(LEN(A286&amp;"")=0,"",G286-H286)</f>
        <v>5</v>
      </c>
      <c r="J286" s="61" t="n">
        <f aca="false">IF(LEN(A286&amp;"")=0,"",Base!M286)</f>
        <v>5</v>
      </c>
      <c r="K286" s="1" t="n">
        <f aca="false">IF(OR(LEN(A286&amp;"")=0,$P$3=0),0,IF(AND(B286&gt;=Painel!$B$8,B286&lt;=Painel!$G$8,OR(Painel!$L$8="Todos",C286=Painel!$L$8),OR(Painel!$Q$8="Todos",D286=Painel!$Q$8),OR(Painel!$V$8="Todas",E286=Painel!$V$8)),1,0))</f>
        <v>1</v>
      </c>
      <c r="L286" s="61" t="n">
        <f aca="false">IF(LEN(A286&amp;"")=0,"",J286-I286)</f>
        <v>0</v>
      </c>
      <c r="M286" s="1" t="n">
        <f aca="false">IF(LEN(A286&amp;"")=0,0,IF(COUNTIFS(Base!$A$7:$A$1006,A286)&gt;1,1,0))</f>
        <v>0</v>
      </c>
      <c r="N286" s="1" t="n">
        <f aca="false">IF(LEN(A286&amp;"")=0,0,IF(ABS(L286)&gt;0.005,1,0))</f>
        <v>0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customFormat="false" ht="23" hidden="false" customHeight="true" outlineLevel="0" collapsed="false">
      <c r="A287" s="1" t="n">
        <f aca="false">IF(LEN(Base!A287&amp;"")=0,"",Base!A287)</f>
        <v>3511</v>
      </c>
      <c r="B287" s="60" t="n">
        <f aca="false">IF(LEN(A287&amp;"")=0,"",Base!D287)</f>
        <v>45628</v>
      </c>
      <c r="C287" s="1" t="str">
        <f aca="false">IF(LEN(A287&amp;"")=0,"",Base!C287)</f>
        <v>Ultimate</v>
      </c>
      <c r="D287" s="1" t="str">
        <f aca="false">IF(LEN(A287&amp;"")=0,"",Base!G287)</f>
        <v>Monthly</v>
      </c>
      <c r="E287" s="1" t="str">
        <f aca="false">IF(LEN(A287&amp;"")=0,"",Base!E287)</f>
        <v>No</v>
      </c>
      <c r="F287" s="61" t="n">
        <f aca="false">IF(LEN(A287&amp;"")=0,"",IF(Base!I287="-",0,Base!I287))</f>
        <v>30</v>
      </c>
      <c r="G287" s="61" t="n">
        <f aca="false">IF(LEN(A287&amp;"")=0,"",SUM(Base!F287,F287,Base!K287))</f>
        <v>65</v>
      </c>
      <c r="H287" s="61" t="n">
        <f aca="false">IF(LEN(A287&amp;"")=0,"",Base!L287)</f>
        <v>15</v>
      </c>
      <c r="I287" s="61" t="n">
        <f aca="false">IF(LEN(A287&amp;"")=0,"",G287-H287)</f>
        <v>50</v>
      </c>
      <c r="J287" s="61" t="n">
        <f aca="false">IF(LEN(A287&amp;"")=0,"",Base!M287)</f>
        <v>50</v>
      </c>
      <c r="K287" s="1" t="n">
        <f aca="false">IF(OR(LEN(A287&amp;"")=0,$P$3=0),0,IF(AND(B287&gt;=Painel!$B$8,B287&lt;=Painel!$G$8,OR(Painel!$L$8="Todos",C287=Painel!$L$8),OR(Painel!$Q$8="Todos",D287=Painel!$Q$8),OR(Painel!$V$8="Todas",E287=Painel!$V$8)),1,0))</f>
        <v>1</v>
      </c>
      <c r="L287" s="61" t="n">
        <f aca="false">IF(LEN(A287&amp;"")=0,"",J287-I287)</f>
        <v>0</v>
      </c>
      <c r="M287" s="1" t="n">
        <f aca="false">IF(LEN(A287&amp;"")=0,0,IF(COUNTIFS(Base!$A$7:$A$1006,A287)&gt;1,1,0))</f>
        <v>0</v>
      </c>
      <c r="N287" s="1" t="n">
        <f aca="false">IF(LEN(A287&amp;"")=0,0,IF(ABS(L287)&gt;0.005,1,0))</f>
        <v>0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customFormat="false" ht="23" hidden="false" customHeight="true" outlineLevel="0" collapsed="false">
      <c r="A288" s="1" t="n">
        <f aca="false">IF(LEN(Base!A288&amp;"")=0,"",Base!A288)</f>
        <v>3512</v>
      </c>
      <c r="B288" s="60" t="n">
        <f aca="false">IF(LEN(A288&amp;"")=0,"",Base!D288)</f>
        <v>45629</v>
      </c>
      <c r="C288" s="1" t="str">
        <f aca="false">IF(LEN(A288&amp;"")=0,"",Base!C288)</f>
        <v>Standard</v>
      </c>
      <c r="D288" s="1" t="str">
        <f aca="false">IF(LEN(A288&amp;"")=0,"",Base!G288)</f>
        <v>Annual</v>
      </c>
      <c r="E288" s="1" t="str">
        <f aca="false">IF(LEN(A288&amp;"")=0,"",Base!E288)</f>
        <v>Yes</v>
      </c>
      <c r="F288" s="61" t="n">
        <f aca="false">IF(LEN(A288&amp;"")=0,"",IF(Base!I288="-",0,Base!I288))</f>
        <v>0</v>
      </c>
      <c r="G288" s="61" t="n">
        <f aca="false">IF(LEN(A288&amp;"")=0,"",SUM(Base!F288,F288,Base!K288))</f>
        <v>30</v>
      </c>
      <c r="H288" s="61" t="n">
        <f aca="false">IF(LEN(A288&amp;"")=0,"",Base!L288)</f>
        <v>15</v>
      </c>
      <c r="I288" s="61" t="n">
        <f aca="false">IF(LEN(A288&amp;"")=0,"",G288-H288)</f>
        <v>15</v>
      </c>
      <c r="J288" s="61" t="n">
        <f aca="false">IF(LEN(A288&amp;"")=0,"",Base!M288)</f>
        <v>15</v>
      </c>
      <c r="K288" s="1" t="n">
        <f aca="false">IF(OR(LEN(A288&amp;"")=0,$P$3=0),0,IF(AND(B288&gt;=Painel!$B$8,B288&lt;=Painel!$G$8,OR(Painel!$L$8="Todos",C288=Painel!$L$8),OR(Painel!$Q$8="Todos",D288=Painel!$Q$8),OR(Painel!$V$8="Todas",E288=Painel!$V$8)),1,0))</f>
        <v>1</v>
      </c>
      <c r="L288" s="61" t="n">
        <f aca="false">IF(LEN(A288&amp;"")=0,"",J288-I288)</f>
        <v>0</v>
      </c>
      <c r="M288" s="1" t="n">
        <f aca="false">IF(LEN(A288&amp;"")=0,0,IF(COUNTIFS(Base!$A$7:$A$1006,A288)&gt;1,1,0))</f>
        <v>0</v>
      </c>
      <c r="N288" s="1" t="n">
        <f aca="false">IF(LEN(A288&amp;"")=0,0,IF(ABS(L288)&gt;0.005,1,0))</f>
        <v>0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customFormat="false" ht="23" hidden="false" customHeight="true" outlineLevel="0" collapsed="false">
      <c r="A289" s="1" t="n">
        <f aca="false">IF(LEN(Base!A289&amp;"")=0,"",Base!A289)</f>
        <v>3513</v>
      </c>
      <c r="B289" s="60" t="n">
        <f aca="false">IF(LEN(A289&amp;"")=0,"",Base!D289)</f>
        <v>45630</v>
      </c>
      <c r="C289" s="1" t="str">
        <f aca="false">IF(LEN(A289&amp;"")=0,"",Base!C289)</f>
        <v>Core</v>
      </c>
      <c r="D289" s="1" t="str">
        <f aca="false">IF(LEN(A289&amp;"")=0,"",Base!G289)</f>
        <v>Monthly</v>
      </c>
      <c r="E289" s="1" t="str">
        <f aca="false">IF(LEN(A289&amp;"")=0,"",Base!E289)</f>
        <v>No</v>
      </c>
      <c r="F289" s="61" t="n">
        <f aca="false">IF(LEN(A289&amp;"")=0,"",IF(Base!I289="-",0,Base!I289))</f>
        <v>0</v>
      </c>
      <c r="G289" s="61" t="n">
        <f aca="false">IF(LEN(A289&amp;"")=0,"",SUM(Base!F289,F289,Base!K289))</f>
        <v>5</v>
      </c>
      <c r="H289" s="61" t="n">
        <f aca="false">IF(LEN(A289&amp;"")=0,"",Base!L289)</f>
        <v>1</v>
      </c>
      <c r="I289" s="61" t="n">
        <f aca="false">IF(LEN(A289&amp;"")=0,"",G289-H289)</f>
        <v>4</v>
      </c>
      <c r="J289" s="61" t="n">
        <f aca="false">IF(LEN(A289&amp;"")=0,"",Base!M289)</f>
        <v>4</v>
      </c>
      <c r="K289" s="1" t="n">
        <f aca="false">IF(OR(LEN(A289&amp;"")=0,$P$3=0),0,IF(AND(B289&gt;=Painel!$B$8,B289&lt;=Painel!$G$8,OR(Painel!$L$8="Todos",C289=Painel!$L$8),OR(Painel!$Q$8="Todos",D289=Painel!$Q$8),OR(Painel!$V$8="Todas",E289=Painel!$V$8)),1,0))</f>
        <v>1</v>
      </c>
      <c r="L289" s="61" t="n">
        <f aca="false">IF(LEN(A289&amp;"")=0,"",J289-I289)</f>
        <v>0</v>
      </c>
      <c r="M289" s="1" t="n">
        <f aca="false">IF(LEN(A289&amp;"")=0,0,IF(COUNTIFS(Base!$A$7:$A$1006,A289)&gt;1,1,0))</f>
        <v>0</v>
      </c>
      <c r="N289" s="1" t="n">
        <f aca="false">IF(LEN(A289&amp;"")=0,0,IF(ABS(L289)&gt;0.005,1,0))</f>
        <v>0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customFormat="false" ht="23" hidden="false" customHeight="true" outlineLevel="0" collapsed="false">
      <c r="A290" s="1" t="n">
        <f aca="false">IF(LEN(Base!A290&amp;"")=0,"",Base!A290)</f>
        <v>3514</v>
      </c>
      <c r="B290" s="60" t="n">
        <f aca="false">IF(LEN(A290&amp;"")=0,"",Base!D290)</f>
        <v>45631</v>
      </c>
      <c r="C290" s="1" t="str">
        <f aca="false">IF(LEN(A290&amp;"")=0,"",Base!C290)</f>
        <v>Ultimate</v>
      </c>
      <c r="D290" s="1" t="str">
        <f aca="false">IF(LEN(A290&amp;"")=0,"",Base!G290)</f>
        <v>Quarterly</v>
      </c>
      <c r="E290" s="1" t="str">
        <f aca="false">IF(LEN(A290&amp;"")=0,"",Base!E290)</f>
        <v>Yes</v>
      </c>
      <c r="F290" s="61" t="n">
        <f aca="false">IF(LEN(A290&amp;"")=0,"",IF(Base!I290="-",0,Base!I290))</f>
        <v>30</v>
      </c>
      <c r="G290" s="61" t="n">
        <f aca="false">IF(LEN(A290&amp;"")=0,"",SUM(Base!F290,F290,Base!K290))</f>
        <v>65</v>
      </c>
      <c r="H290" s="61" t="n">
        <f aca="false">IF(LEN(A290&amp;"")=0,"",Base!L290)</f>
        <v>7</v>
      </c>
      <c r="I290" s="61" t="n">
        <f aca="false">IF(LEN(A290&amp;"")=0,"",G290-H290)</f>
        <v>58</v>
      </c>
      <c r="J290" s="61" t="n">
        <f aca="false">IF(LEN(A290&amp;"")=0,"",Base!M290)</f>
        <v>58</v>
      </c>
      <c r="K290" s="1" t="n">
        <f aca="false">IF(OR(LEN(A290&amp;"")=0,$P$3=0),0,IF(AND(B290&gt;=Painel!$B$8,B290&lt;=Painel!$G$8,OR(Painel!$L$8="Todos",C290=Painel!$L$8),OR(Painel!$Q$8="Todos",D290=Painel!$Q$8),OR(Painel!$V$8="Todas",E290=Painel!$V$8)),1,0))</f>
        <v>1</v>
      </c>
      <c r="L290" s="61" t="n">
        <f aca="false">IF(LEN(A290&amp;"")=0,"",J290-I290)</f>
        <v>0</v>
      </c>
      <c r="M290" s="1" t="n">
        <f aca="false">IF(LEN(A290&amp;"")=0,0,IF(COUNTIFS(Base!$A$7:$A$1006,A290)&gt;1,1,0))</f>
        <v>0</v>
      </c>
      <c r="N290" s="1" t="n">
        <f aca="false">IF(LEN(A290&amp;"")=0,0,IF(ABS(L290)&gt;0.005,1,0))</f>
        <v>0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customFormat="false" ht="23" hidden="false" customHeight="true" outlineLevel="0" collapsed="false">
      <c r="A291" s="1" t="n">
        <f aca="false">IF(LEN(Base!A291&amp;"")=0,"",Base!A291)</f>
        <v>3515</v>
      </c>
      <c r="B291" s="60" t="n">
        <f aca="false">IF(LEN(A291&amp;"")=0,"",Base!D291)</f>
        <v>45632</v>
      </c>
      <c r="C291" s="1" t="str">
        <f aca="false">IF(LEN(A291&amp;"")=0,"",Base!C291)</f>
        <v>Standard</v>
      </c>
      <c r="D291" s="1" t="str">
        <f aca="false">IF(LEN(A291&amp;"")=0,"",Base!G291)</f>
        <v>Monthly</v>
      </c>
      <c r="E291" s="1" t="str">
        <f aca="false">IF(LEN(A291&amp;"")=0,"",Base!E291)</f>
        <v>No</v>
      </c>
      <c r="F291" s="61" t="n">
        <f aca="false">IF(LEN(A291&amp;"")=0,"",IF(Base!I291="-",0,Base!I291))</f>
        <v>0</v>
      </c>
      <c r="G291" s="61" t="n">
        <f aca="false">IF(LEN(A291&amp;"")=0,"",SUM(Base!F291,F291,Base!K291))</f>
        <v>30</v>
      </c>
      <c r="H291" s="61" t="n">
        <f aca="false">IF(LEN(A291&amp;"")=0,"",Base!L291)</f>
        <v>10</v>
      </c>
      <c r="I291" s="61" t="n">
        <f aca="false">IF(LEN(A291&amp;"")=0,"",G291-H291)</f>
        <v>20</v>
      </c>
      <c r="J291" s="61" t="n">
        <f aca="false">IF(LEN(A291&amp;"")=0,"",Base!M291)</f>
        <v>20</v>
      </c>
      <c r="K291" s="1" t="n">
        <f aca="false">IF(OR(LEN(A291&amp;"")=0,$P$3=0),0,IF(AND(B291&gt;=Painel!$B$8,B291&lt;=Painel!$G$8,OR(Painel!$L$8="Todos",C291=Painel!$L$8),OR(Painel!$Q$8="Todos",D291=Painel!$Q$8),OR(Painel!$V$8="Todas",E291=Painel!$V$8)),1,0))</f>
        <v>1</v>
      </c>
      <c r="L291" s="61" t="n">
        <f aca="false">IF(LEN(A291&amp;"")=0,"",J291-I291)</f>
        <v>0</v>
      </c>
      <c r="M291" s="1" t="n">
        <f aca="false">IF(LEN(A291&amp;"")=0,0,IF(COUNTIFS(Base!$A$7:$A$1006,A291)&gt;1,1,0))</f>
        <v>0</v>
      </c>
      <c r="N291" s="1" t="n">
        <f aca="false">IF(LEN(A291&amp;"")=0,0,IF(ABS(L291)&gt;0.005,1,0))</f>
        <v>0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customFormat="false" ht="23" hidden="false" customHeight="true" outlineLevel="0" collapsed="false">
      <c r="A292" s="1" t="n">
        <f aca="false">IF(LEN(Base!A292&amp;"")=0,"",Base!A292)</f>
        <v>3516</v>
      </c>
      <c r="B292" s="60" t="n">
        <f aca="false">IF(LEN(A292&amp;"")=0,"",Base!D292)</f>
        <v>45633</v>
      </c>
      <c r="C292" s="1" t="str">
        <f aca="false">IF(LEN(A292&amp;"")=0,"",Base!C292)</f>
        <v>Core</v>
      </c>
      <c r="D292" s="1" t="str">
        <f aca="false">IF(LEN(A292&amp;"")=0,"",Base!G292)</f>
        <v>Annual</v>
      </c>
      <c r="E292" s="1" t="str">
        <f aca="false">IF(LEN(A292&amp;"")=0,"",Base!E292)</f>
        <v>Yes</v>
      </c>
      <c r="F292" s="61" t="n">
        <f aca="false">IF(LEN(A292&amp;"")=0,"",IF(Base!I292="-",0,Base!I292))</f>
        <v>0</v>
      </c>
      <c r="G292" s="61" t="n">
        <f aca="false">IF(LEN(A292&amp;"")=0,"",SUM(Base!F292,F292,Base!K292))</f>
        <v>5</v>
      </c>
      <c r="H292" s="61" t="n">
        <f aca="false">IF(LEN(A292&amp;"")=0,"",Base!L292)</f>
        <v>0</v>
      </c>
      <c r="I292" s="61" t="n">
        <f aca="false">IF(LEN(A292&amp;"")=0,"",G292-H292)</f>
        <v>5</v>
      </c>
      <c r="J292" s="61" t="n">
        <f aca="false">IF(LEN(A292&amp;"")=0,"",Base!M292)</f>
        <v>5</v>
      </c>
      <c r="K292" s="1" t="n">
        <f aca="false">IF(OR(LEN(A292&amp;"")=0,$P$3=0),0,IF(AND(B292&gt;=Painel!$B$8,B292&lt;=Painel!$G$8,OR(Painel!$L$8="Todos",C292=Painel!$L$8),OR(Painel!$Q$8="Todos",D292=Painel!$Q$8),OR(Painel!$V$8="Todas",E292=Painel!$V$8)),1,0))</f>
        <v>1</v>
      </c>
      <c r="L292" s="61" t="n">
        <f aca="false">IF(LEN(A292&amp;"")=0,"",J292-I292)</f>
        <v>0</v>
      </c>
      <c r="M292" s="1" t="n">
        <f aca="false">IF(LEN(A292&amp;"")=0,0,IF(COUNTIFS(Base!$A$7:$A$1006,A292)&gt;1,1,0))</f>
        <v>0</v>
      </c>
      <c r="N292" s="1" t="n">
        <f aca="false">IF(LEN(A292&amp;"")=0,0,IF(ABS(L292)&gt;0.005,1,0))</f>
        <v>0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customFormat="false" ht="23" hidden="false" customHeight="true" outlineLevel="0" collapsed="false">
      <c r="A293" s="1" t="n">
        <f aca="false">IF(LEN(Base!A293&amp;"")=0,"",Base!A293)</f>
        <v>3517</v>
      </c>
      <c r="B293" s="60" t="n">
        <f aca="false">IF(LEN(A293&amp;"")=0,"",Base!D293)</f>
        <v>45634</v>
      </c>
      <c r="C293" s="1" t="str">
        <f aca="false">IF(LEN(A293&amp;"")=0,"",Base!C293)</f>
        <v>Ultimate</v>
      </c>
      <c r="D293" s="1" t="str">
        <f aca="false">IF(LEN(A293&amp;"")=0,"",Base!G293)</f>
        <v>Monthly</v>
      </c>
      <c r="E293" s="1" t="str">
        <f aca="false">IF(LEN(A293&amp;"")=0,"",Base!E293)</f>
        <v>No</v>
      </c>
      <c r="F293" s="61" t="n">
        <f aca="false">IF(LEN(A293&amp;"")=0,"",IF(Base!I293="-",0,Base!I293))</f>
        <v>30</v>
      </c>
      <c r="G293" s="61" t="n">
        <f aca="false">IF(LEN(A293&amp;"")=0,"",SUM(Base!F293,F293,Base!K293))</f>
        <v>65</v>
      </c>
      <c r="H293" s="61" t="n">
        <f aca="false">IF(LEN(A293&amp;"")=0,"",Base!L293)</f>
        <v>20</v>
      </c>
      <c r="I293" s="61" t="n">
        <f aca="false">IF(LEN(A293&amp;"")=0,"",G293-H293)</f>
        <v>45</v>
      </c>
      <c r="J293" s="61" t="n">
        <f aca="false">IF(LEN(A293&amp;"")=0,"",Base!M293)</f>
        <v>45</v>
      </c>
      <c r="K293" s="1" t="n">
        <f aca="false">IF(OR(LEN(A293&amp;"")=0,$P$3=0),0,IF(AND(B293&gt;=Painel!$B$8,B293&lt;=Painel!$G$8,OR(Painel!$L$8="Todos",C293=Painel!$L$8),OR(Painel!$Q$8="Todos",D293=Painel!$Q$8),OR(Painel!$V$8="Todas",E293=Painel!$V$8)),1,0))</f>
        <v>1</v>
      </c>
      <c r="L293" s="61" t="n">
        <f aca="false">IF(LEN(A293&amp;"")=0,"",J293-I293)</f>
        <v>0</v>
      </c>
      <c r="M293" s="1" t="n">
        <f aca="false">IF(LEN(A293&amp;"")=0,0,IF(COUNTIFS(Base!$A$7:$A$1006,A293)&gt;1,1,0))</f>
        <v>0</v>
      </c>
      <c r="N293" s="1" t="n">
        <f aca="false">IF(LEN(A293&amp;"")=0,0,IF(ABS(L293)&gt;0.005,1,0))</f>
        <v>0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customFormat="false" ht="23" hidden="false" customHeight="true" outlineLevel="0" collapsed="false">
      <c r="A294" s="1" t="n">
        <f aca="false">IF(LEN(Base!A294&amp;"")=0,"",Base!A294)</f>
        <v>3518</v>
      </c>
      <c r="B294" s="60" t="n">
        <f aca="false">IF(LEN(A294&amp;"")=0,"",Base!D294)</f>
        <v>45635</v>
      </c>
      <c r="C294" s="1" t="str">
        <f aca="false">IF(LEN(A294&amp;"")=0,"",Base!C294)</f>
        <v>Standard</v>
      </c>
      <c r="D294" s="1" t="str">
        <f aca="false">IF(LEN(A294&amp;"")=0,"",Base!G294)</f>
        <v>Quarterly</v>
      </c>
      <c r="E294" s="1" t="str">
        <f aca="false">IF(LEN(A294&amp;"")=0,"",Base!E294)</f>
        <v>Yes</v>
      </c>
      <c r="F294" s="61" t="n">
        <f aca="false">IF(LEN(A294&amp;"")=0,"",IF(Base!I294="-",0,Base!I294))</f>
        <v>0</v>
      </c>
      <c r="G294" s="61" t="n">
        <f aca="false">IF(LEN(A294&amp;"")=0,"",SUM(Base!F294,F294,Base!K294))</f>
        <v>30</v>
      </c>
      <c r="H294" s="61" t="n">
        <f aca="false">IF(LEN(A294&amp;"")=0,"",Base!L294)</f>
        <v>12</v>
      </c>
      <c r="I294" s="61" t="n">
        <f aca="false">IF(LEN(A294&amp;"")=0,"",G294-H294)</f>
        <v>18</v>
      </c>
      <c r="J294" s="61" t="n">
        <f aca="false">IF(LEN(A294&amp;"")=0,"",Base!M294)</f>
        <v>18</v>
      </c>
      <c r="K294" s="1" t="n">
        <f aca="false">IF(OR(LEN(A294&amp;"")=0,$P$3=0),0,IF(AND(B294&gt;=Painel!$B$8,B294&lt;=Painel!$G$8,OR(Painel!$L$8="Todos",C294=Painel!$L$8),OR(Painel!$Q$8="Todos",D294=Painel!$Q$8),OR(Painel!$V$8="Todas",E294=Painel!$V$8)),1,0))</f>
        <v>1</v>
      </c>
      <c r="L294" s="61" t="n">
        <f aca="false">IF(LEN(A294&amp;"")=0,"",J294-I294)</f>
        <v>0</v>
      </c>
      <c r="M294" s="1" t="n">
        <f aca="false">IF(LEN(A294&amp;"")=0,0,IF(COUNTIFS(Base!$A$7:$A$1006,A294)&gt;1,1,0))</f>
        <v>0</v>
      </c>
      <c r="N294" s="1" t="n">
        <f aca="false">IF(LEN(A294&amp;"")=0,0,IF(ABS(L294)&gt;0.005,1,0))</f>
        <v>0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customFormat="false" ht="23" hidden="false" customHeight="true" outlineLevel="0" collapsed="false">
      <c r="A295" s="1" t="n">
        <f aca="false">IF(LEN(Base!A295&amp;"")=0,"",Base!A295)</f>
        <v>3519</v>
      </c>
      <c r="B295" s="60" t="n">
        <f aca="false">IF(LEN(A295&amp;"")=0,"",Base!D295)</f>
        <v>45636</v>
      </c>
      <c r="C295" s="1" t="str">
        <f aca="false">IF(LEN(A295&amp;"")=0,"",Base!C295)</f>
        <v>Core</v>
      </c>
      <c r="D295" s="1" t="str">
        <f aca="false">IF(LEN(A295&amp;"")=0,"",Base!G295)</f>
        <v>Monthly</v>
      </c>
      <c r="E295" s="1" t="str">
        <f aca="false">IF(LEN(A295&amp;"")=0,"",Base!E295)</f>
        <v>No</v>
      </c>
      <c r="F295" s="61" t="n">
        <f aca="false">IF(LEN(A295&amp;"")=0,"",IF(Base!I295="-",0,Base!I295))</f>
        <v>0</v>
      </c>
      <c r="G295" s="61" t="n">
        <f aca="false">IF(LEN(A295&amp;"")=0,"",SUM(Base!F295,F295,Base!K295))</f>
        <v>5</v>
      </c>
      <c r="H295" s="61" t="n">
        <f aca="false">IF(LEN(A295&amp;"")=0,"",Base!L295)</f>
        <v>2</v>
      </c>
      <c r="I295" s="61" t="n">
        <f aca="false">IF(LEN(A295&amp;"")=0,"",G295-H295)</f>
        <v>3</v>
      </c>
      <c r="J295" s="61" t="n">
        <f aca="false">IF(LEN(A295&amp;"")=0,"",Base!M295)</f>
        <v>3</v>
      </c>
      <c r="K295" s="1" t="n">
        <f aca="false">IF(OR(LEN(A295&amp;"")=0,$P$3=0),0,IF(AND(B295&gt;=Painel!$B$8,B295&lt;=Painel!$G$8,OR(Painel!$L$8="Todos",C295=Painel!$L$8),OR(Painel!$Q$8="Todos",D295=Painel!$Q$8),OR(Painel!$V$8="Todas",E295=Painel!$V$8)),1,0))</f>
        <v>1</v>
      </c>
      <c r="L295" s="61" t="n">
        <f aca="false">IF(LEN(A295&amp;"")=0,"",J295-I295)</f>
        <v>0</v>
      </c>
      <c r="M295" s="1" t="n">
        <f aca="false">IF(LEN(A295&amp;"")=0,0,IF(COUNTIFS(Base!$A$7:$A$1006,A295)&gt;1,1,0))</f>
        <v>0</v>
      </c>
      <c r="N295" s="1" t="n">
        <f aca="false">IF(LEN(A295&amp;"")=0,0,IF(ABS(L295)&gt;0.005,1,0))</f>
        <v>0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customFormat="false" ht="23" hidden="false" customHeight="true" outlineLevel="0" collapsed="false">
      <c r="A296" s="1" t="n">
        <f aca="false">IF(LEN(Base!A296&amp;"")=0,"",Base!A296)</f>
        <v>3520</v>
      </c>
      <c r="B296" s="60" t="n">
        <f aca="false">IF(LEN(A296&amp;"")=0,"",Base!D296)</f>
        <v>45637</v>
      </c>
      <c r="C296" s="1" t="str">
        <f aca="false">IF(LEN(A296&amp;"")=0,"",Base!C296)</f>
        <v>Ultimate</v>
      </c>
      <c r="D296" s="1" t="str">
        <f aca="false">IF(LEN(A296&amp;"")=0,"",Base!G296)</f>
        <v>Annual</v>
      </c>
      <c r="E296" s="1" t="str">
        <f aca="false">IF(LEN(A296&amp;"")=0,"",Base!E296)</f>
        <v>Yes</v>
      </c>
      <c r="F296" s="61" t="n">
        <f aca="false">IF(LEN(A296&amp;"")=0,"",IF(Base!I296="-",0,Base!I296))</f>
        <v>30</v>
      </c>
      <c r="G296" s="61" t="n">
        <f aca="false">IF(LEN(A296&amp;"")=0,"",SUM(Base!F296,F296,Base!K296))</f>
        <v>65</v>
      </c>
      <c r="H296" s="61" t="n">
        <f aca="false">IF(LEN(A296&amp;"")=0,"",Base!L296)</f>
        <v>5</v>
      </c>
      <c r="I296" s="61" t="n">
        <f aca="false">IF(LEN(A296&amp;"")=0,"",G296-H296)</f>
        <v>60</v>
      </c>
      <c r="J296" s="61" t="n">
        <f aca="false">IF(LEN(A296&amp;"")=0,"",Base!M296)</f>
        <v>60</v>
      </c>
      <c r="K296" s="1" t="n">
        <f aca="false">IF(OR(LEN(A296&amp;"")=0,$P$3=0),0,IF(AND(B296&gt;=Painel!$B$8,B296&lt;=Painel!$G$8,OR(Painel!$L$8="Todos",C296=Painel!$L$8),OR(Painel!$Q$8="Todos",D296=Painel!$Q$8),OR(Painel!$V$8="Todas",E296=Painel!$V$8)),1,0))</f>
        <v>1</v>
      </c>
      <c r="L296" s="61" t="n">
        <f aca="false">IF(LEN(A296&amp;"")=0,"",J296-I296)</f>
        <v>0</v>
      </c>
      <c r="M296" s="1" t="n">
        <f aca="false">IF(LEN(A296&amp;"")=0,0,IF(COUNTIFS(Base!$A$7:$A$1006,A296)&gt;1,1,0))</f>
        <v>0</v>
      </c>
      <c r="N296" s="1" t="n">
        <f aca="false">IF(LEN(A296&amp;"")=0,0,IF(ABS(L296)&gt;0.005,1,0))</f>
        <v>0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customFormat="false" ht="23" hidden="false" customHeight="true" outlineLevel="0" collapsed="false">
      <c r="A297" s="1" t="n">
        <f aca="false">IF(LEN(Base!A297&amp;"")=0,"",Base!A297)</f>
        <v>3521</v>
      </c>
      <c r="B297" s="60" t="n">
        <f aca="false">IF(LEN(A297&amp;"")=0,"",Base!D297)</f>
        <v>45638</v>
      </c>
      <c r="C297" s="1" t="str">
        <f aca="false">IF(LEN(A297&amp;"")=0,"",Base!C297)</f>
        <v>Standard</v>
      </c>
      <c r="D297" s="1" t="str">
        <f aca="false">IF(LEN(A297&amp;"")=0,"",Base!G297)</f>
        <v>Monthly</v>
      </c>
      <c r="E297" s="1" t="str">
        <f aca="false">IF(LEN(A297&amp;"")=0,"",Base!E297)</f>
        <v>No</v>
      </c>
      <c r="F297" s="61" t="n">
        <f aca="false">IF(LEN(A297&amp;"")=0,"",IF(Base!I297="-",0,Base!I297))</f>
        <v>0</v>
      </c>
      <c r="G297" s="61" t="n">
        <f aca="false">IF(LEN(A297&amp;"")=0,"",SUM(Base!F297,F297,Base!K297))</f>
        <v>30</v>
      </c>
      <c r="H297" s="61" t="n">
        <f aca="false">IF(LEN(A297&amp;"")=0,"",Base!L297)</f>
        <v>10</v>
      </c>
      <c r="I297" s="61" t="n">
        <f aca="false">IF(LEN(A297&amp;"")=0,"",G297-H297)</f>
        <v>20</v>
      </c>
      <c r="J297" s="61" t="n">
        <f aca="false">IF(LEN(A297&amp;"")=0,"",Base!M297)</f>
        <v>20</v>
      </c>
      <c r="K297" s="1" t="n">
        <f aca="false">IF(OR(LEN(A297&amp;"")=0,$P$3=0),0,IF(AND(B297&gt;=Painel!$B$8,B297&lt;=Painel!$G$8,OR(Painel!$L$8="Todos",C297=Painel!$L$8),OR(Painel!$Q$8="Todos",D297=Painel!$Q$8),OR(Painel!$V$8="Todas",E297=Painel!$V$8)),1,0))</f>
        <v>1</v>
      </c>
      <c r="L297" s="61" t="n">
        <f aca="false">IF(LEN(A297&amp;"")=0,"",J297-I297)</f>
        <v>0</v>
      </c>
      <c r="M297" s="1" t="n">
        <f aca="false">IF(LEN(A297&amp;"")=0,0,IF(COUNTIFS(Base!$A$7:$A$1006,A297)&gt;1,1,0))</f>
        <v>0</v>
      </c>
      <c r="N297" s="1" t="n">
        <f aca="false">IF(LEN(A297&amp;"")=0,0,IF(ABS(L297)&gt;0.005,1,0))</f>
        <v>0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customFormat="false" ht="23" hidden="false" customHeight="true" outlineLevel="0" collapsed="false">
      <c r="A298" s="1" t="n">
        <f aca="false">IF(LEN(Base!A298&amp;"")=0,"",Base!A298)</f>
        <v>3522</v>
      </c>
      <c r="B298" s="60" t="n">
        <f aca="false">IF(LEN(A298&amp;"")=0,"",Base!D298)</f>
        <v>45639</v>
      </c>
      <c r="C298" s="1" t="str">
        <f aca="false">IF(LEN(A298&amp;"")=0,"",Base!C298)</f>
        <v>Core</v>
      </c>
      <c r="D298" s="1" t="str">
        <f aca="false">IF(LEN(A298&amp;"")=0,"",Base!G298)</f>
        <v>Quarterly</v>
      </c>
      <c r="E298" s="1" t="str">
        <f aca="false">IF(LEN(A298&amp;"")=0,"",Base!E298)</f>
        <v>Yes</v>
      </c>
      <c r="F298" s="61" t="n">
        <f aca="false">IF(LEN(A298&amp;"")=0,"",IF(Base!I298="-",0,Base!I298))</f>
        <v>0</v>
      </c>
      <c r="G298" s="61" t="n">
        <f aca="false">IF(LEN(A298&amp;"")=0,"",SUM(Base!F298,F298,Base!K298))</f>
        <v>5</v>
      </c>
      <c r="H298" s="61" t="n">
        <f aca="false">IF(LEN(A298&amp;"")=0,"",Base!L298)</f>
        <v>0</v>
      </c>
      <c r="I298" s="61" t="n">
        <f aca="false">IF(LEN(A298&amp;"")=0,"",G298-H298)</f>
        <v>5</v>
      </c>
      <c r="J298" s="61" t="n">
        <f aca="false">IF(LEN(A298&amp;"")=0,"",Base!M298)</f>
        <v>5</v>
      </c>
      <c r="K298" s="1" t="n">
        <f aca="false">IF(OR(LEN(A298&amp;"")=0,$P$3=0),0,IF(AND(B298&gt;=Painel!$B$8,B298&lt;=Painel!$G$8,OR(Painel!$L$8="Todos",C298=Painel!$L$8),OR(Painel!$Q$8="Todos",D298=Painel!$Q$8),OR(Painel!$V$8="Todas",E298=Painel!$V$8)),1,0))</f>
        <v>1</v>
      </c>
      <c r="L298" s="61" t="n">
        <f aca="false">IF(LEN(A298&amp;"")=0,"",J298-I298)</f>
        <v>0</v>
      </c>
      <c r="M298" s="1" t="n">
        <f aca="false">IF(LEN(A298&amp;"")=0,0,IF(COUNTIFS(Base!$A$7:$A$1006,A298)&gt;1,1,0))</f>
        <v>0</v>
      </c>
      <c r="N298" s="1" t="n">
        <f aca="false">IF(LEN(A298&amp;"")=0,0,IF(ABS(L298)&gt;0.005,1,0))</f>
        <v>0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customFormat="false" ht="23" hidden="false" customHeight="true" outlineLevel="0" collapsed="false">
      <c r="A299" s="1" t="n">
        <f aca="false">IF(LEN(Base!A299&amp;"")=0,"",Base!A299)</f>
        <v>3523</v>
      </c>
      <c r="B299" s="60" t="n">
        <f aca="false">IF(LEN(A299&amp;"")=0,"",Base!D299)</f>
        <v>45640</v>
      </c>
      <c r="C299" s="1" t="str">
        <f aca="false">IF(LEN(A299&amp;"")=0,"",Base!C299)</f>
        <v>Ultimate</v>
      </c>
      <c r="D299" s="1" t="str">
        <f aca="false">IF(LEN(A299&amp;"")=0,"",Base!G299)</f>
        <v>Monthly</v>
      </c>
      <c r="E299" s="1" t="str">
        <f aca="false">IF(LEN(A299&amp;"")=0,"",Base!E299)</f>
        <v>No</v>
      </c>
      <c r="F299" s="61" t="n">
        <f aca="false">IF(LEN(A299&amp;"")=0,"",IF(Base!I299="-",0,Base!I299))</f>
        <v>30</v>
      </c>
      <c r="G299" s="61" t="n">
        <f aca="false">IF(LEN(A299&amp;"")=0,"",SUM(Base!F299,F299,Base!K299))</f>
        <v>65</v>
      </c>
      <c r="H299" s="61" t="n">
        <f aca="false">IF(LEN(A299&amp;"")=0,"",Base!L299)</f>
        <v>3</v>
      </c>
      <c r="I299" s="61" t="n">
        <f aca="false">IF(LEN(A299&amp;"")=0,"",G299-H299)</f>
        <v>62</v>
      </c>
      <c r="J299" s="61" t="n">
        <f aca="false">IF(LEN(A299&amp;"")=0,"",Base!M299)</f>
        <v>62</v>
      </c>
      <c r="K299" s="1" t="n">
        <f aca="false">IF(OR(LEN(A299&amp;"")=0,$P$3=0),0,IF(AND(B299&gt;=Painel!$B$8,B299&lt;=Painel!$G$8,OR(Painel!$L$8="Todos",C299=Painel!$L$8),OR(Painel!$Q$8="Todos",D299=Painel!$Q$8),OR(Painel!$V$8="Todas",E299=Painel!$V$8)),1,0))</f>
        <v>1</v>
      </c>
      <c r="L299" s="61" t="n">
        <f aca="false">IF(LEN(A299&amp;"")=0,"",J299-I299)</f>
        <v>0</v>
      </c>
      <c r="M299" s="1" t="n">
        <f aca="false">IF(LEN(A299&amp;"")=0,0,IF(COUNTIFS(Base!$A$7:$A$1006,A299)&gt;1,1,0))</f>
        <v>0</v>
      </c>
      <c r="N299" s="1" t="n">
        <f aca="false">IF(LEN(A299&amp;"")=0,0,IF(ABS(L299)&gt;0.005,1,0))</f>
        <v>0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customFormat="false" ht="23" hidden="false" customHeight="true" outlineLevel="0" collapsed="false">
      <c r="A300" s="1" t="n">
        <f aca="false">IF(LEN(Base!A300&amp;"")=0,"",Base!A300)</f>
        <v>3524</v>
      </c>
      <c r="B300" s="60" t="n">
        <f aca="false">IF(LEN(A300&amp;"")=0,"",Base!D300)</f>
        <v>45641</v>
      </c>
      <c r="C300" s="1" t="str">
        <f aca="false">IF(LEN(A300&amp;"")=0,"",Base!C300)</f>
        <v>Standard</v>
      </c>
      <c r="D300" s="1" t="str">
        <f aca="false">IF(LEN(A300&amp;"")=0,"",Base!G300)</f>
        <v>Annual</v>
      </c>
      <c r="E300" s="1" t="str">
        <f aca="false">IF(LEN(A300&amp;"")=0,"",Base!E300)</f>
        <v>Yes</v>
      </c>
      <c r="F300" s="61" t="n">
        <f aca="false">IF(LEN(A300&amp;"")=0,"",IF(Base!I300="-",0,Base!I300))</f>
        <v>0</v>
      </c>
      <c r="G300" s="61" t="n">
        <f aca="false">IF(LEN(A300&amp;"")=0,"",SUM(Base!F300,F300,Base!K300))</f>
        <v>30</v>
      </c>
      <c r="H300" s="61" t="n">
        <f aca="false">IF(LEN(A300&amp;"")=0,"",Base!L300)</f>
        <v>15</v>
      </c>
      <c r="I300" s="61" t="n">
        <f aca="false">IF(LEN(A300&amp;"")=0,"",G300-H300)</f>
        <v>15</v>
      </c>
      <c r="J300" s="61" t="n">
        <f aca="false">IF(LEN(A300&amp;"")=0,"",Base!M300)</f>
        <v>15</v>
      </c>
      <c r="K300" s="1" t="n">
        <f aca="false">IF(OR(LEN(A300&amp;"")=0,$P$3=0),0,IF(AND(B300&gt;=Painel!$B$8,B300&lt;=Painel!$G$8,OR(Painel!$L$8="Todos",C300=Painel!$L$8),OR(Painel!$Q$8="Todos",D300=Painel!$Q$8),OR(Painel!$V$8="Todas",E300=Painel!$V$8)),1,0))</f>
        <v>1</v>
      </c>
      <c r="L300" s="61" t="n">
        <f aca="false">IF(LEN(A300&amp;"")=0,"",J300-I300)</f>
        <v>0</v>
      </c>
      <c r="M300" s="1" t="n">
        <f aca="false">IF(LEN(A300&amp;"")=0,0,IF(COUNTIFS(Base!$A$7:$A$1006,A300)&gt;1,1,0))</f>
        <v>0</v>
      </c>
      <c r="N300" s="1" t="n">
        <f aca="false">IF(LEN(A300&amp;"")=0,0,IF(ABS(L300)&gt;0.005,1,0))</f>
        <v>0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customFormat="false" ht="23" hidden="false" customHeight="true" outlineLevel="0" collapsed="false">
      <c r="A301" s="1" t="n">
        <f aca="false">IF(LEN(Base!A301&amp;"")=0,"",Base!A301)</f>
        <v>3525</v>
      </c>
      <c r="B301" s="60" t="n">
        <f aca="false">IF(LEN(A301&amp;"")=0,"",Base!D301)</f>
        <v>45642</v>
      </c>
      <c r="C301" s="1" t="str">
        <f aca="false">IF(LEN(A301&amp;"")=0,"",Base!C301)</f>
        <v>Core</v>
      </c>
      <c r="D301" s="1" t="str">
        <f aca="false">IF(LEN(A301&amp;"")=0,"",Base!G301)</f>
        <v>Monthly</v>
      </c>
      <c r="E301" s="1" t="str">
        <f aca="false">IF(LEN(A301&amp;"")=0,"",Base!E301)</f>
        <v>No</v>
      </c>
      <c r="F301" s="61" t="n">
        <f aca="false">IF(LEN(A301&amp;"")=0,"",IF(Base!I301="-",0,Base!I301))</f>
        <v>0</v>
      </c>
      <c r="G301" s="61" t="n">
        <f aca="false">IF(LEN(A301&amp;"")=0,"",SUM(Base!F301,F301,Base!K301))</f>
        <v>5</v>
      </c>
      <c r="H301" s="61" t="n">
        <f aca="false">IF(LEN(A301&amp;"")=0,"",Base!L301)</f>
        <v>1</v>
      </c>
      <c r="I301" s="61" t="n">
        <f aca="false">IF(LEN(A301&amp;"")=0,"",G301-H301)</f>
        <v>4</v>
      </c>
      <c r="J301" s="61" t="n">
        <f aca="false">IF(LEN(A301&amp;"")=0,"",Base!M301)</f>
        <v>4</v>
      </c>
      <c r="K301" s="1" t="n">
        <f aca="false">IF(OR(LEN(A301&amp;"")=0,$P$3=0),0,IF(AND(B301&gt;=Painel!$B$8,B301&lt;=Painel!$G$8,OR(Painel!$L$8="Todos",C301=Painel!$L$8),OR(Painel!$Q$8="Todos",D301=Painel!$Q$8),OR(Painel!$V$8="Todas",E301=Painel!$V$8)),1,0))</f>
        <v>1</v>
      </c>
      <c r="L301" s="61" t="n">
        <f aca="false">IF(LEN(A301&amp;"")=0,"",J301-I301)</f>
        <v>0</v>
      </c>
      <c r="M301" s="1" t="n">
        <f aca="false">IF(LEN(A301&amp;"")=0,0,IF(COUNTIFS(Base!$A$7:$A$1006,A301)&gt;1,1,0))</f>
        <v>0</v>
      </c>
      <c r="N301" s="1" t="n">
        <f aca="false">IF(LEN(A301&amp;"")=0,0,IF(ABS(L301)&gt;0.005,1,0))</f>
        <v>0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customFormat="false" ht="23" hidden="false" customHeight="true" outlineLevel="0" collapsed="false">
      <c r="A302" s="1" t="str">
        <f aca="false">IF(LEN(Base!A302&amp;"")=0,"",Base!A302)</f>
        <v/>
      </c>
      <c r="B302" s="60" t="str">
        <f aca="false">IF(LEN(A302&amp;"")=0,"",Base!D302)</f>
        <v/>
      </c>
      <c r="C302" s="1" t="str">
        <f aca="false">IF(LEN(A302&amp;"")=0,"",Base!C302)</f>
        <v/>
      </c>
      <c r="D302" s="1" t="str">
        <f aca="false">IF(LEN(A302&amp;"")=0,"",Base!G302)</f>
        <v/>
      </c>
      <c r="E302" s="1" t="str">
        <f aca="false">IF(LEN(A302&amp;"")=0,"",Base!E302)</f>
        <v/>
      </c>
      <c r="F302" s="61" t="str">
        <f aca="false">IF(LEN(A302&amp;"")=0,"",IF(Base!I302="-",0,Base!I302))</f>
        <v/>
      </c>
      <c r="G302" s="61" t="str">
        <f aca="false">IF(LEN(A302&amp;"")=0,"",SUM(Base!F302,F302,Base!K302))</f>
        <v/>
      </c>
      <c r="H302" s="61" t="str">
        <f aca="false">IF(LEN(A302&amp;"")=0,"",Base!L302)</f>
        <v/>
      </c>
      <c r="I302" s="61" t="str">
        <f aca="false">IF(LEN(A302&amp;"")=0,"",G302-H302)</f>
        <v/>
      </c>
      <c r="J302" s="61" t="str">
        <f aca="false">IF(LEN(A302&amp;"")=0,"",Base!M302)</f>
        <v/>
      </c>
      <c r="K302" s="1" t="n">
        <f aca="false">IF(OR(LEN(A302&amp;"")=0,$P$3=0),0,IF(AND(B302&gt;=Painel!$B$8,B302&lt;=Painel!$G$8,OR(Painel!$L$8="Todos",C302=Painel!$L$8),OR(Painel!$Q$8="Todos",D302=Painel!$Q$8),OR(Painel!$V$8="Todas",E302=Painel!$V$8)),1,0))</f>
        <v>0</v>
      </c>
      <c r="L302" s="61" t="str">
        <f aca="false">IF(LEN(A302&amp;"")=0,"",J302-I302)</f>
        <v/>
      </c>
      <c r="M302" s="1" t="n">
        <f aca="false">IF(LEN(A302&amp;"")=0,0,IF(COUNTIFS(Base!$A$7:$A$1006,A302)&gt;1,1,0))</f>
        <v>0</v>
      </c>
      <c r="N302" s="1" t="n">
        <f aca="false">IF(LEN(A302&amp;"")=0,0,IF(ABS(L302)&gt;0.005,1,0))</f>
        <v>0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customFormat="false" ht="23" hidden="false" customHeight="true" outlineLevel="0" collapsed="false">
      <c r="A303" s="1" t="str">
        <f aca="false">IF(LEN(Base!A303&amp;"")=0,"",Base!A303)</f>
        <v/>
      </c>
      <c r="B303" s="60" t="str">
        <f aca="false">IF(LEN(A303&amp;"")=0,"",Base!D303)</f>
        <v/>
      </c>
      <c r="C303" s="1" t="str">
        <f aca="false">IF(LEN(A303&amp;"")=0,"",Base!C303)</f>
        <v/>
      </c>
      <c r="D303" s="1" t="str">
        <f aca="false">IF(LEN(A303&amp;"")=0,"",Base!G303)</f>
        <v/>
      </c>
      <c r="E303" s="1" t="str">
        <f aca="false">IF(LEN(A303&amp;"")=0,"",Base!E303)</f>
        <v/>
      </c>
      <c r="F303" s="61" t="str">
        <f aca="false">IF(LEN(A303&amp;"")=0,"",IF(Base!I303="-",0,Base!I303))</f>
        <v/>
      </c>
      <c r="G303" s="61" t="str">
        <f aca="false">IF(LEN(A303&amp;"")=0,"",SUM(Base!F303,F303,Base!K303))</f>
        <v/>
      </c>
      <c r="H303" s="61" t="str">
        <f aca="false">IF(LEN(A303&amp;"")=0,"",Base!L303)</f>
        <v/>
      </c>
      <c r="I303" s="61" t="str">
        <f aca="false">IF(LEN(A303&amp;"")=0,"",G303-H303)</f>
        <v/>
      </c>
      <c r="J303" s="61" t="str">
        <f aca="false">IF(LEN(A303&amp;"")=0,"",Base!M303)</f>
        <v/>
      </c>
      <c r="K303" s="1" t="n">
        <f aca="false">IF(OR(LEN(A303&amp;"")=0,$P$3=0),0,IF(AND(B303&gt;=Painel!$B$8,B303&lt;=Painel!$G$8,OR(Painel!$L$8="Todos",C303=Painel!$L$8),OR(Painel!$Q$8="Todos",D303=Painel!$Q$8),OR(Painel!$V$8="Todas",E303=Painel!$V$8)),1,0))</f>
        <v>0</v>
      </c>
      <c r="L303" s="61" t="str">
        <f aca="false">IF(LEN(A303&amp;"")=0,"",J303-I303)</f>
        <v/>
      </c>
      <c r="M303" s="1" t="n">
        <f aca="false">IF(LEN(A303&amp;"")=0,0,IF(COUNTIFS(Base!$A$7:$A$1006,A303)&gt;1,1,0))</f>
        <v>0</v>
      </c>
      <c r="N303" s="1" t="n">
        <f aca="false">IF(LEN(A303&amp;"")=0,0,IF(ABS(L303)&gt;0.005,1,0))</f>
        <v>0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customFormat="false" ht="23" hidden="false" customHeight="true" outlineLevel="0" collapsed="false">
      <c r="A304" s="1" t="str">
        <f aca="false">IF(LEN(Base!A304&amp;"")=0,"",Base!A304)</f>
        <v/>
      </c>
      <c r="B304" s="60" t="str">
        <f aca="false">IF(LEN(A304&amp;"")=0,"",Base!D304)</f>
        <v/>
      </c>
      <c r="C304" s="1" t="str">
        <f aca="false">IF(LEN(A304&amp;"")=0,"",Base!C304)</f>
        <v/>
      </c>
      <c r="D304" s="1" t="str">
        <f aca="false">IF(LEN(A304&amp;"")=0,"",Base!G304)</f>
        <v/>
      </c>
      <c r="E304" s="1" t="str">
        <f aca="false">IF(LEN(A304&amp;"")=0,"",Base!E304)</f>
        <v/>
      </c>
      <c r="F304" s="61" t="str">
        <f aca="false">IF(LEN(A304&amp;"")=0,"",IF(Base!I304="-",0,Base!I304))</f>
        <v/>
      </c>
      <c r="G304" s="61" t="str">
        <f aca="false">IF(LEN(A304&amp;"")=0,"",SUM(Base!F304,F304,Base!K304))</f>
        <v/>
      </c>
      <c r="H304" s="61" t="str">
        <f aca="false">IF(LEN(A304&amp;"")=0,"",Base!L304)</f>
        <v/>
      </c>
      <c r="I304" s="61" t="str">
        <f aca="false">IF(LEN(A304&amp;"")=0,"",G304-H304)</f>
        <v/>
      </c>
      <c r="J304" s="61" t="str">
        <f aca="false">IF(LEN(A304&amp;"")=0,"",Base!M304)</f>
        <v/>
      </c>
      <c r="K304" s="1" t="n">
        <f aca="false">IF(OR(LEN(A304&amp;"")=0,$P$3=0),0,IF(AND(B304&gt;=Painel!$B$8,B304&lt;=Painel!$G$8,OR(Painel!$L$8="Todos",C304=Painel!$L$8),OR(Painel!$Q$8="Todos",D304=Painel!$Q$8),OR(Painel!$V$8="Todas",E304=Painel!$V$8)),1,0))</f>
        <v>0</v>
      </c>
      <c r="L304" s="61" t="str">
        <f aca="false">IF(LEN(A304&amp;"")=0,"",J304-I304)</f>
        <v/>
      </c>
      <c r="M304" s="1" t="n">
        <f aca="false">IF(LEN(A304&amp;"")=0,0,IF(COUNTIFS(Base!$A$7:$A$1006,A304)&gt;1,1,0))</f>
        <v>0</v>
      </c>
      <c r="N304" s="1" t="n">
        <f aca="false">IF(LEN(A304&amp;"")=0,0,IF(ABS(L304)&gt;0.005,1,0))</f>
        <v>0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customFormat="false" ht="23" hidden="false" customHeight="true" outlineLevel="0" collapsed="false">
      <c r="A305" s="1" t="str">
        <f aca="false">IF(LEN(Base!A305&amp;"")=0,"",Base!A305)</f>
        <v/>
      </c>
      <c r="B305" s="60" t="str">
        <f aca="false">IF(LEN(A305&amp;"")=0,"",Base!D305)</f>
        <v/>
      </c>
      <c r="C305" s="1" t="str">
        <f aca="false">IF(LEN(A305&amp;"")=0,"",Base!C305)</f>
        <v/>
      </c>
      <c r="D305" s="1" t="str">
        <f aca="false">IF(LEN(A305&amp;"")=0,"",Base!G305)</f>
        <v/>
      </c>
      <c r="E305" s="1" t="str">
        <f aca="false">IF(LEN(A305&amp;"")=0,"",Base!E305)</f>
        <v/>
      </c>
      <c r="F305" s="61" t="str">
        <f aca="false">IF(LEN(A305&amp;"")=0,"",IF(Base!I305="-",0,Base!I305))</f>
        <v/>
      </c>
      <c r="G305" s="61" t="str">
        <f aca="false">IF(LEN(A305&amp;"")=0,"",SUM(Base!F305,F305,Base!K305))</f>
        <v/>
      </c>
      <c r="H305" s="61" t="str">
        <f aca="false">IF(LEN(A305&amp;"")=0,"",Base!L305)</f>
        <v/>
      </c>
      <c r="I305" s="61" t="str">
        <f aca="false">IF(LEN(A305&amp;"")=0,"",G305-H305)</f>
        <v/>
      </c>
      <c r="J305" s="61" t="str">
        <f aca="false">IF(LEN(A305&amp;"")=0,"",Base!M305)</f>
        <v/>
      </c>
      <c r="K305" s="1" t="n">
        <f aca="false">IF(OR(LEN(A305&amp;"")=0,$P$3=0),0,IF(AND(B305&gt;=Painel!$B$8,B305&lt;=Painel!$G$8,OR(Painel!$L$8="Todos",C305=Painel!$L$8),OR(Painel!$Q$8="Todos",D305=Painel!$Q$8),OR(Painel!$V$8="Todas",E305=Painel!$V$8)),1,0))</f>
        <v>0</v>
      </c>
      <c r="L305" s="61" t="str">
        <f aca="false">IF(LEN(A305&amp;"")=0,"",J305-I305)</f>
        <v/>
      </c>
      <c r="M305" s="1" t="n">
        <f aca="false">IF(LEN(A305&amp;"")=0,0,IF(COUNTIFS(Base!$A$7:$A$1006,A305)&gt;1,1,0))</f>
        <v>0</v>
      </c>
      <c r="N305" s="1" t="n">
        <f aca="false">IF(LEN(A305&amp;"")=0,0,IF(ABS(L305)&gt;0.005,1,0))</f>
        <v>0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customFormat="false" ht="23" hidden="false" customHeight="true" outlineLevel="0" collapsed="false">
      <c r="A306" s="1" t="str">
        <f aca="false">IF(LEN(Base!A306&amp;"")=0,"",Base!A306)</f>
        <v/>
      </c>
      <c r="B306" s="60" t="str">
        <f aca="false">IF(LEN(A306&amp;"")=0,"",Base!D306)</f>
        <v/>
      </c>
      <c r="C306" s="1" t="str">
        <f aca="false">IF(LEN(A306&amp;"")=0,"",Base!C306)</f>
        <v/>
      </c>
      <c r="D306" s="1" t="str">
        <f aca="false">IF(LEN(A306&amp;"")=0,"",Base!G306)</f>
        <v/>
      </c>
      <c r="E306" s="1" t="str">
        <f aca="false">IF(LEN(A306&amp;"")=0,"",Base!E306)</f>
        <v/>
      </c>
      <c r="F306" s="61" t="str">
        <f aca="false">IF(LEN(A306&amp;"")=0,"",IF(Base!I306="-",0,Base!I306))</f>
        <v/>
      </c>
      <c r="G306" s="61" t="str">
        <f aca="false">IF(LEN(A306&amp;"")=0,"",SUM(Base!F306,F306,Base!K306))</f>
        <v/>
      </c>
      <c r="H306" s="61" t="str">
        <f aca="false">IF(LEN(A306&amp;"")=0,"",Base!L306)</f>
        <v/>
      </c>
      <c r="I306" s="61" t="str">
        <f aca="false">IF(LEN(A306&amp;"")=0,"",G306-H306)</f>
        <v/>
      </c>
      <c r="J306" s="61" t="str">
        <f aca="false">IF(LEN(A306&amp;"")=0,"",Base!M306)</f>
        <v/>
      </c>
      <c r="K306" s="1" t="n">
        <f aca="false">IF(OR(LEN(A306&amp;"")=0,$P$3=0),0,IF(AND(B306&gt;=Painel!$B$8,B306&lt;=Painel!$G$8,OR(Painel!$L$8="Todos",C306=Painel!$L$8),OR(Painel!$Q$8="Todos",D306=Painel!$Q$8),OR(Painel!$V$8="Todas",E306=Painel!$V$8)),1,0))</f>
        <v>0</v>
      </c>
      <c r="L306" s="61" t="str">
        <f aca="false">IF(LEN(A306&amp;"")=0,"",J306-I306)</f>
        <v/>
      </c>
      <c r="M306" s="1" t="n">
        <f aca="false">IF(LEN(A306&amp;"")=0,0,IF(COUNTIFS(Base!$A$7:$A$1006,A306)&gt;1,1,0))</f>
        <v>0</v>
      </c>
      <c r="N306" s="1" t="n">
        <f aca="false">IF(LEN(A306&amp;"")=0,0,IF(ABS(L306)&gt;0.005,1,0))</f>
        <v>0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customFormat="false" ht="23" hidden="false" customHeight="true" outlineLevel="0" collapsed="false">
      <c r="A307" s="1" t="str">
        <f aca="false">IF(LEN(Base!A307&amp;"")=0,"",Base!A307)</f>
        <v/>
      </c>
      <c r="B307" s="60" t="str">
        <f aca="false">IF(LEN(A307&amp;"")=0,"",Base!D307)</f>
        <v/>
      </c>
      <c r="C307" s="1" t="str">
        <f aca="false">IF(LEN(A307&amp;"")=0,"",Base!C307)</f>
        <v/>
      </c>
      <c r="D307" s="1" t="str">
        <f aca="false">IF(LEN(A307&amp;"")=0,"",Base!G307)</f>
        <v/>
      </c>
      <c r="E307" s="1" t="str">
        <f aca="false">IF(LEN(A307&amp;"")=0,"",Base!E307)</f>
        <v/>
      </c>
      <c r="F307" s="61" t="str">
        <f aca="false">IF(LEN(A307&amp;"")=0,"",IF(Base!I307="-",0,Base!I307))</f>
        <v/>
      </c>
      <c r="G307" s="61" t="str">
        <f aca="false">IF(LEN(A307&amp;"")=0,"",SUM(Base!F307,F307,Base!K307))</f>
        <v/>
      </c>
      <c r="H307" s="61" t="str">
        <f aca="false">IF(LEN(A307&amp;"")=0,"",Base!L307)</f>
        <v/>
      </c>
      <c r="I307" s="61" t="str">
        <f aca="false">IF(LEN(A307&amp;"")=0,"",G307-H307)</f>
        <v/>
      </c>
      <c r="J307" s="61" t="str">
        <f aca="false">IF(LEN(A307&amp;"")=0,"",Base!M307)</f>
        <v/>
      </c>
      <c r="K307" s="1" t="n">
        <f aca="false">IF(OR(LEN(A307&amp;"")=0,$P$3=0),0,IF(AND(B307&gt;=Painel!$B$8,B307&lt;=Painel!$G$8,OR(Painel!$L$8="Todos",C307=Painel!$L$8),OR(Painel!$Q$8="Todos",D307=Painel!$Q$8),OR(Painel!$V$8="Todas",E307=Painel!$V$8)),1,0))</f>
        <v>0</v>
      </c>
      <c r="L307" s="61" t="str">
        <f aca="false">IF(LEN(A307&amp;"")=0,"",J307-I307)</f>
        <v/>
      </c>
      <c r="M307" s="1" t="n">
        <f aca="false">IF(LEN(A307&amp;"")=0,0,IF(COUNTIFS(Base!$A$7:$A$1006,A307)&gt;1,1,0))</f>
        <v>0</v>
      </c>
      <c r="N307" s="1" t="n">
        <f aca="false">IF(LEN(A307&amp;"")=0,0,IF(ABS(L307)&gt;0.005,1,0))</f>
        <v>0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customFormat="false" ht="23" hidden="false" customHeight="true" outlineLevel="0" collapsed="false">
      <c r="A308" s="1" t="str">
        <f aca="false">IF(LEN(Base!A308&amp;"")=0,"",Base!A308)</f>
        <v/>
      </c>
      <c r="B308" s="60" t="str">
        <f aca="false">IF(LEN(A308&amp;"")=0,"",Base!D308)</f>
        <v/>
      </c>
      <c r="C308" s="1" t="str">
        <f aca="false">IF(LEN(A308&amp;"")=0,"",Base!C308)</f>
        <v/>
      </c>
      <c r="D308" s="1" t="str">
        <f aca="false">IF(LEN(A308&amp;"")=0,"",Base!G308)</f>
        <v/>
      </c>
      <c r="E308" s="1" t="str">
        <f aca="false">IF(LEN(A308&amp;"")=0,"",Base!E308)</f>
        <v/>
      </c>
      <c r="F308" s="61" t="str">
        <f aca="false">IF(LEN(A308&amp;"")=0,"",IF(Base!I308="-",0,Base!I308))</f>
        <v/>
      </c>
      <c r="G308" s="61" t="str">
        <f aca="false">IF(LEN(A308&amp;"")=0,"",SUM(Base!F308,F308,Base!K308))</f>
        <v/>
      </c>
      <c r="H308" s="61" t="str">
        <f aca="false">IF(LEN(A308&amp;"")=0,"",Base!L308)</f>
        <v/>
      </c>
      <c r="I308" s="61" t="str">
        <f aca="false">IF(LEN(A308&amp;"")=0,"",G308-H308)</f>
        <v/>
      </c>
      <c r="J308" s="61" t="str">
        <f aca="false">IF(LEN(A308&amp;"")=0,"",Base!M308)</f>
        <v/>
      </c>
      <c r="K308" s="1" t="n">
        <f aca="false">IF(OR(LEN(A308&amp;"")=0,$P$3=0),0,IF(AND(B308&gt;=Painel!$B$8,B308&lt;=Painel!$G$8,OR(Painel!$L$8="Todos",C308=Painel!$L$8),OR(Painel!$Q$8="Todos",D308=Painel!$Q$8),OR(Painel!$V$8="Todas",E308=Painel!$V$8)),1,0))</f>
        <v>0</v>
      </c>
      <c r="L308" s="61" t="str">
        <f aca="false">IF(LEN(A308&amp;"")=0,"",J308-I308)</f>
        <v/>
      </c>
      <c r="M308" s="1" t="n">
        <f aca="false">IF(LEN(A308&amp;"")=0,0,IF(COUNTIFS(Base!$A$7:$A$1006,A308)&gt;1,1,0))</f>
        <v>0</v>
      </c>
      <c r="N308" s="1" t="n">
        <f aca="false">IF(LEN(A308&amp;"")=0,0,IF(ABS(L308)&gt;0.005,1,0))</f>
        <v>0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customFormat="false" ht="23" hidden="false" customHeight="true" outlineLevel="0" collapsed="false">
      <c r="A309" s="1" t="str">
        <f aca="false">IF(LEN(Base!A309&amp;"")=0,"",Base!A309)</f>
        <v/>
      </c>
      <c r="B309" s="60" t="str">
        <f aca="false">IF(LEN(A309&amp;"")=0,"",Base!D309)</f>
        <v/>
      </c>
      <c r="C309" s="1" t="str">
        <f aca="false">IF(LEN(A309&amp;"")=0,"",Base!C309)</f>
        <v/>
      </c>
      <c r="D309" s="1" t="str">
        <f aca="false">IF(LEN(A309&amp;"")=0,"",Base!G309)</f>
        <v/>
      </c>
      <c r="E309" s="1" t="str">
        <f aca="false">IF(LEN(A309&amp;"")=0,"",Base!E309)</f>
        <v/>
      </c>
      <c r="F309" s="61" t="str">
        <f aca="false">IF(LEN(A309&amp;"")=0,"",IF(Base!I309="-",0,Base!I309))</f>
        <v/>
      </c>
      <c r="G309" s="61" t="str">
        <f aca="false">IF(LEN(A309&amp;"")=0,"",SUM(Base!F309,F309,Base!K309))</f>
        <v/>
      </c>
      <c r="H309" s="61" t="str">
        <f aca="false">IF(LEN(A309&amp;"")=0,"",Base!L309)</f>
        <v/>
      </c>
      <c r="I309" s="61" t="str">
        <f aca="false">IF(LEN(A309&amp;"")=0,"",G309-H309)</f>
        <v/>
      </c>
      <c r="J309" s="61" t="str">
        <f aca="false">IF(LEN(A309&amp;"")=0,"",Base!M309)</f>
        <v/>
      </c>
      <c r="K309" s="1" t="n">
        <f aca="false">IF(OR(LEN(A309&amp;"")=0,$P$3=0),0,IF(AND(B309&gt;=Painel!$B$8,B309&lt;=Painel!$G$8,OR(Painel!$L$8="Todos",C309=Painel!$L$8),OR(Painel!$Q$8="Todos",D309=Painel!$Q$8),OR(Painel!$V$8="Todas",E309=Painel!$V$8)),1,0))</f>
        <v>0</v>
      </c>
      <c r="L309" s="61" t="str">
        <f aca="false">IF(LEN(A309&amp;"")=0,"",J309-I309)</f>
        <v/>
      </c>
      <c r="M309" s="1" t="n">
        <f aca="false">IF(LEN(A309&amp;"")=0,0,IF(COUNTIFS(Base!$A$7:$A$1006,A309)&gt;1,1,0))</f>
        <v>0</v>
      </c>
      <c r="N309" s="1" t="n">
        <f aca="false">IF(LEN(A309&amp;"")=0,0,IF(ABS(L309)&gt;0.005,1,0))</f>
        <v>0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customFormat="false" ht="23" hidden="false" customHeight="true" outlineLevel="0" collapsed="false">
      <c r="A310" s="1" t="str">
        <f aca="false">IF(LEN(Base!A310&amp;"")=0,"",Base!A310)</f>
        <v/>
      </c>
      <c r="B310" s="60" t="str">
        <f aca="false">IF(LEN(A310&amp;"")=0,"",Base!D310)</f>
        <v/>
      </c>
      <c r="C310" s="1" t="str">
        <f aca="false">IF(LEN(A310&amp;"")=0,"",Base!C310)</f>
        <v/>
      </c>
      <c r="D310" s="1" t="str">
        <f aca="false">IF(LEN(A310&amp;"")=0,"",Base!G310)</f>
        <v/>
      </c>
      <c r="E310" s="1" t="str">
        <f aca="false">IF(LEN(A310&amp;"")=0,"",Base!E310)</f>
        <v/>
      </c>
      <c r="F310" s="61" t="str">
        <f aca="false">IF(LEN(A310&amp;"")=0,"",IF(Base!I310="-",0,Base!I310))</f>
        <v/>
      </c>
      <c r="G310" s="61" t="str">
        <f aca="false">IF(LEN(A310&amp;"")=0,"",SUM(Base!F310,F310,Base!K310))</f>
        <v/>
      </c>
      <c r="H310" s="61" t="str">
        <f aca="false">IF(LEN(A310&amp;"")=0,"",Base!L310)</f>
        <v/>
      </c>
      <c r="I310" s="61" t="str">
        <f aca="false">IF(LEN(A310&amp;"")=0,"",G310-H310)</f>
        <v/>
      </c>
      <c r="J310" s="61" t="str">
        <f aca="false">IF(LEN(A310&amp;"")=0,"",Base!M310)</f>
        <v/>
      </c>
      <c r="K310" s="1" t="n">
        <f aca="false">IF(OR(LEN(A310&amp;"")=0,$P$3=0),0,IF(AND(B310&gt;=Painel!$B$8,B310&lt;=Painel!$G$8,OR(Painel!$L$8="Todos",C310=Painel!$L$8),OR(Painel!$Q$8="Todos",D310=Painel!$Q$8),OR(Painel!$V$8="Todas",E310=Painel!$V$8)),1,0))</f>
        <v>0</v>
      </c>
      <c r="L310" s="61" t="str">
        <f aca="false">IF(LEN(A310&amp;"")=0,"",J310-I310)</f>
        <v/>
      </c>
      <c r="M310" s="1" t="n">
        <f aca="false">IF(LEN(A310&amp;"")=0,0,IF(COUNTIFS(Base!$A$7:$A$1006,A310)&gt;1,1,0))</f>
        <v>0</v>
      </c>
      <c r="N310" s="1" t="n">
        <f aca="false">IF(LEN(A310&amp;"")=0,0,IF(ABS(L310)&gt;0.005,1,0))</f>
        <v>0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customFormat="false" ht="23" hidden="false" customHeight="true" outlineLevel="0" collapsed="false">
      <c r="A311" s="1" t="str">
        <f aca="false">IF(LEN(Base!A311&amp;"")=0,"",Base!A311)</f>
        <v/>
      </c>
      <c r="B311" s="60" t="str">
        <f aca="false">IF(LEN(A311&amp;"")=0,"",Base!D311)</f>
        <v/>
      </c>
      <c r="C311" s="1" t="str">
        <f aca="false">IF(LEN(A311&amp;"")=0,"",Base!C311)</f>
        <v/>
      </c>
      <c r="D311" s="1" t="str">
        <f aca="false">IF(LEN(A311&amp;"")=0,"",Base!G311)</f>
        <v/>
      </c>
      <c r="E311" s="1" t="str">
        <f aca="false">IF(LEN(A311&amp;"")=0,"",Base!E311)</f>
        <v/>
      </c>
      <c r="F311" s="61" t="str">
        <f aca="false">IF(LEN(A311&amp;"")=0,"",IF(Base!I311="-",0,Base!I311))</f>
        <v/>
      </c>
      <c r="G311" s="61" t="str">
        <f aca="false">IF(LEN(A311&amp;"")=0,"",SUM(Base!F311,F311,Base!K311))</f>
        <v/>
      </c>
      <c r="H311" s="61" t="str">
        <f aca="false">IF(LEN(A311&amp;"")=0,"",Base!L311)</f>
        <v/>
      </c>
      <c r="I311" s="61" t="str">
        <f aca="false">IF(LEN(A311&amp;"")=0,"",G311-H311)</f>
        <v/>
      </c>
      <c r="J311" s="61" t="str">
        <f aca="false">IF(LEN(A311&amp;"")=0,"",Base!M311)</f>
        <v/>
      </c>
      <c r="K311" s="1" t="n">
        <f aca="false">IF(OR(LEN(A311&amp;"")=0,$P$3=0),0,IF(AND(B311&gt;=Painel!$B$8,B311&lt;=Painel!$G$8,OR(Painel!$L$8="Todos",C311=Painel!$L$8),OR(Painel!$Q$8="Todos",D311=Painel!$Q$8),OR(Painel!$V$8="Todas",E311=Painel!$V$8)),1,0))</f>
        <v>0</v>
      </c>
      <c r="L311" s="61" t="str">
        <f aca="false">IF(LEN(A311&amp;"")=0,"",J311-I311)</f>
        <v/>
      </c>
      <c r="M311" s="1" t="n">
        <f aca="false">IF(LEN(A311&amp;"")=0,0,IF(COUNTIFS(Base!$A$7:$A$1006,A311)&gt;1,1,0))</f>
        <v>0</v>
      </c>
      <c r="N311" s="1" t="n">
        <f aca="false">IF(LEN(A311&amp;"")=0,0,IF(ABS(L311)&gt;0.005,1,0))</f>
        <v>0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customFormat="false" ht="23" hidden="false" customHeight="true" outlineLevel="0" collapsed="false">
      <c r="A312" s="1" t="str">
        <f aca="false">IF(LEN(Base!A312&amp;"")=0,"",Base!A312)</f>
        <v/>
      </c>
      <c r="B312" s="60" t="str">
        <f aca="false">IF(LEN(A312&amp;"")=0,"",Base!D312)</f>
        <v/>
      </c>
      <c r="C312" s="1" t="str">
        <f aca="false">IF(LEN(A312&amp;"")=0,"",Base!C312)</f>
        <v/>
      </c>
      <c r="D312" s="1" t="str">
        <f aca="false">IF(LEN(A312&amp;"")=0,"",Base!G312)</f>
        <v/>
      </c>
      <c r="E312" s="1" t="str">
        <f aca="false">IF(LEN(A312&amp;"")=0,"",Base!E312)</f>
        <v/>
      </c>
      <c r="F312" s="61" t="str">
        <f aca="false">IF(LEN(A312&amp;"")=0,"",IF(Base!I312="-",0,Base!I312))</f>
        <v/>
      </c>
      <c r="G312" s="61" t="str">
        <f aca="false">IF(LEN(A312&amp;"")=0,"",SUM(Base!F312,F312,Base!K312))</f>
        <v/>
      </c>
      <c r="H312" s="61" t="str">
        <f aca="false">IF(LEN(A312&amp;"")=0,"",Base!L312)</f>
        <v/>
      </c>
      <c r="I312" s="61" t="str">
        <f aca="false">IF(LEN(A312&amp;"")=0,"",G312-H312)</f>
        <v/>
      </c>
      <c r="J312" s="61" t="str">
        <f aca="false">IF(LEN(A312&amp;"")=0,"",Base!M312)</f>
        <v/>
      </c>
      <c r="K312" s="1" t="n">
        <f aca="false">IF(OR(LEN(A312&amp;"")=0,$P$3=0),0,IF(AND(B312&gt;=Painel!$B$8,B312&lt;=Painel!$G$8,OR(Painel!$L$8="Todos",C312=Painel!$L$8),OR(Painel!$Q$8="Todos",D312=Painel!$Q$8),OR(Painel!$V$8="Todas",E312=Painel!$V$8)),1,0))</f>
        <v>0</v>
      </c>
      <c r="L312" s="61" t="str">
        <f aca="false">IF(LEN(A312&amp;"")=0,"",J312-I312)</f>
        <v/>
      </c>
      <c r="M312" s="1" t="n">
        <f aca="false">IF(LEN(A312&amp;"")=0,0,IF(COUNTIFS(Base!$A$7:$A$1006,A312)&gt;1,1,0))</f>
        <v>0</v>
      </c>
      <c r="N312" s="1" t="n">
        <f aca="false">IF(LEN(A312&amp;"")=0,0,IF(ABS(L312)&gt;0.005,1,0))</f>
        <v>0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customFormat="false" ht="23" hidden="false" customHeight="true" outlineLevel="0" collapsed="false">
      <c r="A313" s="1" t="str">
        <f aca="false">IF(LEN(Base!A313&amp;"")=0,"",Base!A313)</f>
        <v/>
      </c>
      <c r="B313" s="60" t="str">
        <f aca="false">IF(LEN(A313&amp;"")=0,"",Base!D313)</f>
        <v/>
      </c>
      <c r="C313" s="1" t="str">
        <f aca="false">IF(LEN(A313&amp;"")=0,"",Base!C313)</f>
        <v/>
      </c>
      <c r="D313" s="1" t="str">
        <f aca="false">IF(LEN(A313&amp;"")=0,"",Base!G313)</f>
        <v/>
      </c>
      <c r="E313" s="1" t="str">
        <f aca="false">IF(LEN(A313&amp;"")=0,"",Base!E313)</f>
        <v/>
      </c>
      <c r="F313" s="61" t="str">
        <f aca="false">IF(LEN(A313&amp;"")=0,"",IF(Base!I313="-",0,Base!I313))</f>
        <v/>
      </c>
      <c r="G313" s="61" t="str">
        <f aca="false">IF(LEN(A313&amp;"")=0,"",SUM(Base!F313,F313,Base!K313))</f>
        <v/>
      </c>
      <c r="H313" s="61" t="str">
        <f aca="false">IF(LEN(A313&amp;"")=0,"",Base!L313)</f>
        <v/>
      </c>
      <c r="I313" s="61" t="str">
        <f aca="false">IF(LEN(A313&amp;"")=0,"",G313-H313)</f>
        <v/>
      </c>
      <c r="J313" s="61" t="str">
        <f aca="false">IF(LEN(A313&amp;"")=0,"",Base!M313)</f>
        <v/>
      </c>
      <c r="K313" s="1" t="n">
        <f aca="false">IF(OR(LEN(A313&amp;"")=0,$P$3=0),0,IF(AND(B313&gt;=Painel!$B$8,B313&lt;=Painel!$G$8,OR(Painel!$L$8="Todos",C313=Painel!$L$8),OR(Painel!$Q$8="Todos",D313=Painel!$Q$8),OR(Painel!$V$8="Todas",E313=Painel!$V$8)),1,0))</f>
        <v>0</v>
      </c>
      <c r="L313" s="61" t="str">
        <f aca="false">IF(LEN(A313&amp;"")=0,"",J313-I313)</f>
        <v/>
      </c>
      <c r="M313" s="1" t="n">
        <f aca="false">IF(LEN(A313&amp;"")=0,0,IF(COUNTIFS(Base!$A$7:$A$1006,A313)&gt;1,1,0))</f>
        <v>0</v>
      </c>
      <c r="N313" s="1" t="n">
        <f aca="false">IF(LEN(A313&amp;"")=0,0,IF(ABS(L313)&gt;0.005,1,0))</f>
        <v>0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customFormat="false" ht="23" hidden="false" customHeight="true" outlineLevel="0" collapsed="false">
      <c r="A314" s="1" t="str">
        <f aca="false">IF(LEN(Base!A314&amp;"")=0,"",Base!A314)</f>
        <v/>
      </c>
      <c r="B314" s="60" t="str">
        <f aca="false">IF(LEN(A314&amp;"")=0,"",Base!D314)</f>
        <v/>
      </c>
      <c r="C314" s="1" t="str">
        <f aca="false">IF(LEN(A314&amp;"")=0,"",Base!C314)</f>
        <v/>
      </c>
      <c r="D314" s="1" t="str">
        <f aca="false">IF(LEN(A314&amp;"")=0,"",Base!G314)</f>
        <v/>
      </c>
      <c r="E314" s="1" t="str">
        <f aca="false">IF(LEN(A314&amp;"")=0,"",Base!E314)</f>
        <v/>
      </c>
      <c r="F314" s="61" t="str">
        <f aca="false">IF(LEN(A314&amp;"")=0,"",IF(Base!I314="-",0,Base!I314))</f>
        <v/>
      </c>
      <c r="G314" s="61" t="str">
        <f aca="false">IF(LEN(A314&amp;"")=0,"",SUM(Base!F314,F314,Base!K314))</f>
        <v/>
      </c>
      <c r="H314" s="61" t="str">
        <f aca="false">IF(LEN(A314&amp;"")=0,"",Base!L314)</f>
        <v/>
      </c>
      <c r="I314" s="61" t="str">
        <f aca="false">IF(LEN(A314&amp;"")=0,"",G314-H314)</f>
        <v/>
      </c>
      <c r="J314" s="61" t="str">
        <f aca="false">IF(LEN(A314&amp;"")=0,"",Base!M314)</f>
        <v/>
      </c>
      <c r="K314" s="1" t="n">
        <f aca="false">IF(OR(LEN(A314&amp;"")=0,$P$3=0),0,IF(AND(B314&gt;=Painel!$B$8,B314&lt;=Painel!$G$8,OR(Painel!$L$8="Todos",C314=Painel!$L$8),OR(Painel!$Q$8="Todos",D314=Painel!$Q$8),OR(Painel!$V$8="Todas",E314=Painel!$V$8)),1,0))</f>
        <v>0</v>
      </c>
      <c r="L314" s="61" t="str">
        <f aca="false">IF(LEN(A314&amp;"")=0,"",J314-I314)</f>
        <v/>
      </c>
      <c r="M314" s="1" t="n">
        <f aca="false">IF(LEN(A314&amp;"")=0,0,IF(COUNTIFS(Base!$A$7:$A$1006,A314)&gt;1,1,0))</f>
        <v>0</v>
      </c>
      <c r="N314" s="1" t="n">
        <f aca="false">IF(LEN(A314&amp;"")=0,0,IF(ABS(L314)&gt;0.005,1,0))</f>
        <v>0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customFormat="false" ht="23" hidden="false" customHeight="true" outlineLevel="0" collapsed="false">
      <c r="A315" s="1" t="str">
        <f aca="false">IF(LEN(Base!A315&amp;"")=0,"",Base!A315)</f>
        <v/>
      </c>
      <c r="B315" s="60" t="str">
        <f aca="false">IF(LEN(A315&amp;"")=0,"",Base!D315)</f>
        <v/>
      </c>
      <c r="C315" s="1" t="str">
        <f aca="false">IF(LEN(A315&amp;"")=0,"",Base!C315)</f>
        <v/>
      </c>
      <c r="D315" s="1" t="str">
        <f aca="false">IF(LEN(A315&amp;"")=0,"",Base!G315)</f>
        <v/>
      </c>
      <c r="E315" s="1" t="str">
        <f aca="false">IF(LEN(A315&amp;"")=0,"",Base!E315)</f>
        <v/>
      </c>
      <c r="F315" s="61" t="str">
        <f aca="false">IF(LEN(A315&amp;"")=0,"",IF(Base!I315="-",0,Base!I315))</f>
        <v/>
      </c>
      <c r="G315" s="61" t="str">
        <f aca="false">IF(LEN(A315&amp;"")=0,"",SUM(Base!F315,F315,Base!K315))</f>
        <v/>
      </c>
      <c r="H315" s="61" t="str">
        <f aca="false">IF(LEN(A315&amp;"")=0,"",Base!L315)</f>
        <v/>
      </c>
      <c r="I315" s="61" t="str">
        <f aca="false">IF(LEN(A315&amp;"")=0,"",G315-H315)</f>
        <v/>
      </c>
      <c r="J315" s="61" t="str">
        <f aca="false">IF(LEN(A315&amp;"")=0,"",Base!M315)</f>
        <v/>
      </c>
      <c r="K315" s="1" t="n">
        <f aca="false">IF(OR(LEN(A315&amp;"")=0,$P$3=0),0,IF(AND(B315&gt;=Painel!$B$8,B315&lt;=Painel!$G$8,OR(Painel!$L$8="Todos",C315=Painel!$L$8),OR(Painel!$Q$8="Todos",D315=Painel!$Q$8),OR(Painel!$V$8="Todas",E315=Painel!$V$8)),1,0))</f>
        <v>0</v>
      </c>
      <c r="L315" s="61" t="str">
        <f aca="false">IF(LEN(A315&amp;"")=0,"",J315-I315)</f>
        <v/>
      </c>
      <c r="M315" s="1" t="n">
        <f aca="false">IF(LEN(A315&amp;"")=0,0,IF(COUNTIFS(Base!$A$7:$A$1006,A315)&gt;1,1,0))</f>
        <v>0</v>
      </c>
      <c r="N315" s="1" t="n">
        <f aca="false">IF(LEN(A315&amp;"")=0,0,IF(ABS(L315)&gt;0.005,1,0))</f>
        <v>0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customFormat="false" ht="23" hidden="false" customHeight="true" outlineLevel="0" collapsed="false">
      <c r="A316" s="1" t="str">
        <f aca="false">IF(LEN(Base!A316&amp;"")=0,"",Base!A316)</f>
        <v/>
      </c>
      <c r="B316" s="60" t="str">
        <f aca="false">IF(LEN(A316&amp;"")=0,"",Base!D316)</f>
        <v/>
      </c>
      <c r="C316" s="1" t="str">
        <f aca="false">IF(LEN(A316&amp;"")=0,"",Base!C316)</f>
        <v/>
      </c>
      <c r="D316" s="1" t="str">
        <f aca="false">IF(LEN(A316&amp;"")=0,"",Base!G316)</f>
        <v/>
      </c>
      <c r="E316" s="1" t="str">
        <f aca="false">IF(LEN(A316&amp;"")=0,"",Base!E316)</f>
        <v/>
      </c>
      <c r="F316" s="61" t="str">
        <f aca="false">IF(LEN(A316&amp;"")=0,"",IF(Base!I316="-",0,Base!I316))</f>
        <v/>
      </c>
      <c r="G316" s="61" t="str">
        <f aca="false">IF(LEN(A316&amp;"")=0,"",SUM(Base!F316,F316,Base!K316))</f>
        <v/>
      </c>
      <c r="H316" s="61" t="str">
        <f aca="false">IF(LEN(A316&amp;"")=0,"",Base!L316)</f>
        <v/>
      </c>
      <c r="I316" s="61" t="str">
        <f aca="false">IF(LEN(A316&amp;"")=0,"",G316-H316)</f>
        <v/>
      </c>
      <c r="J316" s="61" t="str">
        <f aca="false">IF(LEN(A316&amp;"")=0,"",Base!M316)</f>
        <v/>
      </c>
      <c r="K316" s="1" t="n">
        <f aca="false">IF(OR(LEN(A316&amp;"")=0,$P$3=0),0,IF(AND(B316&gt;=Painel!$B$8,B316&lt;=Painel!$G$8,OR(Painel!$L$8="Todos",C316=Painel!$L$8),OR(Painel!$Q$8="Todos",D316=Painel!$Q$8),OR(Painel!$V$8="Todas",E316=Painel!$V$8)),1,0))</f>
        <v>0</v>
      </c>
      <c r="L316" s="61" t="str">
        <f aca="false">IF(LEN(A316&amp;"")=0,"",J316-I316)</f>
        <v/>
      </c>
      <c r="M316" s="1" t="n">
        <f aca="false">IF(LEN(A316&amp;"")=0,0,IF(COUNTIFS(Base!$A$7:$A$1006,A316)&gt;1,1,0))</f>
        <v>0</v>
      </c>
      <c r="N316" s="1" t="n">
        <f aca="false">IF(LEN(A316&amp;"")=0,0,IF(ABS(L316)&gt;0.005,1,0))</f>
        <v>0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customFormat="false" ht="23" hidden="false" customHeight="true" outlineLevel="0" collapsed="false">
      <c r="A317" s="1" t="str">
        <f aca="false">IF(LEN(Base!A317&amp;"")=0,"",Base!A317)</f>
        <v/>
      </c>
      <c r="B317" s="60" t="str">
        <f aca="false">IF(LEN(A317&amp;"")=0,"",Base!D317)</f>
        <v/>
      </c>
      <c r="C317" s="1" t="str">
        <f aca="false">IF(LEN(A317&amp;"")=0,"",Base!C317)</f>
        <v/>
      </c>
      <c r="D317" s="1" t="str">
        <f aca="false">IF(LEN(A317&amp;"")=0,"",Base!G317)</f>
        <v/>
      </c>
      <c r="E317" s="1" t="str">
        <f aca="false">IF(LEN(A317&amp;"")=0,"",Base!E317)</f>
        <v/>
      </c>
      <c r="F317" s="61" t="str">
        <f aca="false">IF(LEN(A317&amp;"")=0,"",IF(Base!I317="-",0,Base!I317))</f>
        <v/>
      </c>
      <c r="G317" s="61" t="str">
        <f aca="false">IF(LEN(A317&amp;"")=0,"",SUM(Base!F317,F317,Base!K317))</f>
        <v/>
      </c>
      <c r="H317" s="61" t="str">
        <f aca="false">IF(LEN(A317&amp;"")=0,"",Base!L317)</f>
        <v/>
      </c>
      <c r="I317" s="61" t="str">
        <f aca="false">IF(LEN(A317&amp;"")=0,"",G317-H317)</f>
        <v/>
      </c>
      <c r="J317" s="61" t="str">
        <f aca="false">IF(LEN(A317&amp;"")=0,"",Base!M317)</f>
        <v/>
      </c>
      <c r="K317" s="1" t="n">
        <f aca="false">IF(OR(LEN(A317&amp;"")=0,$P$3=0),0,IF(AND(B317&gt;=Painel!$B$8,B317&lt;=Painel!$G$8,OR(Painel!$L$8="Todos",C317=Painel!$L$8),OR(Painel!$Q$8="Todos",D317=Painel!$Q$8),OR(Painel!$V$8="Todas",E317=Painel!$V$8)),1,0))</f>
        <v>0</v>
      </c>
      <c r="L317" s="61" t="str">
        <f aca="false">IF(LEN(A317&amp;"")=0,"",J317-I317)</f>
        <v/>
      </c>
      <c r="M317" s="1" t="n">
        <f aca="false">IF(LEN(A317&amp;"")=0,0,IF(COUNTIFS(Base!$A$7:$A$1006,A317)&gt;1,1,0))</f>
        <v>0</v>
      </c>
      <c r="N317" s="1" t="n">
        <f aca="false">IF(LEN(A317&amp;"")=0,0,IF(ABS(L317)&gt;0.005,1,0))</f>
        <v>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customFormat="false" ht="23" hidden="false" customHeight="true" outlineLevel="0" collapsed="false">
      <c r="A318" s="1" t="str">
        <f aca="false">IF(LEN(Base!A318&amp;"")=0,"",Base!A318)</f>
        <v/>
      </c>
      <c r="B318" s="60" t="str">
        <f aca="false">IF(LEN(A318&amp;"")=0,"",Base!D318)</f>
        <v/>
      </c>
      <c r="C318" s="1" t="str">
        <f aca="false">IF(LEN(A318&amp;"")=0,"",Base!C318)</f>
        <v/>
      </c>
      <c r="D318" s="1" t="str">
        <f aca="false">IF(LEN(A318&amp;"")=0,"",Base!G318)</f>
        <v/>
      </c>
      <c r="E318" s="1" t="str">
        <f aca="false">IF(LEN(A318&amp;"")=0,"",Base!E318)</f>
        <v/>
      </c>
      <c r="F318" s="61" t="str">
        <f aca="false">IF(LEN(A318&amp;"")=0,"",IF(Base!I318="-",0,Base!I318))</f>
        <v/>
      </c>
      <c r="G318" s="61" t="str">
        <f aca="false">IF(LEN(A318&amp;"")=0,"",SUM(Base!F318,F318,Base!K318))</f>
        <v/>
      </c>
      <c r="H318" s="61" t="str">
        <f aca="false">IF(LEN(A318&amp;"")=0,"",Base!L318)</f>
        <v/>
      </c>
      <c r="I318" s="61" t="str">
        <f aca="false">IF(LEN(A318&amp;"")=0,"",G318-H318)</f>
        <v/>
      </c>
      <c r="J318" s="61" t="str">
        <f aca="false">IF(LEN(A318&amp;"")=0,"",Base!M318)</f>
        <v/>
      </c>
      <c r="K318" s="1" t="n">
        <f aca="false">IF(OR(LEN(A318&amp;"")=0,$P$3=0),0,IF(AND(B318&gt;=Painel!$B$8,B318&lt;=Painel!$G$8,OR(Painel!$L$8="Todos",C318=Painel!$L$8),OR(Painel!$Q$8="Todos",D318=Painel!$Q$8),OR(Painel!$V$8="Todas",E318=Painel!$V$8)),1,0))</f>
        <v>0</v>
      </c>
      <c r="L318" s="61" t="str">
        <f aca="false">IF(LEN(A318&amp;"")=0,"",J318-I318)</f>
        <v/>
      </c>
      <c r="M318" s="1" t="n">
        <f aca="false">IF(LEN(A318&amp;"")=0,0,IF(COUNTIFS(Base!$A$7:$A$1006,A318)&gt;1,1,0))</f>
        <v>0</v>
      </c>
      <c r="N318" s="1" t="n">
        <f aca="false">IF(LEN(A318&amp;"")=0,0,IF(ABS(L318)&gt;0.005,1,0))</f>
        <v>0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customFormat="false" ht="23" hidden="false" customHeight="true" outlineLevel="0" collapsed="false">
      <c r="A319" s="1" t="str">
        <f aca="false">IF(LEN(Base!A319&amp;"")=0,"",Base!A319)</f>
        <v/>
      </c>
      <c r="B319" s="60" t="str">
        <f aca="false">IF(LEN(A319&amp;"")=0,"",Base!D319)</f>
        <v/>
      </c>
      <c r="C319" s="1" t="str">
        <f aca="false">IF(LEN(A319&amp;"")=0,"",Base!C319)</f>
        <v/>
      </c>
      <c r="D319" s="1" t="str">
        <f aca="false">IF(LEN(A319&amp;"")=0,"",Base!G319)</f>
        <v/>
      </c>
      <c r="E319" s="1" t="str">
        <f aca="false">IF(LEN(A319&amp;"")=0,"",Base!E319)</f>
        <v/>
      </c>
      <c r="F319" s="61" t="str">
        <f aca="false">IF(LEN(A319&amp;"")=0,"",IF(Base!I319="-",0,Base!I319))</f>
        <v/>
      </c>
      <c r="G319" s="61" t="str">
        <f aca="false">IF(LEN(A319&amp;"")=0,"",SUM(Base!F319,F319,Base!K319))</f>
        <v/>
      </c>
      <c r="H319" s="61" t="str">
        <f aca="false">IF(LEN(A319&amp;"")=0,"",Base!L319)</f>
        <v/>
      </c>
      <c r="I319" s="61" t="str">
        <f aca="false">IF(LEN(A319&amp;"")=0,"",G319-H319)</f>
        <v/>
      </c>
      <c r="J319" s="61" t="str">
        <f aca="false">IF(LEN(A319&amp;"")=0,"",Base!M319)</f>
        <v/>
      </c>
      <c r="K319" s="1" t="n">
        <f aca="false">IF(OR(LEN(A319&amp;"")=0,$P$3=0),0,IF(AND(B319&gt;=Painel!$B$8,B319&lt;=Painel!$G$8,OR(Painel!$L$8="Todos",C319=Painel!$L$8),OR(Painel!$Q$8="Todos",D319=Painel!$Q$8),OR(Painel!$V$8="Todas",E319=Painel!$V$8)),1,0))</f>
        <v>0</v>
      </c>
      <c r="L319" s="61" t="str">
        <f aca="false">IF(LEN(A319&amp;"")=0,"",J319-I319)</f>
        <v/>
      </c>
      <c r="M319" s="1" t="n">
        <f aca="false">IF(LEN(A319&amp;"")=0,0,IF(COUNTIFS(Base!$A$7:$A$1006,A319)&gt;1,1,0))</f>
        <v>0</v>
      </c>
      <c r="N319" s="1" t="n">
        <f aca="false">IF(LEN(A319&amp;"")=0,0,IF(ABS(L319)&gt;0.005,1,0))</f>
        <v>0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customFormat="false" ht="23" hidden="false" customHeight="true" outlineLevel="0" collapsed="false">
      <c r="A320" s="1" t="str">
        <f aca="false">IF(LEN(Base!A320&amp;"")=0,"",Base!A320)</f>
        <v/>
      </c>
      <c r="B320" s="60" t="str">
        <f aca="false">IF(LEN(A320&amp;"")=0,"",Base!D320)</f>
        <v/>
      </c>
      <c r="C320" s="1" t="str">
        <f aca="false">IF(LEN(A320&amp;"")=0,"",Base!C320)</f>
        <v/>
      </c>
      <c r="D320" s="1" t="str">
        <f aca="false">IF(LEN(A320&amp;"")=0,"",Base!G320)</f>
        <v/>
      </c>
      <c r="E320" s="1" t="str">
        <f aca="false">IF(LEN(A320&amp;"")=0,"",Base!E320)</f>
        <v/>
      </c>
      <c r="F320" s="61" t="str">
        <f aca="false">IF(LEN(A320&amp;"")=0,"",IF(Base!I320="-",0,Base!I320))</f>
        <v/>
      </c>
      <c r="G320" s="61" t="str">
        <f aca="false">IF(LEN(A320&amp;"")=0,"",SUM(Base!F320,F320,Base!K320))</f>
        <v/>
      </c>
      <c r="H320" s="61" t="str">
        <f aca="false">IF(LEN(A320&amp;"")=0,"",Base!L320)</f>
        <v/>
      </c>
      <c r="I320" s="61" t="str">
        <f aca="false">IF(LEN(A320&amp;"")=0,"",G320-H320)</f>
        <v/>
      </c>
      <c r="J320" s="61" t="str">
        <f aca="false">IF(LEN(A320&amp;"")=0,"",Base!M320)</f>
        <v/>
      </c>
      <c r="K320" s="1" t="n">
        <f aca="false">IF(OR(LEN(A320&amp;"")=0,$P$3=0),0,IF(AND(B320&gt;=Painel!$B$8,B320&lt;=Painel!$G$8,OR(Painel!$L$8="Todos",C320=Painel!$L$8),OR(Painel!$Q$8="Todos",D320=Painel!$Q$8),OR(Painel!$V$8="Todas",E320=Painel!$V$8)),1,0))</f>
        <v>0</v>
      </c>
      <c r="L320" s="61" t="str">
        <f aca="false">IF(LEN(A320&amp;"")=0,"",J320-I320)</f>
        <v/>
      </c>
      <c r="M320" s="1" t="n">
        <f aca="false">IF(LEN(A320&amp;"")=0,0,IF(COUNTIFS(Base!$A$7:$A$1006,A320)&gt;1,1,0))</f>
        <v>0</v>
      </c>
      <c r="N320" s="1" t="n">
        <f aca="false">IF(LEN(A320&amp;"")=0,0,IF(ABS(L320)&gt;0.005,1,0))</f>
        <v>0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customFormat="false" ht="23" hidden="false" customHeight="true" outlineLevel="0" collapsed="false">
      <c r="A321" s="1" t="str">
        <f aca="false">IF(LEN(Base!A321&amp;"")=0,"",Base!A321)</f>
        <v/>
      </c>
      <c r="B321" s="60" t="str">
        <f aca="false">IF(LEN(A321&amp;"")=0,"",Base!D321)</f>
        <v/>
      </c>
      <c r="C321" s="1" t="str">
        <f aca="false">IF(LEN(A321&amp;"")=0,"",Base!C321)</f>
        <v/>
      </c>
      <c r="D321" s="1" t="str">
        <f aca="false">IF(LEN(A321&amp;"")=0,"",Base!G321)</f>
        <v/>
      </c>
      <c r="E321" s="1" t="str">
        <f aca="false">IF(LEN(A321&amp;"")=0,"",Base!E321)</f>
        <v/>
      </c>
      <c r="F321" s="61" t="str">
        <f aca="false">IF(LEN(A321&amp;"")=0,"",IF(Base!I321="-",0,Base!I321))</f>
        <v/>
      </c>
      <c r="G321" s="61" t="str">
        <f aca="false">IF(LEN(A321&amp;"")=0,"",SUM(Base!F321,F321,Base!K321))</f>
        <v/>
      </c>
      <c r="H321" s="61" t="str">
        <f aca="false">IF(LEN(A321&amp;"")=0,"",Base!L321)</f>
        <v/>
      </c>
      <c r="I321" s="61" t="str">
        <f aca="false">IF(LEN(A321&amp;"")=0,"",G321-H321)</f>
        <v/>
      </c>
      <c r="J321" s="61" t="str">
        <f aca="false">IF(LEN(A321&amp;"")=0,"",Base!M321)</f>
        <v/>
      </c>
      <c r="K321" s="1" t="n">
        <f aca="false">IF(OR(LEN(A321&amp;"")=0,$P$3=0),0,IF(AND(B321&gt;=Painel!$B$8,B321&lt;=Painel!$G$8,OR(Painel!$L$8="Todos",C321=Painel!$L$8),OR(Painel!$Q$8="Todos",D321=Painel!$Q$8),OR(Painel!$V$8="Todas",E321=Painel!$V$8)),1,0))</f>
        <v>0</v>
      </c>
      <c r="L321" s="61" t="str">
        <f aca="false">IF(LEN(A321&amp;"")=0,"",J321-I321)</f>
        <v/>
      </c>
      <c r="M321" s="1" t="n">
        <f aca="false">IF(LEN(A321&amp;"")=0,0,IF(COUNTIFS(Base!$A$7:$A$1006,A321)&gt;1,1,0))</f>
        <v>0</v>
      </c>
      <c r="N321" s="1" t="n">
        <f aca="false">IF(LEN(A321&amp;"")=0,0,IF(ABS(L321)&gt;0.005,1,0))</f>
        <v>0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customFormat="false" ht="23" hidden="false" customHeight="true" outlineLevel="0" collapsed="false">
      <c r="A322" s="1" t="str">
        <f aca="false">IF(LEN(Base!A322&amp;"")=0,"",Base!A322)</f>
        <v/>
      </c>
      <c r="B322" s="60" t="str">
        <f aca="false">IF(LEN(A322&amp;"")=0,"",Base!D322)</f>
        <v/>
      </c>
      <c r="C322" s="1" t="str">
        <f aca="false">IF(LEN(A322&amp;"")=0,"",Base!C322)</f>
        <v/>
      </c>
      <c r="D322" s="1" t="str">
        <f aca="false">IF(LEN(A322&amp;"")=0,"",Base!G322)</f>
        <v/>
      </c>
      <c r="E322" s="1" t="str">
        <f aca="false">IF(LEN(A322&amp;"")=0,"",Base!E322)</f>
        <v/>
      </c>
      <c r="F322" s="61" t="str">
        <f aca="false">IF(LEN(A322&amp;"")=0,"",IF(Base!I322="-",0,Base!I322))</f>
        <v/>
      </c>
      <c r="G322" s="61" t="str">
        <f aca="false">IF(LEN(A322&amp;"")=0,"",SUM(Base!F322,F322,Base!K322))</f>
        <v/>
      </c>
      <c r="H322" s="61" t="str">
        <f aca="false">IF(LEN(A322&amp;"")=0,"",Base!L322)</f>
        <v/>
      </c>
      <c r="I322" s="61" t="str">
        <f aca="false">IF(LEN(A322&amp;"")=0,"",G322-H322)</f>
        <v/>
      </c>
      <c r="J322" s="61" t="str">
        <f aca="false">IF(LEN(A322&amp;"")=0,"",Base!M322)</f>
        <v/>
      </c>
      <c r="K322" s="1" t="n">
        <f aca="false">IF(OR(LEN(A322&amp;"")=0,$P$3=0),0,IF(AND(B322&gt;=Painel!$B$8,B322&lt;=Painel!$G$8,OR(Painel!$L$8="Todos",C322=Painel!$L$8),OR(Painel!$Q$8="Todos",D322=Painel!$Q$8),OR(Painel!$V$8="Todas",E322=Painel!$V$8)),1,0))</f>
        <v>0</v>
      </c>
      <c r="L322" s="61" t="str">
        <f aca="false">IF(LEN(A322&amp;"")=0,"",J322-I322)</f>
        <v/>
      </c>
      <c r="M322" s="1" t="n">
        <f aca="false">IF(LEN(A322&amp;"")=0,0,IF(COUNTIFS(Base!$A$7:$A$1006,A322)&gt;1,1,0))</f>
        <v>0</v>
      </c>
      <c r="N322" s="1" t="n">
        <f aca="false">IF(LEN(A322&amp;"")=0,0,IF(ABS(L322)&gt;0.005,1,0))</f>
        <v>0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customFormat="false" ht="23" hidden="false" customHeight="true" outlineLevel="0" collapsed="false">
      <c r="A323" s="1" t="str">
        <f aca="false">IF(LEN(Base!A323&amp;"")=0,"",Base!A323)</f>
        <v/>
      </c>
      <c r="B323" s="60" t="str">
        <f aca="false">IF(LEN(A323&amp;"")=0,"",Base!D323)</f>
        <v/>
      </c>
      <c r="C323" s="1" t="str">
        <f aca="false">IF(LEN(A323&amp;"")=0,"",Base!C323)</f>
        <v/>
      </c>
      <c r="D323" s="1" t="str">
        <f aca="false">IF(LEN(A323&amp;"")=0,"",Base!G323)</f>
        <v/>
      </c>
      <c r="E323" s="1" t="str">
        <f aca="false">IF(LEN(A323&amp;"")=0,"",Base!E323)</f>
        <v/>
      </c>
      <c r="F323" s="61" t="str">
        <f aca="false">IF(LEN(A323&amp;"")=0,"",IF(Base!I323="-",0,Base!I323))</f>
        <v/>
      </c>
      <c r="G323" s="61" t="str">
        <f aca="false">IF(LEN(A323&amp;"")=0,"",SUM(Base!F323,F323,Base!K323))</f>
        <v/>
      </c>
      <c r="H323" s="61" t="str">
        <f aca="false">IF(LEN(A323&amp;"")=0,"",Base!L323)</f>
        <v/>
      </c>
      <c r="I323" s="61" t="str">
        <f aca="false">IF(LEN(A323&amp;"")=0,"",G323-H323)</f>
        <v/>
      </c>
      <c r="J323" s="61" t="str">
        <f aca="false">IF(LEN(A323&amp;"")=0,"",Base!M323)</f>
        <v/>
      </c>
      <c r="K323" s="1" t="n">
        <f aca="false">IF(OR(LEN(A323&amp;"")=0,$P$3=0),0,IF(AND(B323&gt;=Painel!$B$8,B323&lt;=Painel!$G$8,OR(Painel!$L$8="Todos",C323=Painel!$L$8),OR(Painel!$Q$8="Todos",D323=Painel!$Q$8),OR(Painel!$V$8="Todas",E323=Painel!$V$8)),1,0))</f>
        <v>0</v>
      </c>
      <c r="L323" s="61" t="str">
        <f aca="false">IF(LEN(A323&amp;"")=0,"",J323-I323)</f>
        <v/>
      </c>
      <c r="M323" s="1" t="n">
        <f aca="false">IF(LEN(A323&amp;"")=0,0,IF(COUNTIFS(Base!$A$7:$A$1006,A323)&gt;1,1,0))</f>
        <v>0</v>
      </c>
      <c r="N323" s="1" t="n">
        <f aca="false">IF(LEN(A323&amp;"")=0,0,IF(ABS(L323)&gt;0.005,1,0))</f>
        <v>0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customFormat="false" ht="23" hidden="false" customHeight="true" outlineLevel="0" collapsed="false">
      <c r="A324" s="1" t="str">
        <f aca="false">IF(LEN(Base!A324&amp;"")=0,"",Base!A324)</f>
        <v/>
      </c>
      <c r="B324" s="60" t="str">
        <f aca="false">IF(LEN(A324&amp;"")=0,"",Base!D324)</f>
        <v/>
      </c>
      <c r="C324" s="1" t="str">
        <f aca="false">IF(LEN(A324&amp;"")=0,"",Base!C324)</f>
        <v/>
      </c>
      <c r="D324" s="1" t="str">
        <f aca="false">IF(LEN(A324&amp;"")=0,"",Base!G324)</f>
        <v/>
      </c>
      <c r="E324" s="1" t="str">
        <f aca="false">IF(LEN(A324&amp;"")=0,"",Base!E324)</f>
        <v/>
      </c>
      <c r="F324" s="61" t="str">
        <f aca="false">IF(LEN(A324&amp;"")=0,"",IF(Base!I324="-",0,Base!I324))</f>
        <v/>
      </c>
      <c r="G324" s="61" t="str">
        <f aca="false">IF(LEN(A324&amp;"")=0,"",SUM(Base!F324,F324,Base!K324))</f>
        <v/>
      </c>
      <c r="H324" s="61" t="str">
        <f aca="false">IF(LEN(A324&amp;"")=0,"",Base!L324)</f>
        <v/>
      </c>
      <c r="I324" s="61" t="str">
        <f aca="false">IF(LEN(A324&amp;"")=0,"",G324-H324)</f>
        <v/>
      </c>
      <c r="J324" s="61" t="str">
        <f aca="false">IF(LEN(A324&amp;"")=0,"",Base!M324)</f>
        <v/>
      </c>
      <c r="K324" s="1" t="n">
        <f aca="false">IF(OR(LEN(A324&amp;"")=0,$P$3=0),0,IF(AND(B324&gt;=Painel!$B$8,B324&lt;=Painel!$G$8,OR(Painel!$L$8="Todos",C324=Painel!$L$8),OR(Painel!$Q$8="Todos",D324=Painel!$Q$8),OR(Painel!$V$8="Todas",E324=Painel!$V$8)),1,0))</f>
        <v>0</v>
      </c>
      <c r="L324" s="61" t="str">
        <f aca="false">IF(LEN(A324&amp;"")=0,"",J324-I324)</f>
        <v/>
      </c>
      <c r="M324" s="1" t="n">
        <f aca="false">IF(LEN(A324&amp;"")=0,0,IF(COUNTIFS(Base!$A$7:$A$1006,A324)&gt;1,1,0))</f>
        <v>0</v>
      </c>
      <c r="N324" s="1" t="n">
        <f aca="false">IF(LEN(A324&amp;"")=0,0,IF(ABS(L324)&gt;0.005,1,0))</f>
        <v>0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customFormat="false" ht="23" hidden="false" customHeight="true" outlineLevel="0" collapsed="false">
      <c r="A325" s="1" t="str">
        <f aca="false">IF(LEN(Base!A325&amp;"")=0,"",Base!A325)</f>
        <v/>
      </c>
      <c r="B325" s="60" t="str">
        <f aca="false">IF(LEN(A325&amp;"")=0,"",Base!D325)</f>
        <v/>
      </c>
      <c r="C325" s="1" t="str">
        <f aca="false">IF(LEN(A325&amp;"")=0,"",Base!C325)</f>
        <v/>
      </c>
      <c r="D325" s="1" t="str">
        <f aca="false">IF(LEN(A325&amp;"")=0,"",Base!G325)</f>
        <v/>
      </c>
      <c r="E325" s="1" t="str">
        <f aca="false">IF(LEN(A325&amp;"")=0,"",Base!E325)</f>
        <v/>
      </c>
      <c r="F325" s="61" t="str">
        <f aca="false">IF(LEN(A325&amp;"")=0,"",IF(Base!I325="-",0,Base!I325))</f>
        <v/>
      </c>
      <c r="G325" s="61" t="str">
        <f aca="false">IF(LEN(A325&amp;"")=0,"",SUM(Base!F325,F325,Base!K325))</f>
        <v/>
      </c>
      <c r="H325" s="61" t="str">
        <f aca="false">IF(LEN(A325&amp;"")=0,"",Base!L325)</f>
        <v/>
      </c>
      <c r="I325" s="61" t="str">
        <f aca="false">IF(LEN(A325&amp;"")=0,"",G325-H325)</f>
        <v/>
      </c>
      <c r="J325" s="61" t="str">
        <f aca="false">IF(LEN(A325&amp;"")=0,"",Base!M325)</f>
        <v/>
      </c>
      <c r="K325" s="1" t="n">
        <f aca="false">IF(OR(LEN(A325&amp;"")=0,$P$3=0),0,IF(AND(B325&gt;=Painel!$B$8,B325&lt;=Painel!$G$8,OR(Painel!$L$8="Todos",C325=Painel!$L$8),OR(Painel!$Q$8="Todos",D325=Painel!$Q$8),OR(Painel!$V$8="Todas",E325=Painel!$V$8)),1,0))</f>
        <v>0</v>
      </c>
      <c r="L325" s="61" t="str">
        <f aca="false">IF(LEN(A325&amp;"")=0,"",J325-I325)</f>
        <v/>
      </c>
      <c r="M325" s="1" t="n">
        <f aca="false">IF(LEN(A325&amp;"")=0,0,IF(COUNTIFS(Base!$A$7:$A$1006,A325)&gt;1,1,0))</f>
        <v>0</v>
      </c>
      <c r="N325" s="1" t="n">
        <f aca="false">IF(LEN(A325&amp;"")=0,0,IF(ABS(L325)&gt;0.005,1,0))</f>
        <v>0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customFormat="false" ht="23" hidden="false" customHeight="true" outlineLevel="0" collapsed="false">
      <c r="A326" s="1" t="str">
        <f aca="false">IF(LEN(Base!A326&amp;"")=0,"",Base!A326)</f>
        <v/>
      </c>
      <c r="B326" s="60" t="str">
        <f aca="false">IF(LEN(A326&amp;"")=0,"",Base!D326)</f>
        <v/>
      </c>
      <c r="C326" s="1" t="str">
        <f aca="false">IF(LEN(A326&amp;"")=0,"",Base!C326)</f>
        <v/>
      </c>
      <c r="D326" s="1" t="str">
        <f aca="false">IF(LEN(A326&amp;"")=0,"",Base!G326)</f>
        <v/>
      </c>
      <c r="E326" s="1" t="str">
        <f aca="false">IF(LEN(A326&amp;"")=0,"",Base!E326)</f>
        <v/>
      </c>
      <c r="F326" s="61" t="str">
        <f aca="false">IF(LEN(A326&amp;"")=0,"",IF(Base!I326="-",0,Base!I326))</f>
        <v/>
      </c>
      <c r="G326" s="61" t="str">
        <f aca="false">IF(LEN(A326&amp;"")=0,"",SUM(Base!F326,F326,Base!K326))</f>
        <v/>
      </c>
      <c r="H326" s="61" t="str">
        <f aca="false">IF(LEN(A326&amp;"")=0,"",Base!L326)</f>
        <v/>
      </c>
      <c r="I326" s="61" t="str">
        <f aca="false">IF(LEN(A326&amp;"")=0,"",G326-H326)</f>
        <v/>
      </c>
      <c r="J326" s="61" t="str">
        <f aca="false">IF(LEN(A326&amp;"")=0,"",Base!M326)</f>
        <v/>
      </c>
      <c r="K326" s="1" t="n">
        <f aca="false">IF(OR(LEN(A326&amp;"")=0,$P$3=0),0,IF(AND(B326&gt;=Painel!$B$8,B326&lt;=Painel!$G$8,OR(Painel!$L$8="Todos",C326=Painel!$L$8),OR(Painel!$Q$8="Todos",D326=Painel!$Q$8),OR(Painel!$V$8="Todas",E326=Painel!$V$8)),1,0))</f>
        <v>0</v>
      </c>
      <c r="L326" s="61" t="str">
        <f aca="false">IF(LEN(A326&amp;"")=0,"",J326-I326)</f>
        <v/>
      </c>
      <c r="M326" s="1" t="n">
        <f aca="false">IF(LEN(A326&amp;"")=0,0,IF(COUNTIFS(Base!$A$7:$A$1006,A326)&gt;1,1,0))</f>
        <v>0</v>
      </c>
      <c r="N326" s="1" t="n">
        <f aca="false">IF(LEN(A326&amp;"")=0,0,IF(ABS(L326)&gt;0.005,1,0))</f>
        <v>0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customFormat="false" ht="23" hidden="false" customHeight="true" outlineLevel="0" collapsed="false">
      <c r="A327" s="1" t="str">
        <f aca="false">IF(LEN(Base!A327&amp;"")=0,"",Base!A327)</f>
        <v/>
      </c>
      <c r="B327" s="60" t="str">
        <f aca="false">IF(LEN(A327&amp;"")=0,"",Base!D327)</f>
        <v/>
      </c>
      <c r="C327" s="1" t="str">
        <f aca="false">IF(LEN(A327&amp;"")=0,"",Base!C327)</f>
        <v/>
      </c>
      <c r="D327" s="1" t="str">
        <f aca="false">IF(LEN(A327&amp;"")=0,"",Base!G327)</f>
        <v/>
      </c>
      <c r="E327" s="1" t="str">
        <f aca="false">IF(LEN(A327&amp;"")=0,"",Base!E327)</f>
        <v/>
      </c>
      <c r="F327" s="61" t="str">
        <f aca="false">IF(LEN(A327&amp;"")=0,"",IF(Base!I327="-",0,Base!I327))</f>
        <v/>
      </c>
      <c r="G327" s="61" t="str">
        <f aca="false">IF(LEN(A327&amp;"")=0,"",SUM(Base!F327,F327,Base!K327))</f>
        <v/>
      </c>
      <c r="H327" s="61" t="str">
        <f aca="false">IF(LEN(A327&amp;"")=0,"",Base!L327)</f>
        <v/>
      </c>
      <c r="I327" s="61" t="str">
        <f aca="false">IF(LEN(A327&amp;"")=0,"",G327-H327)</f>
        <v/>
      </c>
      <c r="J327" s="61" t="str">
        <f aca="false">IF(LEN(A327&amp;"")=0,"",Base!M327)</f>
        <v/>
      </c>
      <c r="K327" s="1" t="n">
        <f aca="false">IF(OR(LEN(A327&amp;"")=0,$P$3=0),0,IF(AND(B327&gt;=Painel!$B$8,B327&lt;=Painel!$G$8,OR(Painel!$L$8="Todos",C327=Painel!$L$8),OR(Painel!$Q$8="Todos",D327=Painel!$Q$8),OR(Painel!$V$8="Todas",E327=Painel!$V$8)),1,0))</f>
        <v>0</v>
      </c>
      <c r="L327" s="61" t="str">
        <f aca="false">IF(LEN(A327&amp;"")=0,"",J327-I327)</f>
        <v/>
      </c>
      <c r="M327" s="1" t="n">
        <f aca="false">IF(LEN(A327&amp;"")=0,0,IF(COUNTIFS(Base!$A$7:$A$1006,A327)&gt;1,1,0))</f>
        <v>0</v>
      </c>
      <c r="N327" s="1" t="n">
        <f aca="false">IF(LEN(A327&amp;"")=0,0,IF(ABS(L327)&gt;0.005,1,0))</f>
        <v>0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customFormat="false" ht="23" hidden="false" customHeight="true" outlineLevel="0" collapsed="false">
      <c r="A328" s="1" t="str">
        <f aca="false">IF(LEN(Base!A328&amp;"")=0,"",Base!A328)</f>
        <v/>
      </c>
      <c r="B328" s="60" t="str">
        <f aca="false">IF(LEN(A328&amp;"")=0,"",Base!D328)</f>
        <v/>
      </c>
      <c r="C328" s="1" t="str">
        <f aca="false">IF(LEN(A328&amp;"")=0,"",Base!C328)</f>
        <v/>
      </c>
      <c r="D328" s="1" t="str">
        <f aca="false">IF(LEN(A328&amp;"")=0,"",Base!G328)</f>
        <v/>
      </c>
      <c r="E328" s="1" t="str">
        <f aca="false">IF(LEN(A328&amp;"")=0,"",Base!E328)</f>
        <v/>
      </c>
      <c r="F328" s="61" t="str">
        <f aca="false">IF(LEN(A328&amp;"")=0,"",IF(Base!I328="-",0,Base!I328))</f>
        <v/>
      </c>
      <c r="G328" s="61" t="str">
        <f aca="false">IF(LEN(A328&amp;"")=0,"",SUM(Base!F328,F328,Base!K328))</f>
        <v/>
      </c>
      <c r="H328" s="61" t="str">
        <f aca="false">IF(LEN(A328&amp;"")=0,"",Base!L328)</f>
        <v/>
      </c>
      <c r="I328" s="61" t="str">
        <f aca="false">IF(LEN(A328&amp;"")=0,"",G328-H328)</f>
        <v/>
      </c>
      <c r="J328" s="61" t="str">
        <f aca="false">IF(LEN(A328&amp;"")=0,"",Base!M328)</f>
        <v/>
      </c>
      <c r="K328" s="1" t="n">
        <f aca="false">IF(OR(LEN(A328&amp;"")=0,$P$3=0),0,IF(AND(B328&gt;=Painel!$B$8,B328&lt;=Painel!$G$8,OR(Painel!$L$8="Todos",C328=Painel!$L$8),OR(Painel!$Q$8="Todos",D328=Painel!$Q$8),OR(Painel!$V$8="Todas",E328=Painel!$V$8)),1,0))</f>
        <v>0</v>
      </c>
      <c r="L328" s="61" t="str">
        <f aca="false">IF(LEN(A328&amp;"")=0,"",J328-I328)</f>
        <v/>
      </c>
      <c r="M328" s="1" t="n">
        <f aca="false">IF(LEN(A328&amp;"")=0,0,IF(COUNTIFS(Base!$A$7:$A$1006,A328)&gt;1,1,0))</f>
        <v>0</v>
      </c>
      <c r="N328" s="1" t="n">
        <f aca="false">IF(LEN(A328&amp;"")=0,0,IF(ABS(L328)&gt;0.005,1,0))</f>
        <v>0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customFormat="false" ht="23" hidden="false" customHeight="true" outlineLevel="0" collapsed="false">
      <c r="A329" s="1" t="str">
        <f aca="false">IF(LEN(Base!A329&amp;"")=0,"",Base!A329)</f>
        <v/>
      </c>
      <c r="B329" s="60" t="str">
        <f aca="false">IF(LEN(A329&amp;"")=0,"",Base!D329)</f>
        <v/>
      </c>
      <c r="C329" s="1" t="str">
        <f aca="false">IF(LEN(A329&amp;"")=0,"",Base!C329)</f>
        <v/>
      </c>
      <c r="D329" s="1" t="str">
        <f aca="false">IF(LEN(A329&amp;"")=0,"",Base!G329)</f>
        <v/>
      </c>
      <c r="E329" s="1" t="str">
        <f aca="false">IF(LEN(A329&amp;"")=0,"",Base!E329)</f>
        <v/>
      </c>
      <c r="F329" s="61" t="str">
        <f aca="false">IF(LEN(A329&amp;"")=0,"",IF(Base!I329="-",0,Base!I329))</f>
        <v/>
      </c>
      <c r="G329" s="61" t="str">
        <f aca="false">IF(LEN(A329&amp;"")=0,"",SUM(Base!F329,F329,Base!K329))</f>
        <v/>
      </c>
      <c r="H329" s="61" t="str">
        <f aca="false">IF(LEN(A329&amp;"")=0,"",Base!L329)</f>
        <v/>
      </c>
      <c r="I329" s="61" t="str">
        <f aca="false">IF(LEN(A329&amp;"")=0,"",G329-H329)</f>
        <v/>
      </c>
      <c r="J329" s="61" t="str">
        <f aca="false">IF(LEN(A329&amp;"")=0,"",Base!M329)</f>
        <v/>
      </c>
      <c r="K329" s="1" t="n">
        <f aca="false">IF(OR(LEN(A329&amp;"")=0,$P$3=0),0,IF(AND(B329&gt;=Painel!$B$8,B329&lt;=Painel!$G$8,OR(Painel!$L$8="Todos",C329=Painel!$L$8),OR(Painel!$Q$8="Todos",D329=Painel!$Q$8),OR(Painel!$V$8="Todas",E329=Painel!$V$8)),1,0))</f>
        <v>0</v>
      </c>
      <c r="L329" s="61" t="str">
        <f aca="false">IF(LEN(A329&amp;"")=0,"",J329-I329)</f>
        <v/>
      </c>
      <c r="M329" s="1" t="n">
        <f aca="false">IF(LEN(A329&amp;"")=0,0,IF(COUNTIFS(Base!$A$7:$A$1006,A329)&gt;1,1,0))</f>
        <v>0</v>
      </c>
      <c r="N329" s="1" t="n">
        <f aca="false">IF(LEN(A329&amp;"")=0,0,IF(ABS(L329)&gt;0.005,1,0))</f>
        <v>0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customFormat="false" ht="23" hidden="false" customHeight="true" outlineLevel="0" collapsed="false">
      <c r="A330" s="1" t="str">
        <f aca="false">IF(LEN(Base!A330&amp;"")=0,"",Base!A330)</f>
        <v/>
      </c>
      <c r="B330" s="60" t="str">
        <f aca="false">IF(LEN(A330&amp;"")=0,"",Base!D330)</f>
        <v/>
      </c>
      <c r="C330" s="1" t="str">
        <f aca="false">IF(LEN(A330&amp;"")=0,"",Base!C330)</f>
        <v/>
      </c>
      <c r="D330" s="1" t="str">
        <f aca="false">IF(LEN(A330&amp;"")=0,"",Base!G330)</f>
        <v/>
      </c>
      <c r="E330" s="1" t="str">
        <f aca="false">IF(LEN(A330&amp;"")=0,"",Base!E330)</f>
        <v/>
      </c>
      <c r="F330" s="61" t="str">
        <f aca="false">IF(LEN(A330&amp;"")=0,"",IF(Base!I330="-",0,Base!I330))</f>
        <v/>
      </c>
      <c r="G330" s="61" t="str">
        <f aca="false">IF(LEN(A330&amp;"")=0,"",SUM(Base!F330,F330,Base!K330))</f>
        <v/>
      </c>
      <c r="H330" s="61" t="str">
        <f aca="false">IF(LEN(A330&amp;"")=0,"",Base!L330)</f>
        <v/>
      </c>
      <c r="I330" s="61" t="str">
        <f aca="false">IF(LEN(A330&amp;"")=0,"",G330-H330)</f>
        <v/>
      </c>
      <c r="J330" s="61" t="str">
        <f aca="false">IF(LEN(A330&amp;"")=0,"",Base!M330)</f>
        <v/>
      </c>
      <c r="K330" s="1" t="n">
        <f aca="false">IF(OR(LEN(A330&amp;"")=0,$P$3=0),0,IF(AND(B330&gt;=Painel!$B$8,B330&lt;=Painel!$G$8,OR(Painel!$L$8="Todos",C330=Painel!$L$8),OR(Painel!$Q$8="Todos",D330=Painel!$Q$8),OR(Painel!$V$8="Todas",E330=Painel!$V$8)),1,0))</f>
        <v>0</v>
      </c>
      <c r="L330" s="61" t="str">
        <f aca="false">IF(LEN(A330&amp;"")=0,"",J330-I330)</f>
        <v/>
      </c>
      <c r="M330" s="1" t="n">
        <f aca="false">IF(LEN(A330&amp;"")=0,0,IF(COUNTIFS(Base!$A$7:$A$1006,A330)&gt;1,1,0))</f>
        <v>0</v>
      </c>
      <c r="N330" s="1" t="n">
        <f aca="false">IF(LEN(A330&amp;"")=0,0,IF(ABS(L330)&gt;0.005,1,0))</f>
        <v>0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customFormat="false" ht="23" hidden="false" customHeight="true" outlineLevel="0" collapsed="false">
      <c r="A331" s="1" t="str">
        <f aca="false">IF(LEN(Base!A331&amp;"")=0,"",Base!A331)</f>
        <v/>
      </c>
      <c r="B331" s="60" t="str">
        <f aca="false">IF(LEN(A331&amp;"")=0,"",Base!D331)</f>
        <v/>
      </c>
      <c r="C331" s="1" t="str">
        <f aca="false">IF(LEN(A331&amp;"")=0,"",Base!C331)</f>
        <v/>
      </c>
      <c r="D331" s="1" t="str">
        <f aca="false">IF(LEN(A331&amp;"")=0,"",Base!G331)</f>
        <v/>
      </c>
      <c r="E331" s="1" t="str">
        <f aca="false">IF(LEN(A331&amp;"")=0,"",Base!E331)</f>
        <v/>
      </c>
      <c r="F331" s="61" t="str">
        <f aca="false">IF(LEN(A331&amp;"")=0,"",IF(Base!I331="-",0,Base!I331))</f>
        <v/>
      </c>
      <c r="G331" s="61" t="str">
        <f aca="false">IF(LEN(A331&amp;"")=0,"",SUM(Base!F331,F331,Base!K331))</f>
        <v/>
      </c>
      <c r="H331" s="61" t="str">
        <f aca="false">IF(LEN(A331&amp;"")=0,"",Base!L331)</f>
        <v/>
      </c>
      <c r="I331" s="61" t="str">
        <f aca="false">IF(LEN(A331&amp;"")=0,"",G331-H331)</f>
        <v/>
      </c>
      <c r="J331" s="61" t="str">
        <f aca="false">IF(LEN(A331&amp;"")=0,"",Base!M331)</f>
        <v/>
      </c>
      <c r="K331" s="1" t="n">
        <f aca="false">IF(OR(LEN(A331&amp;"")=0,$P$3=0),0,IF(AND(B331&gt;=Painel!$B$8,B331&lt;=Painel!$G$8,OR(Painel!$L$8="Todos",C331=Painel!$L$8),OR(Painel!$Q$8="Todos",D331=Painel!$Q$8),OR(Painel!$V$8="Todas",E331=Painel!$V$8)),1,0))</f>
        <v>0</v>
      </c>
      <c r="L331" s="61" t="str">
        <f aca="false">IF(LEN(A331&amp;"")=0,"",J331-I331)</f>
        <v/>
      </c>
      <c r="M331" s="1" t="n">
        <f aca="false">IF(LEN(A331&amp;"")=0,0,IF(COUNTIFS(Base!$A$7:$A$1006,A331)&gt;1,1,0))</f>
        <v>0</v>
      </c>
      <c r="N331" s="1" t="n">
        <f aca="false">IF(LEN(A331&amp;"")=0,0,IF(ABS(L331)&gt;0.005,1,0))</f>
        <v>0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customFormat="false" ht="23" hidden="false" customHeight="true" outlineLevel="0" collapsed="false">
      <c r="A332" s="1" t="str">
        <f aca="false">IF(LEN(Base!A332&amp;"")=0,"",Base!A332)</f>
        <v/>
      </c>
      <c r="B332" s="60" t="str">
        <f aca="false">IF(LEN(A332&amp;"")=0,"",Base!D332)</f>
        <v/>
      </c>
      <c r="C332" s="1" t="str">
        <f aca="false">IF(LEN(A332&amp;"")=0,"",Base!C332)</f>
        <v/>
      </c>
      <c r="D332" s="1" t="str">
        <f aca="false">IF(LEN(A332&amp;"")=0,"",Base!G332)</f>
        <v/>
      </c>
      <c r="E332" s="1" t="str">
        <f aca="false">IF(LEN(A332&amp;"")=0,"",Base!E332)</f>
        <v/>
      </c>
      <c r="F332" s="61" t="str">
        <f aca="false">IF(LEN(A332&amp;"")=0,"",IF(Base!I332="-",0,Base!I332))</f>
        <v/>
      </c>
      <c r="G332" s="61" t="str">
        <f aca="false">IF(LEN(A332&amp;"")=0,"",SUM(Base!F332,F332,Base!K332))</f>
        <v/>
      </c>
      <c r="H332" s="61" t="str">
        <f aca="false">IF(LEN(A332&amp;"")=0,"",Base!L332)</f>
        <v/>
      </c>
      <c r="I332" s="61" t="str">
        <f aca="false">IF(LEN(A332&amp;"")=0,"",G332-H332)</f>
        <v/>
      </c>
      <c r="J332" s="61" t="str">
        <f aca="false">IF(LEN(A332&amp;"")=0,"",Base!M332)</f>
        <v/>
      </c>
      <c r="K332" s="1" t="n">
        <f aca="false">IF(OR(LEN(A332&amp;"")=0,$P$3=0),0,IF(AND(B332&gt;=Painel!$B$8,B332&lt;=Painel!$G$8,OR(Painel!$L$8="Todos",C332=Painel!$L$8),OR(Painel!$Q$8="Todos",D332=Painel!$Q$8),OR(Painel!$V$8="Todas",E332=Painel!$V$8)),1,0))</f>
        <v>0</v>
      </c>
      <c r="L332" s="61" t="str">
        <f aca="false">IF(LEN(A332&amp;"")=0,"",J332-I332)</f>
        <v/>
      </c>
      <c r="M332" s="1" t="n">
        <f aca="false">IF(LEN(A332&amp;"")=0,0,IF(COUNTIFS(Base!$A$7:$A$1006,A332)&gt;1,1,0))</f>
        <v>0</v>
      </c>
      <c r="N332" s="1" t="n">
        <f aca="false">IF(LEN(A332&amp;"")=0,0,IF(ABS(L332)&gt;0.005,1,0))</f>
        <v>0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customFormat="false" ht="23" hidden="false" customHeight="true" outlineLevel="0" collapsed="false">
      <c r="A333" s="1" t="str">
        <f aca="false">IF(LEN(Base!A333&amp;"")=0,"",Base!A333)</f>
        <v/>
      </c>
      <c r="B333" s="60" t="str">
        <f aca="false">IF(LEN(A333&amp;"")=0,"",Base!D333)</f>
        <v/>
      </c>
      <c r="C333" s="1" t="str">
        <f aca="false">IF(LEN(A333&amp;"")=0,"",Base!C333)</f>
        <v/>
      </c>
      <c r="D333" s="1" t="str">
        <f aca="false">IF(LEN(A333&amp;"")=0,"",Base!G333)</f>
        <v/>
      </c>
      <c r="E333" s="1" t="str">
        <f aca="false">IF(LEN(A333&amp;"")=0,"",Base!E333)</f>
        <v/>
      </c>
      <c r="F333" s="61" t="str">
        <f aca="false">IF(LEN(A333&amp;"")=0,"",IF(Base!I333="-",0,Base!I333))</f>
        <v/>
      </c>
      <c r="G333" s="61" t="str">
        <f aca="false">IF(LEN(A333&amp;"")=0,"",SUM(Base!F333,F333,Base!K333))</f>
        <v/>
      </c>
      <c r="H333" s="61" t="str">
        <f aca="false">IF(LEN(A333&amp;"")=0,"",Base!L333)</f>
        <v/>
      </c>
      <c r="I333" s="61" t="str">
        <f aca="false">IF(LEN(A333&amp;"")=0,"",G333-H333)</f>
        <v/>
      </c>
      <c r="J333" s="61" t="str">
        <f aca="false">IF(LEN(A333&amp;"")=0,"",Base!M333)</f>
        <v/>
      </c>
      <c r="K333" s="1" t="n">
        <f aca="false">IF(OR(LEN(A333&amp;"")=0,$P$3=0),0,IF(AND(B333&gt;=Painel!$B$8,B333&lt;=Painel!$G$8,OR(Painel!$L$8="Todos",C333=Painel!$L$8),OR(Painel!$Q$8="Todos",D333=Painel!$Q$8),OR(Painel!$V$8="Todas",E333=Painel!$V$8)),1,0))</f>
        <v>0</v>
      </c>
      <c r="L333" s="61" t="str">
        <f aca="false">IF(LEN(A333&amp;"")=0,"",J333-I333)</f>
        <v/>
      </c>
      <c r="M333" s="1" t="n">
        <f aca="false">IF(LEN(A333&amp;"")=0,0,IF(COUNTIFS(Base!$A$7:$A$1006,A333)&gt;1,1,0))</f>
        <v>0</v>
      </c>
      <c r="N333" s="1" t="n">
        <f aca="false">IF(LEN(A333&amp;"")=0,0,IF(ABS(L333)&gt;0.005,1,0))</f>
        <v>0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customFormat="false" ht="23" hidden="false" customHeight="true" outlineLevel="0" collapsed="false">
      <c r="A334" s="1" t="str">
        <f aca="false">IF(LEN(Base!A334&amp;"")=0,"",Base!A334)</f>
        <v/>
      </c>
      <c r="B334" s="60" t="str">
        <f aca="false">IF(LEN(A334&amp;"")=0,"",Base!D334)</f>
        <v/>
      </c>
      <c r="C334" s="1" t="str">
        <f aca="false">IF(LEN(A334&amp;"")=0,"",Base!C334)</f>
        <v/>
      </c>
      <c r="D334" s="1" t="str">
        <f aca="false">IF(LEN(A334&amp;"")=0,"",Base!G334)</f>
        <v/>
      </c>
      <c r="E334" s="1" t="str">
        <f aca="false">IF(LEN(A334&amp;"")=0,"",Base!E334)</f>
        <v/>
      </c>
      <c r="F334" s="61" t="str">
        <f aca="false">IF(LEN(A334&amp;"")=0,"",IF(Base!I334="-",0,Base!I334))</f>
        <v/>
      </c>
      <c r="G334" s="61" t="str">
        <f aca="false">IF(LEN(A334&amp;"")=0,"",SUM(Base!F334,F334,Base!K334))</f>
        <v/>
      </c>
      <c r="H334" s="61" t="str">
        <f aca="false">IF(LEN(A334&amp;"")=0,"",Base!L334)</f>
        <v/>
      </c>
      <c r="I334" s="61" t="str">
        <f aca="false">IF(LEN(A334&amp;"")=0,"",G334-H334)</f>
        <v/>
      </c>
      <c r="J334" s="61" t="str">
        <f aca="false">IF(LEN(A334&amp;"")=0,"",Base!M334)</f>
        <v/>
      </c>
      <c r="K334" s="1" t="n">
        <f aca="false">IF(OR(LEN(A334&amp;"")=0,$P$3=0),0,IF(AND(B334&gt;=Painel!$B$8,B334&lt;=Painel!$G$8,OR(Painel!$L$8="Todos",C334=Painel!$L$8),OR(Painel!$Q$8="Todos",D334=Painel!$Q$8),OR(Painel!$V$8="Todas",E334=Painel!$V$8)),1,0))</f>
        <v>0</v>
      </c>
      <c r="L334" s="61" t="str">
        <f aca="false">IF(LEN(A334&amp;"")=0,"",J334-I334)</f>
        <v/>
      </c>
      <c r="M334" s="1" t="n">
        <f aca="false">IF(LEN(A334&amp;"")=0,0,IF(COUNTIFS(Base!$A$7:$A$1006,A334)&gt;1,1,0))</f>
        <v>0</v>
      </c>
      <c r="N334" s="1" t="n">
        <f aca="false">IF(LEN(A334&amp;"")=0,0,IF(ABS(L334)&gt;0.005,1,0))</f>
        <v>0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customFormat="false" ht="23" hidden="false" customHeight="true" outlineLevel="0" collapsed="false">
      <c r="A335" s="1" t="str">
        <f aca="false">IF(LEN(Base!A335&amp;"")=0,"",Base!A335)</f>
        <v/>
      </c>
      <c r="B335" s="60" t="str">
        <f aca="false">IF(LEN(A335&amp;"")=0,"",Base!D335)</f>
        <v/>
      </c>
      <c r="C335" s="1" t="str">
        <f aca="false">IF(LEN(A335&amp;"")=0,"",Base!C335)</f>
        <v/>
      </c>
      <c r="D335" s="1" t="str">
        <f aca="false">IF(LEN(A335&amp;"")=0,"",Base!G335)</f>
        <v/>
      </c>
      <c r="E335" s="1" t="str">
        <f aca="false">IF(LEN(A335&amp;"")=0,"",Base!E335)</f>
        <v/>
      </c>
      <c r="F335" s="61" t="str">
        <f aca="false">IF(LEN(A335&amp;"")=0,"",IF(Base!I335="-",0,Base!I335))</f>
        <v/>
      </c>
      <c r="G335" s="61" t="str">
        <f aca="false">IF(LEN(A335&amp;"")=0,"",SUM(Base!F335,F335,Base!K335))</f>
        <v/>
      </c>
      <c r="H335" s="61" t="str">
        <f aca="false">IF(LEN(A335&amp;"")=0,"",Base!L335)</f>
        <v/>
      </c>
      <c r="I335" s="61" t="str">
        <f aca="false">IF(LEN(A335&amp;"")=0,"",G335-H335)</f>
        <v/>
      </c>
      <c r="J335" s="61" t="str">
        <f aca="false">IF(LEN(A335&amp;"")=0,"",Base!M335)</f>
        <v/>
      </c>
      <c r="K335" s="1" t="n">
        <f aca="false">IF(OR(LEN(A335&amp;"")=0,$P$3=0),0,IF(AND(B335&gt;=Painel!$B$8,B335&lt;=Painel!$G$8,OR(Painel!$L$8="Todos",C335=Painel!$L$8),OR(Painel!$Q$8="Todos",D335=Painel!$Q$8),OR(Painel!$V$8="Todas",E335=Painel!$V$8)),1,0))</f>
        <v>0</v>
      </c>
      <c r="L335" s="61" t="str">
        <f aca="false">IF(LEN(A335&amp;"")=0,"",J335-I335)</f>
        <v/>
      </c>
      <c r="M335" s="1" t="n">
        <f aca="false">IF(LEN(A335&amp;"")=0,0,IF(COUNTIFS(Base!$A$7:$A$1006,A335)&gt;1,1,0))</f>
        <v>0</v>
      </c>
      <c r="N335" s="1" t="n">
        <f aca="false">IF(LEN(A335&amp;"")=0,0,IF(ABS(L335)&gt;0.005,1,0))</f>
        <v>0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customFormat="false" ht="23" hidden="false" customHeight="true" outlineLevel="0" collapsed="false">
      <c r="A336" s="1" t="str">
        <f aca="false">IF(LEN(Base!A336&amp;"")=0,"",Base!A336)</f>
        <v/>
      </c>
      <c r="B336" s="60" t="str">
        <f aca="false">IF(LEN(A336&amp;"")=0,"",Base!D336)</f>
        <v/>
      </c>
      <c r="C336" s="1" t="str">
        <f aca="false">IF(LEN(A336&amp;"")=0,"",Base!C336)</f>
        <v/>
      </c>
      <c r="D336" s="1" t="str">
        <f aca="false">IF(LEN(A336&amp;"")=0,"",Base!G336)</f>
        <v/>
      </c>
      <c r="E336" s="1" t="str">
        <f aca="false">IF(LEN(A336&amp;"")=0,"",Base!E336)</f>
        <v/>
      </c>
      <c r="F336" s="61" t="str">
        <f aca="false">IF(LEN(A336&amp;"")=0,"",IF(Base!I336="-",0,Base!I336))</f>
        <v/>
      </c>
      <c r="G336" s="61" t="str">
        <f aca="false">IF(LEN(A336&amp;"")=0,"",SUM(Base!F336,F336,Base!K336))</f>
        <v/>
      </c>
      <c r="H336" s="61" t="str">
        <f aca="false">IF(LEN(A336&amp;"")=0,"",Base!L336)</f>
        <v/>
      </c>
      <c r="I336" s="61" t="str">
        <f aca="false">IF(LEN(A336&amp;"")=0,"",G336-H336)</f>
        <v/>
      </c>
      <c r="J336" s="61" t="str">
        <f aca="false">IF(LEN(A336&amp;"")=0,"",Base!M336)</f>
        <v/>
      </c>
      <c r="K336" s="1" t="n">
        <f aca="false">IF(OR(LEN(A336&amp;"")=0,$P$3=0),0,IF(AND(B336&gt;=Painel!$B$8,B336&lt;=Painel!$G$8,OR(Painel!$L$8="Todos",C336=Painel!$L$8),OR(Painel!$Q$8="Todos",D336=Painel!$Q$8),OR(Painel!$V$8="Todas",E336=Painel!$V$8)),1,0))</f>
        <v>0</v>
      </c>
      <c r="L336" s="61" t="str">
        <f aca="false">IF(LEN(A336&amp;"")=0,"",J336-I336)</f>
        <v/>
      </c>
      <c r="M336" s="1" t="n">
        <f aca="false">IF(LEN(A336&amp;"")=0,0,IF(COUNTIFS(Base!$A$7:$A$1006,A336)&gt;1,1,0))</f>
        <v>0</v>
      </c>
      <c r="N336" s="1" t="n">
        <f aca="false">IF(LEN(A336&amp;"")=0,0,IF(ABS(L336)&gt;0.005,1,0))</f>
        <v>0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customFormat="false" ht="23" hidden="false" customHeight="true" outlineLevel="0" collapsed="false">
      <c r="A337" s="1" t="str">
        <f aca="false">IF(LEN(Base!A337&amp;"")=0,"",Base!A337)</f>
        <v/>
      </c>
      <c r="B337" s="60" t="str">
        <f aca="false">IF(LEN(A337&amp;"")=0,"",Base!D337)</f>
        <v/>
      </c>
      <c r="C337" s="1" t="str">
        <f aca="false">IF(LEN(A337&amp;"")=0,"",Base!C337)</f>
        <v/>
      </c>
      <c r="D337" s="1" t="str">
        <f aca="false">IF(LEN(A337&amp;"")=0,"",Base!G337)</f>
        <v/>
      </c>
      <c r="E337" s="1" t="str">
        <f aca="false">IF(LEN(A337&amp;"")=0,"",Base!E337)</f>
        <v/>
      </c>
      <c r="F337" s="61" t="str">
        <f aca="false">IF(LEN(A337&amp;"")=0,"",IF(Base!I337="-",0,Base!I337))</f>
        <v/>
      </c>
      <c r="G337" s="61" t="str">
        <f aca="false">IF(LEN(A337&amp;"")=0,"",SUM(Base!F337,F337,Base!K337))</f>
        <v/>
      </c>
      <c r="H337" s="61" t="str">
        <f aca="false">IF(LEN(A337&amp;"")=0,"",Base!L337)</f>
        <v/>
      </c>
      <c r="I337" s="61" t="str">
        <f aca="false">IF(LEN(A337&amp;"")=0,"",G337-H337)</f>
        <v/>
      </c>
      <c r="J337" s="61" t="str">
        <f aca="false">IF(LEN(A337&amp;"")=0,"",Base!M337)</f>
        <v/>
      </c>
      <c r="K337" s="1" t="n">
        <f aca="false">IF(OR(LEN(A337&amp;"")=0,$P$3=0),0,IF(AND(B337&gt;=Painel!$B$8,B337&lt;=Painel!$G$8,OR(Painel!$L$8="Todos",C337=Painel!$L$8),OR(Painel!$Q$8="Todos",D337=Painel!$Q$8),OR(Painel!$V$8="Todas",E337=Painel!$V$8)),1,0))</f>
        <v>0</v>
      </c>
      <c r="L337" s="61" t="str">
        <f aca="false">IF(LEN(A337&amp;"")=0,"",J337-I337)</f>
        <v/>
      </c>
      <c r="M337" s="1" t="n">
        <f aca="false">IF(LEN(A337&amp;"")=0,0,IF(COUNTIFS(Base!$A$7:$A$1006,A337)&gt;1,1,0))</f>
        <v>0</v>
      </c>
      <c r="N337" s="1" t="n">
        <f aca="false">IF(LEN(A337&amp;"")=0,0,IF(ABS(L337)&gt;0.005,1,0))</f>
        <v>0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customFormat="false" ht="23" hidden="false" customHeight="true" outlineLevel="0" collapsed="false">
      <c r="A338" s="1" t="str">
        <f aca="false">IF(LEN(Base!A338&amp;"")=0,"",Base!A338)</f>
        <v/>
      </c>
      <c r="B338" s="60" t="str">
        <f aca="false">IF(LEN(A338&amp;"")=0,"",Base!D338)</f>
        <v/>
      </c>
      <c r="C338" s="1" t="str">
        <f aca="false">IF(LEN(A338&amp;"")=0,"",Base!C338)</f>
        <v/>
      </c>
      <c r="D338" s="1" t="str">
        <f aca="false">IF(LEN(A338&amp;"")=0,"",Base!G338)</f>
        <v/>
      </c>
      <c r="E338" s="1" t="str">
        <f aca="false">IF(LEN(A338&amp;"")=0,"",Base!E338)</f>
        <v/>
      </c>
      <c r="F338" s="61" t="str">
        <f aca="false">IF(LEN(A338&amp;"")=0,"",IF(Base!I338="-",0,Base!I338))</f>
        <v/>
      </c>
      <c r="G338" s="61" t="str">
        <f aca="false">IF(LEN(A338&amp;"")=0,"",SUM(Base!F338,F338,Base!K338))</f>
        <v/>
      </c>
      <c r="H338" s="61" t="str">
        <f aca="false">IF(LEN(A338&amp;"")=0,"",Base!L338)</f>
        <v/>
      </c>
      <c r="I338" s="61" t="str">
        <f aca="false">IF(LEN(A338&amp;"")=0,"",G338-H338)</f>
        <v/>
      </c>
      <c r="J338" s="61" t="str">
        <f aca="false">IF(LEN(A338&amp;"")=0,"",Base!M338)</f>
        <v/>
      </c>
      <c r="K338" s="1" t="n">
        <f aca="false">IF(OR(LEN(A338&amp;"")=0,$P$3=0),0,IF(AND(B338&gt;=Painel!$B$8,B338&lt;=Painel!$G$8,OR(Painel!$L$8="Todos",C338=Painel!$L$8),OR(Painel!$Q$8="Todos",D338=Painel!$Q$8),OR(Painel!$V$8="Todas",E338=Painel!$V$8)),1,0))</f>
        <v>0</v>
      </c>
      <c r="L338" s="61" t="str">
        <f aca="false">IF(LEN(A338&amp;"")=0,"",J338-I338)</f>
        <v/>
      </c>
      <c r="M338" s="1" t="n">
        <f aca="false">IF(LEN(A338&amp;"")=0,0,IF(COUNTIFS(Base!$A$7:$A$1006,A338)&gt;1,1,0))</f>
        <v>0</v>
      </c>
      <c r="N338" s="1" t="n">
        <f aca="false">IF(LEN(A338&amp;"")=0,0,IF(ABS(L338)&gt;0.005,1,0))</f>
        <v>0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customFormat="false" ht="23" hidden="false" customHeight="true" outlineLevel="0" collapsed="false">
      <c r="A339" s="1" t="str">
        <f aca="false">IF(LEN(Base!A339&amp;"")=0,"",Base!A339)</f>
        <v/>
      </c>
      <c r="B339" s="60" t="str">
        <f aca="false">IF(LEN(A339&amp;"")=0,"",Base!D339)</f>
        <v/>
      </c>
      <c r="C339" s="1" t="str">
        <f aca="false">IF(LEN(A339&amp;"")=0,"",Base!C339)</f>
        <v/>
      </c>
      <c r="D339" s="1" t="str">
        <f aca="false">IF(LEN(A339&amp;"")=0,"",Base!G339)</f>
        <v/>
      </c>
      <c r="E339" s="1" t="str">
        <f aca="false">IF(LEN(A339&amp;"")=0,"",Base!E339)</f>
        <v/>
      </c>
      <c r="F339" s="61" t="str">
        <f aca="false">IF(LEN(A339&amp;"")=0,"",IF(Base!I339="-",0,Base!I339))</f>
        <v/>
      </c>
      <c r="G339" s="61" t="str">
        <f aca="false">IF(LEN(A339&amp;"")=0,"",SUM(Base!F339,F339,Base!K339))</f>
        <v/>
      </c>
      <c r="H339" s="61" t="str">
        <f aca="false">IF(LEN(A339&amp;"")=0,"",Base!L339)</f>
        <v/>
      </c>
      <c r="I339" s="61" t="str">
        <f aca="false">IF(LEN(A339&amp;"")=0,"",G339-H339)</f>
        <v/>
      </c>
      <c r="J339" s="61" t="str">
        <f aca="false">IF(LEN(A339&amp;"")=0,"",Base!M339)</f>
        <v/>
      </c>
      <c r="K339" s="1" t="n">
        <f aca="false">IF(OR(LEN(A339&amp;"")=0,$P$3=0),0,IF(AND(B339&gt;=Painel!$B$8,B339&lt;=Painel!$G$8,OR(Painel!$L$8="Todos",C339=Painel!$L$8),OR(Painel!$Q$8="Todos",D339=Painel!$Q$8),OR(Painel!$V$8="Todas",E339=Painel!$V$8)),1,0))</f>
        <v>0</v>
      </c>
      <c r="L339" s="61" t="str">
        <f aca="false">IF(LEN(A339&amp;"")=0,"",J339-I339)</f>
        <v/>
      </c>
      <c r="M339" s="1" t="n">
        <f aca="false">IF(LEN(A339&amp;"")=0,0,IF(COUNTIFS(Base!$A$7:$A$1006,A339)&gt;1,1,0))</f>
        <v>0</v>
      </c>
      <c r="N339" s="1" t="n">
        <f aca="false">IF(LEN(A339&amp;"")=0,0,IF(ABS(L339)&gt;0.005,1,0))</f>
        <v>0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customFormat="false" ht="23" hidden="false" customHeight="true" outlineLevel="0" collapsed="false">
      <c r="A340" s="1" t="str">
        <f aca="false">IF(LEN(Base!A340&amp;"")=0,"",Base!A340)</f>
        <v/>
      </c>
      <c r="B340" s="60" t="str">
        <f aca="false">IF(LEN(A340&amp;"")=0,"",Base!D340)</f>
        <v/>
      </c>
      <c r="C340" s="1" t="str">
        <f aca="false">IF(LEN(A340&amp;"")=0,"",Base!C340)</f>
        <v/>
      </c>
      <c r="D340" s="1" t="str">
        <f aca="false">IF(LEN(A340&amp;"")=0,"",Base!G340)</f>
        <v/>
      </c>
      <c r="E340" s="1" t="str">
        <f aca="false">IF(LEN(A340&amp;"")=0,"",Base!E340)</f>
        <v/>
      </c>
      <c r="F340" s="61" t="str">
        <f aca="false">IF(LEN(A340&amp;"")=0,"",IF(Base!I340="-",0,Base!I340))</f>
        <v/>
      </c>
      <c r="G340" s="61" t="str">
        <f aca="false">IF(LEN(A340&amp;"")=0,"",SUM(Base!F340,F340,Base!K340))</f>
        <v/>
      </c>
      <c r="H340" s="61" t="str">
        <f aca="false">IF(LEN(A340&amp;"")=0,"",Base!L340)</f>
        <v/>
      </c>
      <c r="I340" s="61" t="str">
        <f aca="false">IF(LEN(A340&amp;"")=0,"",G340-H340)</f>
        <v/>
      </c>
      <c r="J340" s="61" t="str">
        <f aca="false">IF(LEN(A340&amp;"")=0,"",Base!M340)</f>
        <v/>
      </c>
      <c r="K340" s="1" t="n">
        <f aca="false">IF(OR(LEN(A340&amp;"")=0,$P$3=0),0,IF(AND(B340&gt;=Painel!$B$8,B340&lt;=Painel!$G$8,OR(Painel!$L$8="Todos",C340=Painel!$L$8),OR(Painel!$Q$8="Todos",D340=Painel!$Q$8),OR(Painel!$V$8="Todas",E340=Painel!$V$8)),1,0))</f>
        <v>0</v>
      </c>
      <c r="L340" s="61" t="str">
        <f aca="false">IF(LEN(A340&amp;"")=0,"",J340-I340)</f>
        <v/>
      </c>
      <c r="M340" s="1" t="n">
        <f aca="false">IF(LEN(A340&amp;"")=0,0,IF(COUNTIFS(Base!$A$7:$A$1006,A340)&gt;1,1,0))</f>
        <v>0</v>
      </c>
      <c r="N340" s="1" t="n">
        <f aca="false">IF(LEN(A340&amp;"")=0,0,IF(ABS(L340)&gt;0.005,1,0))</f>
        <v>0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customFormat="false" ht="23" hidden="false" customHeight="true" outlineLevel="0" collapsed="false">
      <c r="A341" s="1" t="str">
        <f aca="false">IF(LEN(Base!A341&amp;"")=0,"",Base!A341)</f>
        <v/>
      </c>
      <c r="B341" s="60" t="str">
        <f aca="false">IF(LEN(A341&amp;"")=0,"",Base!D341)</f>
        <v/>
      </c>
      <c r="C341" s="1" t="str">
        <f aca="false">IF(LEN(A341&amp;"")=0,"",Base!C341)</f>
        <v/>
      </c>
      <c r="D341" s="1" t="str">
        <f aca="false">IF(LEN(A341&amp;"")=0,"",Base!G341)</f>
        <v/>
      </c>
      <c r="E341" s="1" t="str">
        <f aca="false">IF(LEN(A341&amp;"")=0,"",Base!E341)</f>
        <v/>
      </c>
      <c r="F341" s="61" t="str">
        <f aca="false">IF(LEN(A341&amp;"")=0,"",IF(Base!I341="-",0,Base!I341))</f>
        <v/>
      </c>
      <c r="G341" s="61" t="str">
        <f aca="false">IF(LEN(A341&amp;"")=0,"",SUM(Base!F341,F341,Base!K341))</f>
        <v/>
      </c>
      <c r="H341" s="61" t="str">
        <f aca="false">IF(LEN(A341&amp;"")=0,"",Base!L341)</f>
        <v/>
      </c>
      <c r="I341" s="61" t="str">
        <f aca="false">IF(LEN(A341&amp;"")=0,"",G341-H341)</f>
        <v/>
      </c>
      <c r="J341" s="61" t="str">
        <f aca="false">IF(LEN(A341&amp;"")=0,"",Base!M341)</f>
        <v/>
      </c>
      <c r="K341" s="1" t="n">
        <f aca="false">IF(OR(LEN(A341&amp;"")=0,$P$3=0),0,IF(AND(B341&gt;=Painel!$B$8,B341&lt;=Painel!$G$8,OR(Painel!$L$8="Todos",C341=Painel!$L$8),OR(Painel!$Q$8="Todos",D341=Painel!$Q$8),OR(Painel!$V$8="Todas",E341=Painel!$V$8)),1,0))</f>
        <v>0</v>
      </c>
      <c r="L341" s="61" t="str">
        <f aca="false">IF(LEN(A341&amp;"")=0,"",J341-I341)</f>
        <v/>
      </c>
      <c r="M341" s="1" t="n">
        <f aca="false">IF(LEN(A341&amp;"")=0,0,IF(COUNTIFS(Base!$A$7:$A$1006,A341)&gt;1,1,0))</f>
        <v>0</v>
      </c>
      <c r="N341" s="1" t="n">
        <f aca="false">IF(LEN(A341&amp;"")=0,0,IF(ABS(L341)&gt;0.005,1,0))</f>
        <v>0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customFormat="false" ht="23" hidden="false" customHeight="true" outlineLevel="0" collapsed="false">
      <c r="A342" s="1" t="str">
        <f aca="false">IF(LEN(Base!A342&amp;"")=0,"",Base!A342)</f>
        <v/>
      </c>
      <c r="B342" s="60" t="str">
        <f aca="false">IF(LEN(A342&amp;"")=0,"",Base!D342)</f>
        <v/>
      </c>
      <c r="C342" s="1" t="str">
        <f aca="false">IF(LEN(A342&amp;"")=0,"",Base!C342)</f>
        <v/>
      </c>
      <c r="D342" s="1" t="str">
        <f aca="false">IF(LEN(A342&amp;"")=0,"",Base!G342)</f>
        <v/>
      </c>
      <c r="E342" s="1" t="str">
        <f aca="false">IF(LEN(A342&amp;"")=0,"",Base!E342)</f>
        <v/>
      </c>
      <c r="F342" s="61" t="str">
        <f aca="false">IF(LEN(A342&amp;"")=0,"",IF(Base!I342="-",0,Base!I342))</f>
        <v/>
      </c>
      <c r="G342" s="61" t="str">
        <f aca="false">IF(LEN(A342&amp;"")=0,"",SUM(Base!F342,F342,Base!K342))</f>
        <v/>
      </c>
      <c r="H342" s="61" t="str">
        <f aca="false">IF(LEN(A342&amp;"")=0,"",Base!L342)</f>
        <v/>
      </c>
      <c r="I342" s="61" t="str">
        <f aca="false">IF(LEN(A342&amp;"")=0,"",G342-H342)</f>
        <v/>
      </c>
      <c r="J342" s="61" t="str">
        <f aca="false">IF(LEN(A342&amp;"")=0,"",Base!M342)</f>
        <v/>
      </c>
      <c r="K342" s="1" t="n">
        <f aca="false">IF(OR(LEN(A342&amp;"")=0,$P$3=0),0,IF(AND(B342&gt;=Painel!$B$8,B342&lt;=Painel!$G$8,OR(Painel!$L$8="Todos",C342=Painel!$L$8),OR(Painel!$Q$8="Todos",D342=Painel!$Q$8),OR(Painel!$V$8="Todas",E342=Painel!$V$8)),1,0))</f>
        <v>0</v>
      </c>
      <c r="L342" s="61" t="str">
        <f aca="false">IF(LEN(A342&amp;"")=0,"",J342-I342)</f>
        <v/>
      </c>
      <c r="M342" s="1" t="n">
        <f aca="false">IF(LEN(A342&amp;"")=0,0,IF(COUNTIFS(Base!$A$7:$A$1006,A342)&gt;1,1,0))</f>
        <v>0</v>
      </c>
      <c r="N342" s="1" t="n">
        <f aca="false">IF(LEN(A342&amp;"")=0,0,IF(ABS(L342)&gt;0.005,1,0))</f>
        <v>0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customFormat="false" ht="23" hidden="false" customHeight="true" outlineLevel="0" collapsed="false">
      <c r="A343" s="1" t="str">
        <f aca="false">IF(LEN(Base!A343&amp;"")=0,"",Base!A343)</f>
        <v/>
      </c>
      <c r="B343" s="60" t="str">
        <f aca="false">IF(LEN(A343&amp;"")=0,"",Base!D343)</f>
        <v/>
      </c>
      <c r="C343" s="1" t="str">
        <f aca="false">IF(LEN(A343&amp;"")=0,"",Base!C343)</f>
        <v/>
      </c>
      <c r="D343" s="1" t="str">
        <f aca="false">IF(LEN(A343&amp;"")=0,"",Base!G343)</f>
        <v/>
      </c>
      <c r="E343" s="1" t="str">
        <f aca="false">IF(LEN(A343&amp;"")=0,"",Base!E343)</f>
        <v/>
      </c>
      <c r="F343" s="61" t="str">
        <f aca="false">IF(LEN(A343&amp;"")=0,"",IF(Base!I343="-",0,Base!I343))</f>
        <v/>
      </c>
      <c r="G343" s="61" t="str">
        <f aca="false">IF(LEN(A343&amp;"")=0,"",SUM(Base!F343,F343,Base!K343))</f>
        <v/>
      </c>
      <c r="H343" s="61" t="str">
        <f aca="false">IF(LEN(A343&amp;"")=0,"",Base!L343)</f>
        <v/>
      </c>
      <c r="I343" s="61" t="str">
        <f aca="false">IF(LEN(A343&amp;"")=0,"",G343-H343)</f>
        <v/>
      </c>
      <c r="J343" s="61" t="str">
        <f aca="false">IF(LEN(A343&amp;"")=0,"",Base!M343)</f>
        <v/>
      </c>
      <c r="K343" s="1" t="n">
        <f aca="false">IF(OR(LEN(A343&amp;"")=0,$P$3=0),0,IF(AND(B343&gt;=Painel!$B$8,B343&lt;=Painel!$G$8,OR(Painel!$L$8="Todos",C343=Painel!$L$8),OR(Painel!$Q$8="Todos",D343=Painel!$Q$8),OR(Painel!$V$8="Todas",E343=Painel!$V$8)),1,0))</f>
        <v>0</v>
      </c>
      <c r="L343" s="61" t="str">
        <f aca="false">IF(LEN(A343&amp;"")=0,"",J343-I343)</f>
        <v/>
      </c>
      <c r="M343" s="1" t="n">
        <f aca="false">IF(LEN(A343&amp;"")=0,0,IF(COUNTIFS(Base!$A$7:$A$1006,A343)&gt;1,1,0))</f>
        <v>0</v>
      </c>
      <c r="N343" s="1" t="n">
        <f aca="false">IF(LEN(A343&amp;"")=0,0,IF(ABS(L343)&gt;0.005,1,0))</f>
        <v>0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customFormat="false" ht="23" hidden="false" customHeight="true" outlineLevel="0" collapsed="false">
      <c r="A344" s="1" t="str">
        <f aca="false">IF(LEN(Base!A344&amp;"")=0,"",Base!A344)</f>
        <v/>
      </c>
      <c r="B344" s="60" t="str">
        <f aca="false">IF(LEN(A344&amp;"")=0,"",Base!D344)</f>
        <v/>
      </c>
      <c r="C344" s="1" t="str">
        <f aca="false">IF(LEN(A344&amp;"")=0,"",Base!C344)</f>
        <v/>
      </c>
      <c r="D344" s="1" t="str">
        <f aca="false">IF(LEN(A344&amp;"")=0,"",Base!G344)</f>
        <v/>
      </c>
      <c r="E344" s="1" t="str">
        <f aca="false">IF(LEN(A344&amp;"")=0,"",Base!E344)</f>
        <v/>
      </c>
      <c r="F344" s="61" t="str">
        <f aca="false">IF(LEN(A344&amp;"")=0,"",IF(Base!I344="-",0,Base!I344))</f>
        <v/>
      </c>
      <c r="G344" s="61" t="str">
        <f aca="false">IF(LEN(A344&amp;"")=0,"",SUM(Base!F344,F344,Base!K344))</f>
        <v/>
      </c>
      <c r="H344" s="61" t="str">
        <f aca="false">IF(LEN(A344&amp;"")=0,"",Base!L344)</f>
        <v/>
      </c>
      <c r="I344" s="61" t="str">
        <f aca="false">IF(LEN(A344&amp;"")=0,"",G344-H344)</f>
        <v/>
      </c>
      <c r="J344" s="61" t="str">
        <f aca="false">IF(LEN(A344&amp;"")=0,"",Base!M344)</f>
        <v/>
      </c>
      <c r="K344" s="1" t="n">
        <f aca="false">IF(OR(LEN(A344&amp;"")=0,$P$3=0),0,IF(AND(B344&gt;=Painel!$B$8,B344&lt;=Painel!$G$8,OR(Painel!$L$8="Todos",C344=Painel!$L$8),OR(Painel!$Q$8="Todos",D344=Painel!$Q$8),OR(Painel!$V$8="Todas",E344=Painel!$V$8)),1,0))</f>
        <v>0</v>
      </c>
      <c r="L344" s="61" t="str">
        <f aca="false">IF(LEN(A344&amp;"")=0,"",J344-I344)</f>
        <v/>
      </c>
      <c r="M344" s="1" t="n">
        <f aca="false">IF(LEN(A344&amp;"")=0,0,IF(COUNTIFS(Base!$A$7:$A$1006,A344)&gt;1,1,0))</f>
        <v>0</v>
      </c>
      <c r="N344" s="1" t="n">
        <f aca="false">IF(LEN(A344&amp;"")=0,0,IF(ABS(L344)&gt;0.005,1,0))</f>
        <v>0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customFormat="false" ht="23" hidden="false" customHeight="true" outlineLevel="0" collapsed="false">
      <c r="A345" s="1" t="str">
        <f aca="false">IF(LEN(Base!A345&amp;"")=0,"",Base!A345)</f>
        <v/>
      </c>
      <c r="B345" s="60" t="str">
        <f aca="false">IF(LEN(A345&amp;"")=0,"",Base!D345)</f>
        <v/>
      </c>
      <c r="C345" s="1" t="str">
        <f aca="false">IF(LEN(A345&amp;"")=0,"",Base!C345)</f>
        <v/>
      </c>
      <c r="D345" s="1" t="str">
        <f aca="false">IF(LEN(A345&amp;"")=0,"",Base!G345)</f>
        <v/>
      </c>
      <c r="E345" s="1" t="str">
        <f aca="false">IF(LEN(A345&amp;"")=0,"",Base!E345)</f>
        <v/>
      </c>
      <c r="F345" s="61" t="str">
        <f aca="false">IF(LEN(A345&amp;"")=0,"",IF(Base!I345="-",0,Base!I345))</f>
        <v/>
      </c>
      <c r="G345" s="61" t="str">
        <f aca="false">IF(LEN(A345&amp;"")=0,"",SUM(Base!F345,F345,Base!K345))</f>
        <v/>
      </c>
      <c r="H345" s="61" t="str">
        <f aca="false">IF(LEN(A345&amp;"")=0,"",Base!L345)</f>
        <v/>
      </c>
      <c r="I345" s="61" t="str">
        <f aca="false">IF(LEN(A345&amp;"")=0,"",G345-H345)</f>
        <v/>
      </c>
      <c r="J345" s="61" t="str">
        <f aca="false">IF(LEN(A345&amp;"")=0,"",Base!M345)</f>
        <v/>
      </c>
      <c r="K345" s="1" t="n">
        <f aca="false">IF(OR(LEN(A345&amp;"")=0,$P$3=0),0,IF(AND(B345&gt;=Painel!$B$8,B345&lt;=Painel!$G$8,OR(Painel!$L$8="Todos",C345=Painel!$L$8),OR(Painel!$Q$8="Todos",D345=Painel!$Q$8),OR(Painel!$V$8="Todas",E345=Painel!$V$8)),1,0))</f>
        <v>0</v>
      </c>
      <c r="L345" s="61" t="str">
        <f aca="false">IF(LEN(A345&amp;"")=0,"",J345-I345)</f>
        <v/>
      </c>
      <c r="M345" s="1" t="n">
        <f aca="false">IF(LEN(A345&amp;"")=0,0,IF(COUNTIFS(Base!$A$7:$A$1006,A345)&gt;1,1,0))</f>
        <v>0</v>
      </c>
      <c r="N345" s="1" t="n">
        <f aca="false">IF(LEN(A345&amp;"")=0,0,IF(ABS(L345)&gt;0.005,1,0))</f>
        <v>0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customFormat="false" ht="23" hidden="false" customHeight="true" outlineLevel="0" collapsed="false">
      <c r="A346" s="1" t="str">
        <f aca="false">IF(LEN(Base!A346&amp;"")=0,"",Base!A346)</f>
        <v/>
      </c>
      <c r="B346" s="60" t="str">
        <f aca="false">IF(LEN(A346&amp;"")=0,"",Base!D346)</f>
        <v/>
      </c>
      <c r="C346" s="1" t="str">
        <f aca="false">IF(LEN(A346&amp;"")=0,"",Base!C346)</f>
        <v/>
      </c>
      <c r="D346" s="1" t="str">
        <f aca="false">IF(LEN(A346&amp;"")=0,"",Base!G346)</f>
        <v/>
      </c>
      <c r="E346" s="1" t="str">
        <f aca="false">IF(LEN(A346&amp;"")=0,"",Base!E346)</f>
        <v/>
      </c>
      <c r="F346" s="61" t="str">
        <f aca="false">IF(LEN(A346&amp;"")=0,"",IF(Base!I346="-",0,Base!I346))</f>
        <v/>
      </c>
      <c r="G346" s="61" t="str">
        <f aca="false">IF(LEN(A346&amp;"")=0,"",SUM(Base!F346,F346,Base!K346))</f>
        <v/>
      </c>
      <c r="H346" s="61" t="str">
        <f aca="false">IF(LEN(A346&amp;"")=0,"",Base!L346)</f>
        <v/>
      </c>
      <c r="I346" s="61" t="str">
        <f aca="false">IF(LEN(A346&amp;"")=0,"",G346-H346)</f>
        <v/>
      </c>
      <c r="J346" s="61" t="str">
        <f aca="false">IF(LEN(A346&amp;"")=0,"",Base!M346)</f>
        <v/>
      </c>
      <c r="K346" s="1" t="n">
        <f aca="false">IF(OR(LEN(A346&amp;"")=0,$P$3=0),0,IF(AND(B346&gt;=Painel!$B$8,B346&lt;=Painel!$G$8,OR(Painel!$L$8="Todos",C346=Painel!$L$8),OR(Painel!$Q$8="Todos",D346=Painel!$Q$8),OR(Painel!$V$8="Todas",E346=Painel!$V$8)),1,0))</f>
        <v>0</v>
      </c>
      <c r="L346" s="61" t="str">
        <f aca="false">IF(LEN(A346&amp;"")=0,"",J346-I346)</f>
        <v/>
      </c>
      <c r="M346" s="1" t="n">
        <f aca="false">IF(LEN(A346&amp;"")=0,0,IF(COUNTIFS(Base!$A$7:$A$1006,A346)&gt;1,1,0))</f>
        <v>0</v>
      </c>
      <c r="N346" s="1" t="n">
        <f aca="false">IF(LEN(A346&amp;"")=0,0,IF(ABS(L346)&gt;0.005,1,0))</f>
        <v>0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customFormat="false" ht="23" hidden="false" customHeight="true" outlineLevel="0" collapsed="false">
      <c r="A347" s="1" t="str">
        <f aca="false">IF(LEN(Base!A347&amp;"")=0,"",Base!A347)</f>
        <v/>
      </c>
      <c r="B347" s="60" t="str">
        <f aca="false">IF(LEN(A347&amp;"")=0,"",Base!D347)</f>
        <v/>
      </c>
      <c r="C347" s="1" t="str">
        <f aca="false">IF(LEN(A347&amp;"")=0,"",Base!C347)</f>
        <v/>
      </c>
      <c r="D347" s="1" t="str">
        <f aca="false">IF(LEN(A347&amp;"")=0,"",Base!G347)</f>
        <v/>
      </c>
      <c r="E347" s="1" t="str">
        <f aca="false">IF(LEN(A347&amp;"")=0,"",Base!E347)</f>
        <v/>
      </c>
      <c r="F347" s="61" t="str">
        <f aca="false">IF(LEN(A347&amp;"")=0,"",IF(Base!I347="-",0,Base!I347))</f>
        <v/>
      </c>
      <c r="G347" s="61" t="str">
        <f aca="false">IF(LEN(A347&amp;"")=0,"",SUM(Base!F347,F347,Base!K347))</f>
        <v/>
      </c>
      <c r="H347" s="61" t="str">
        <f aca="false">IF(LEN(A347&amp;"")=0,"",Base!L347)</f>
        <v/>
      </c>
      <c r="I347" s="61" t="str">
        <f aca="false">IF(LEN(A347&amp;"")=0,"",G347-H347)</f>
        <v/>
      </c>
      <c r="J347" s="61" t="str">
        <f aca="false">IF(LEN(A347&amp;"")=0,"",Base!M347)</f>
        <v/>
      </c>
      <c r="K347" s="1" t="n">
        <f aca="false">IF(OR(LEN(A347&amp;"")=0,$P$3=0),0,IF(AND(B347&gt;=Painel!$B$8,B347&lt;=Painel!$G$8,OR(Painel!$L$8="Todos",C347=Painel!$L$8),OR(Painel!$Q$8="Todos",D347=Painel!$Q$8),OR(Painel!$V$8="Todas",E347=Painel!$V$8)),1,0))</f>
        <v>0</v>
      </c>
      <c r="L347" s="61" t="str">
        <f aca="false">IF(LEN(A347&amp;"")=0,"",J347-I347)</f>
        <v/>
      </c>
      <c r="M347" s="1" t="n">
        <f aca="false">IF(LEN(A347&amp;"")=0,0,IF(COUNTIFS(Base!$A$7:$A$1006,A347)&gt;1,1,0))</f>
        <v>0</v>
      </c>
      <c r="N347" s="1" t="n">
        <f aca="false">IF(LEN(A347&amp;"")=0,0,IF(ABS(L347)&gt;0.005,1,0))</f>
        <v>0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customFormat="false" ht="23" hidden="false" customHeight="true" outlineLevel="0" collapsed="false">
      <c r="A348" s="1" t="str">
        <f aca="false">IF(LEN(Base!A348&amp;"")=0,"",Base!A348)</f>
        <v/>
      </c>
      <c r="B348" s="60" t="str">
        <f aca="false">IF(LEN(A348&amp;"")=0,"",Base!D348)</f>
        <v/>
      </c>
      <c r="C348" s="1" t="str">
        <f aca="false">IF(LEN(A348&amp;"")=0,"",Base!C348)</f>
        <v/>
      </c>
      <c r="D348" s="1" t="str">
        <f aca="false">IF(LEN(A348&amp;"")=0,"",Base!G348)</f>
        <v/>
      </c>
      <c r="E348" s="1" t="str">
        <f aca="false">IF(LEN(A348&amp;"")=0,"",Base!E348)</f>
        <v/>
      </c>
      <c r="F348" s="61" t="str">
        <f aca="false">IF(LEN(A348&amp;"")=0,"",IF(Base!I348="-",0,Base!I348))</f>
        <v/>
      </c>
      <c r="G348" s="61" t="str">
        <f aca="false">IF(LEN(A348&amp;"")=0,"",SUM(Base!F348,F348,Base!K348))</f>
        <v/>
      </c>
      <c r="H348" s="61" t="str">
        <f aca="false">IF(LEN(A348&amp;"")=0,"",Base!L348)</f>
        <v/>
      </c>
      <c r="I348" s="61" t="str">
        <f aca="false">IF(LEN(A348&amp;"")=0,"",G348-H348)</f>
        <v/>
      </c>
      <c r="J348" s="61" t="str">
        <f aca="false">IF(LEN(A348&amp;"")=0,"",Base!M348)</f>
        <v/>
      </c>
      <c r="K348" s="1" t="n">
        <f aca="false">IF(OR(LEN(A348&amp;"")=0,$P$3=0),0,IF(AND(B348&gt;=Painel!$B$8,B348&lt;=Painel!$G$8,OR(Painel!$L$8="Todos",C348=Painel!$L$8),OR(Painel!$Q$8="Todos",D348=Painel!$Q$8),OR(Painel!$V$8="Todas",E348=Painel!$V$8)),1,0))</f>
        <v>0</v>
      </c>
      <c r="L348" s="61" t="str">
        <f aca="false">IF(LEN(A348&amp;"")=0,"",J348-I348)</f>
        <v/>
      </c>
      <c r="M348" s="1" t="n">
        <f aca="false">IF(LEN(A348&amp;"")=0,0,IF(COUNTIFS(Base!$A$7:$A$1006,A348)&gt;1,1,0))</f>
        <v>0</v>
      </c>
      <c r="N348" s="1" t="n">
        <f aca="false">IF(LEN(A348&amp;"")=0,0,IF(ABS(L348)&gt;0.005,1,0))</f>
        <v>0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customFormat="false" ht="23" hidden="false" customHeight="true" outlineLevel="0" collapsed="false">
      <c r="A349" s="1" t="str">
        <f aca="false">IF(LEN(Base!A349&amp;"")=0,"",Base!A349)</f>
        <v/>
      </c>
      <c r="B349" s="60" t="str">
        <f aca="false">IF(LEN(A349&amp;"")=0,"",Base!D349)</f>
        <v/>
      </c>
      <c r="C349" s="1" t="str">
        <f aca="false">IF(LEN(A349&amp;"")=0,"",Base!C349)</f>
        <v/>
      </c>
      <c r="D349" s="1" t="str">
        <f aca="false">IF(LEN(A349&amp;"")=0,"",Base!G349)</f>
        <v/>
      </c>
      <c r="E349" s="1" t="str">
        <f aca="false">IF(LEN(A349&amp;"")=0,"",Base!E349)</f>
        <v/>
      </c>
      <c r="F349" s="61" t="str">
        <f aca="false">IF(LEN(A349&amp;"")=0,"",IF(Base!I349="-",0,Base!I349))</f>
        <v/>
      </c>
      <c r="G349" s="61" t="str">
        <f aca="false">IF(LEN(A349&amp;"")=0,"",SUM(Base!F349,F349,Base!K349))</f>
        <v/>
      </c>
      <c r="H349" s="61" t="str">
        <f aca="false">IF(LEN(A349&amp;"")=0,"",Base!L349)</f>
        <v/>
      </c>
      <c r="I349" s="61" t="str">
        <f aca="false">IF(LEN(A349&amp;"")=0,"",G349-H349)</f>
        <v/>
      </c>
      <c r="J349" s="61" t="str">
        <f aca="false">IF(LEN(A349&amp;"")=0,"",Base!M349)</f>
        <v/>
      </c>
      <c r="K349" s="1" t="n">
        <f aca="false">IF(OR(LEN(A349&amp;"")=0,$P$3=0),0,IF(AND(B349&gt;=Painel!$B$8,B349&lt;=Painel!$G$8,OR(Painel!$L$8="Todos",C349=Painel!$L$8),OR(Painel!$Q$8="Todos",D349=Painel!$Q$8),OR(Painel!$V$8="Todas",E349=Painel!$V$8)),1,0))</f>
        <v>0</v>
      </c>
      <c r="L349" s="61" t="str">
        <f aca="false">IF(LEN(A349&amp;"")=0,"",J349-I349)</f>
        <v/>
      </c>
      <c r="M349" s="1" t="n">
        <f aca="false">IF(LEN(A349&amp;"")=0,0,IF(COUNTIFS(Base!$A$7:$A$1006,A349)&gt;1,1,0))</f>
        <v>0</v>
      </c>
      <c r="N349" s="1" t="n">
        <f aca="false">IF(LEN(A349&amp;"")=0,0,IF(ABS(L349)&gt;0.005,1,0))</f>
        <v>0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customFormat="false" ht="23" hidden="false" customHeight="true" outlineLevel="0" collapsed="false">
      <c r="A350" s="1" t="str">
        <f aca="false">IF(LEN(Base!A350&amp;"")=0,"",Base!A350)</f>
        <v/>
      </c>
      <c r="B350" s="60" t="str">
        <f aca="false">IF(LEN(A350&amp;"")=0,"",Base!D350)</f>
        <v/>
      </c>
      <c r="C350" s="1" t="str">
        <f aca="false">IF(LEN(A350&amp;"")=0,"",Base!C350)</f>
        <v/>
      </c>
      <c r="D350" s="1" t="str">
        <f aca="false">IF(LEN(A350&amp;"")=0,"",Base!G350)</f>
        <v/>
      </c>
      <c r="E350" s="1" t="str">
        <f aca="false">IF(LEN(A350&amp;"")=0,"",Base!E350)</f>
        <v/>
      </c>
      <c r="F350" s="61" t="str">
        <f aca="false">IF(LEN(A350&amp;"")=0,"",IF(Base!I350="-",0,Base!I350))</f>
        <v/>
      </c>
      <c r="G350" s="61" t="str">
        <f aca="false">IF(LEN(A350&amp;"")=0,"",SUM(Base!F350,F350,Base!K350))</f>
        <v/>
      </c>
      <c r="H350" s="61" t="str">
        <f aca="false">IF(LEN(A350&amp;"")=0,"",Base!L350)</f>
        <v/>
      </c>
      <c r="I350" s="61" t="str">
        <f aca="false">IF(LEN(A350&amp;"")=0,"",G350-H350)</f>
        <v/>
      </c>
      <c r="J350" s="61" t="str">
        <f aca="false">IF(LEN(A350&amp;"")=0,"",Base!M350)</f>
        <v/>
      </c>
      <c r="K350" s="1" t="n">
        <f aca="false">IF(OR(LEN(A350&amp;"")=0,$P$3=0),0,IF(AND(B350&gt;=Painel!$B$8,B350&lt;=Painel!$G$8,OR(Painel!$L$8="Todos",C350=Painel!$L$8),OR(Painel!$Q$8="Todos",D350=Painel!$Q$8),OR(Painel!$V$8="Todas",E350=Painel!$V$8)),1,0))</f>
        <v>0</v>
      </c>
      <c r="L350" s="61" t="str">
        <f aca="false">IF(LEN(A350&amp;"")=0,"",J350-I350)</f>
        <v/>
      </c>
      <c r="M350" s="1" t="n">
        <f aca="false">IF(LEN(A350&amp;"")=0,0,IF(COUNTIFS(Base!$A$7:$A$1006,A350)&gt;1,1,0))</f>
        <v>0</v>
      </c>
      <c r="N350" s="1" t="n">
        <f aca="false">IF(LEN(A350&amp;"")=0,0,IF(ABS(L350)&gt;0.005,1,0))</f>
        <v>0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customFormat="false" ht="23" hidden="false" customHeight="true" outlineLevel="0" collapsed="false">
      <c r="A351" s="1" t="str">
        <f aca="false">IF(LEN(Base!A351&amp;"")=0,"",Base!A351)</f>
        <v/>
      </c>
      <c r="B351" s="60" t="str">
        <f aca="false">IF(LEN(A351&amp;"")=0,"",Base!D351)</f>
        <v/>
      </c>
      <c r="C351" s="1" t="str">
        <f aca="false">IF(LEN(A351&amp;"")=0,"",Base!C351)</f>
        <v/>
      </c>
      <c r="D351" s="1" t="str">
        <f aca="false">IF(LEN(A351&amp;"")=0,"",Base!G351)</f>
        <v/>
      </c>
      <c r="E351" s="1" t="str">
        <f aca="false">IF(LEN(A351&amp;"")=0,"",Base!E351)</f>
        <v/>
      </c>
      <c r="F351" s="61" t="str">
        <f aca="false">IF(LEN(A351&amp;"")=0,"",IF(Base!I351="-",0,Base!I351))</f>
        <v/>
      </c>
      <c r="G351" s="61" t="str">
        <f aca="false">IF(LEN(A351&amp;"")=0,"",SUM(Base!F351,F351,Base!K351))</f>
        <v/>
      </c>
      <c r="H351" s="61" t="str">
        <f aca="false">IF(LEN(A351&amp;"")=0,"",Base!L351)</f>
        <v/>
      </c>
      <c r="I351" s="61" t="str">
        <f aca="false">IF(LEN(A351&amp;"")=0,"",G351-H351)</f>
        <v/>
      </c>
      <c r="J351" s="61" t="str">
        <f aca="false">IF(LEN(A351&amp;"")=0,"",Base!M351)</f>
        <v/>
      </c>
      <c r="K351" s="1" t="n">
        <f aca="false">IF(OR(LEN(A351&amp;"")=0,$P$3=0),0,IF(AND(B351&gt;=Painel!$B$8,B351&lt;=Painel!$G$8,OR(Painel!$L$8="Todos",C351=Painel!$L$8),OR(Painel!$Q$8="Todos",D351=Painel!$Q$8),OR(Painel!$V$8="Todas",E351=Painel!$V$8)),1,0))</f>
        <v>0</v>
      </c>
      <c r="L351" s="61" t="str">
        <f aca="false">IF(LEN(A351&amp;"")=0,"",J351-I351)</f>
        <v/>
      </c>
      <c r="M351" s="1" t="n">
        <f aca="false">IF(LEN(A351&amp;"")=0,0,IF(COUNTIFS(Base!$A$7:$A$1006,A351)&gt;1,1,0))</f>
        <v>0</v>
      </c>
      <c r="N351" s="1" t="n">
        <f aca="false">IF(LEN(A351&amp;"")=0,0,IF(ABS(L351)&gt;0.005,1,0))</f>
        <v>0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customFormat="false" ht="23" hidden="false" customHeight="true" outlineLevel="0" collapsed="false">
      <c r="A352" s="1" t="str">
        <f aca="false">IF(LEN(Base!A352&amp;"")=0,"",Base!A352)</f>
        <v/>
      </c>
      <c r="B352" s="60" t="str">
        <f aca="false">IF(LEN(A352&amp;"")=0,"",Base!D352)</f>
        <v/>
      </c>
      <c r="C352" s="1" t="str">
        <f aca="false">IF(LEN(A352&amp;"")=0,"",Base!C352)</f>
        <v/>
      </c>
      <c r="D352" s="1" t="str">
        <f aca="false">IF(LEN(A352&amp;"")=0,"",Base!G352)</f>
        <v/>
      </c>
      <c r="E352" s="1" t="str">
        <f aca="false">IF(LEN(A352&amp;"")=0,"",Base!E352)</f>
        <v/>
      </c>
      <c r="F352" s="61" t="str">
        <f aca="false">IF(LEN(A352&amp;"")=0,"",IF(Base!I352="-",0,Base!I352))</f>
        <v/>
      </c>
      <c r="G352" s="61" t="str">
        <f aca="false">IF(LEN(A352&amp;"")=0,"",SUM(Base!F352,F352,Base!K352))</f>
        <v/>
      </c>
      <c r="H352" s="61" t="str">
        <f aca="false">IF(LEN(A352&amp;"")=0,"",Base!L352)</f>
        <v/>
      </c>
      <c r="I352" s="61" t="str">
        <f aca="false">IF(LEN(A352&amp;"")=0,"",G352-H352)</f>
        <v/>
      </c>
      <c r="J352" s="61" t="str">
        <f aca="false">IF(LEN(A352&amp;"")=0,"",Base!M352)</f>
        <v/>
      </c>
      <c r="K352" s="1" t="n">
        <f aca="false">IF(OR(LEN(A352&amp;"")=0,$P$3=0),0,IF(AND(B352&gt;=Painel!$B$8,B352&lt;=Painel!$G$8,OR(Painel!$L$8="Todos",C352=Painel!$L$8),OR(Painel!$Q$8="Todos",D352=Painel!$Q$8),OR(Painel!$V$8="Todas",E352=Painel!$V$8)),1,0))</f>
        <v>0</v>
      </c>
      <c r="L352" s="61" t="str">
        <f aca="false">IF(LEN(A352&amp;"")=0,"",J352-I352)</f>
        <v/>
      </c>
      <c r="M352" s="1" t="n">
        <f aca="false">IF(LEN(A352&amp;"")=0,0,IF(COUNTIFS(Base!$A$7:$A$1006,A352)&gt;1,1,0))</f>
        <v>0</v>
      </c>
      <c r="N352" s="1" t="n">
        <f aca="false">IF(LEN(A352&amp;"")=0,0,IF(ABS(L352)&gt;0.005,1,0))</f>
        <v>0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customFormat="false" ht="23" hidden="false" customHeight="true" outlineLevel="0" collapsed="false">
      <c r="A353" s="1" t="str">
        <f aca="false">IF(LEN(Base!A353&amp;"")=0,"",Base!A353)</f>
        <v/>
      </c>
      <c r="B353" s="60" t="str">
        <f aca="false">IF(LEN(A353&amp;"")=0,"",Base!D353)</f>
        <v/>
      </c>
      <c r="C353" s="1" t="str">
        <f aca="false">IF(LEN(A353&amp;"")=0,"",Base!C353)</f>
        <v/>
      </c>
      <c r="D353" s="1" t="str">
        <f aca="false">IF(LEN(A353&amp;"")=0,"",Base!G353)</f>
        <v/>
      </c>
      <c r="E353" s="1" t="str">
        <f aca="false">IF(LEN(A353&amp;"")=0,"",Base!E353)</f>
        <v/>
      </c>
      <c r="F353" s="61" t="str">
        <f aca="false">IF(LEN(A353&amp;"")=0,"",IF(Base!I353="-",0,Base!I353))</f>
        <v/>
      </c>
      <c r="G353" s="61" t="str">
        <f aca="false">IF(LEN(A353&amp;"")=0,"",SUM(Base!F353,F353,Base!K353))</f>
        <v/>
      </c>
      <c r="H353" s="61" t="str">
        <f aca="false">IF(LEN(A353&amp;"")=0,"",Base!L353)</f>
        <v/>
      </c>
      <c r="I353" s="61" t="str">
        <f aca="false">IF(LEN(A353&amp;"")=0,"",G353-H353)</f>
        <v/>
      </c>
      <c r="J353" s="61" t="str">
        <f aca="false">IF(LEN(A353&amp;"")=0,"",Base!M353)</f>
        <v/>
      </c>
      <c r="K353" s="1" t="n">
        <f aca="false">IF(OR(LEN(A353&amp;"")=0,$P$3=0),0,IF(AND(B353&gt;=Painel!$B$8,B353&lt;=Painel!$G$8,OR(Painel!$L$8="Todos",C353=Painel!$L$8),OR(Painel!$Q$8="Todos",D353=Painel!$Q$8),OR(Painel!$V$8="Todas",E353=Painel!$V$8)),1,0))</f>
        <v>0</v>
      </c>
      <c r="L353" s="61" t="str">
        <f aca="false">IF(LEN(A353&amp;"")=0,"",J353-I353)</f>
        <v/>
      </c>
      <c r="M353" s="1" t="n">
        <f aca="false">IF(LEN(A353&amp;"")=0,0,IF(COUNTIFS(Base!$A$7:$A$1006,A353)&gt;1,1,0))</f>
        <v>0</v>
      </c>
      <c r="N353" s="1" t="n">
        <f aca="false">IF(LEN(A353&amp;"")=0,0,IF(ABS(L353)&gt;0.005,1,0))</f>
        <v>0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customFormat="false" ht="23" hidden="false" customHeight="true" outlineLevel="0" collapsed="false">
      <c r="A354" s="1" t="str">
        <f aca="false">IF(LEN(Base!A354&amp;"")=0,"",Base!A354)</f>
        <v/>
      </c>
      <c r="B354" s="60" t="str">
        <f aca="false">IF(LEN(A354&amp;"")=0,"",Base!D354)</f>
        <v/>
      </c>
      <c r="C354" s="1" t="str">
        <f aca="false">IF(LEN(A354&amp;"")=0,"",Base!C354)</f>
        <v/>
      </c>
      <c r="D354" s="1" t="str">
        <f aca="false">IF(LEN(A354&amp;"")=0,"",Base!G354)</f>
        <v/>
      </c>
      <c r="E354" s="1" t="str">
        <f aca="false">IF(LEN(A354&amp;"")=0,"",Base!E354)</f>
        <v/>
      </c>
      <c r="F354" s="61" t="str">
        <f aca="false">IF(LEN(A354&amp;"")=0,"",IF(Base!I354="-",0,Base!I354))</f>
        <v/>
      </c>
      <c r="G354" s="61" t="str">
        <f aca="false">IF(LEN(A354&amp;"")=0,"",SUM(Base!F354,F354,Base!K354))</f>
        <v/>
      </c>
      <c r="H354" s="61" t="str">
        <f aca="false">IF(LEN(A354&amp;"")=0,"",Base!L354)</f>
        <v/>
      </c>
      <c r="I354" s="61" t="str">
        <f aca="false">IF(LEN(A354&amp;"")=0,"",G354-H354)</f>
        <v/>
      </c>
      <c r="J354" s="61" t="str">
        <f aca="false">IF(LEN(A354&amp;"")=0,"",Base!M354)</f>
        <v/>
      </c>
      <c r="K354" s="1" t="n">
        <f aca="false">IF(OR(LEN(A354&amp;"")=0,$P$3=0),0,IF(AND(B354&gt;=Painel!$B$8,B354&lt;=Painel!$G$8,OR(Painel!$L$8="Todos",C354=Painel!$L$8),OR(Painel!$Q$8="Todos",D354=Painel!$Q$8),OR(Painel!$V$8="Todas",E354=Painel!$V$8)),1,0))</f>
        <v>0</v>
      </c>
      <c r="L354" s="61" t="str">
        <f aca="false">IF(LEN(A354&amp;"")=0,"",J354-I354)</f>
        <v/>
      </c>
      <c r="M354" s="1" t="n">
        <f aca="false">IF(LEN(A354&amp;"")=0,0,IF(COUNTIFS(Base!$A$7:$A$1006,A354)&gt;1,1,0))</f>
        <v>0</v>
      </c>
      <c r="N354" s="1" t="n">
        <f aca="false">IF(LEN(A354&amp;"")=0,0,IF(ABS(L354)&gt;0.005,1,0))</f>
        <v>0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customFormat="false" ht="23" hidden="false" customHeight="true" outlineLevel="0" collapsed="false">
      <c r="A355" s="1" t="str">
        <f aca="false">IF(LEN(Base!A355&amp;"")=0,"",Base!A355)</f>
        <v/>
      </c>
      <c r="B355" s="60" t="str">
        <f aca="false">IF(LEN(A355&amp;"")=0,"",Base!D355)</f>
        <v/>
      </c>
      <c r="C355" s="1" t="str">
        <f aca="false">IF(LEN(A355&amp;"")=0,"",Base!C355)</f>
        <v/>
      </c>
      <c r="D355" s="1" t="str">
        <f aca="false">IF(LEN(A355&amp;"")=0,"",Base!G355)</f>
        <v/>
      </c>
      <c r="E355" s="1" t="str">
        <f aca="false">IF(LEN(A355&amp;"")=0,"",Base!E355)</f>
        <v/>
      </c>
      <c r="F355" s="61" t="str">
        <f aca="false">IF(LEN(A355&amp;"")=0,"",IF(Base!I355="-",0,Base!I355))</f>
        <v/>
      </c>
      <c r="G355" s="61" t="str">
        <f aca="false">IF(LEN(A355&amp;"")=0,"",SUM(Base!F355,F355,Base!K355))</f>
        <v/>
      </c>
      <c r="H355" s="61" t="str">
        <f aca="false">IF(LEN(A355&amp;"")=0,"",Base!L355)</f>
        <v/>
      </c>
      <c r="I355" s="61" t="str">
        <f aca="false">IF(LEN(A355&amp;"")=0,"",G355-H355)</f>
        <v/>
      </c>
      <c r="J355" s="61" t="str">
        <f aca="false">IF(LEN(A355&amp;"")=0,"",Base!M355)</f>
        <v/>
      </c>
      <c r="K355" s="1" t="n">
        <f aca="false">IF(OR(LEN(A355&amp;"")=0,$P$3=0),0,IF(AND(B355&gt;=Painel!$B$8,B355&lt;=Painel!$G$8,OR(Painel!$L$8="Todos",C355=Painel!$L$8),OR(Painel!$Q$8="Todos",D355=Painel!$Q$8),OR(Painel!$V$8="Todas",E355=Painel!$V$8)),1,0))</f>
        <v>0</v>
      </c>
      <c r="L355" s="61" t="str">
        <f aca="false">IF(LEN(A355&amp;"")=0,"",J355-I355)</f>
        <v/>
      </c>
      <c r="M355" s="1" t="n">
        <f aca="false">IF(LEN(A355&amp;"")=0,0,IF(COUNTIFS(Base!$A$7:$A$1006,A355)&gt;1,1,0))</f>
        <v>0</v>
      </c>
      <c r="N355" s="1" t="n">
        <f aca="false">IF(LEN(A355&amp;"")=0,0,IF(ABS(L355)&gt;0.005,1,0))</f>
        <v>0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customFormat="false" ht="23" hidden="false" customHeight="true" outlineLevel="0" collapsed="false">
      <c r="A356" s="1" t="str">
        <f aca="false">IF(LEN(Base!A356&amp;"")=0,"",Base!A356)</f>
        <v/>
      </c>
      <c r="B356" s="60" t="str">
        <f aca="false">IF(LEN(A356&amp;"")=0,"",Base!D356)</f>
        <v/>
      </c>
      <c r="C356" s="1" t="str">
        <f aca="false">IF(LEN(A356&amp;"")=0,"",Base!C356)</f>
        <v/>
      </c>
      <c r="D356" s="1" t="str">
        <f aca="false">IF(LEN(A356&amp;"")=0,"",Base!G356)</f>
        <v/>
      </c>
      <c r="E356" s="1" t="str">
        <f aca="false">IF(LEN(A356&amp;"")=0,"",Base!E356)</f>
        <v/>
      </c>
      <c r="F356" s="61" t="str">
        <f aca="false">IF(LEN(A356&amp;"")=0,"",IF(Base!I356="-",0,Base!I356))</f>
        <v/>
      </c>
      <c r="G356" s="61" t="str">
        <f aca="false">IF(LEN(A356&amp;"")=0,"",SUM(Base!F356,F356,Base!K356))</f>
        <v/>
      </c>
      <c r="H356" s="61" t="str">
        <f aca="false">IF(LEN(A356&amp;"")=0,"",Base!L356)</f>
        <v/>
      </c>
      <c r="I356" s="61" t="str">
        <f aca="false">IF(LEN(A356&amp;"")=0,"",G356-H356)</f>
        <v/>
      </c>
      <c r="J356" s="61" t="str">
        <f aca="false">IF(LEN(A356&amp;"")=0,"",Base!M356)</f>
        <v/>
      </c>
      <c r="K356" s="1" t="n">
        <f aca="false">IF(OR(LEN(A356&amp;"")=0,$P$3=0),0,IF(AND(B356&gt;=Painel!$B$8,B356&lt;=Painel!$G$8,OR(Painel!$L$8="Todos",C356=Painel!$L$8),OR(Painel!$Q$8="Todos",D356=Painel!$Q$8),OR(Painel!$V$8="Todas",E356=Painel!$V$8)),1,0))</f>
        <v>0</v>
      </c>
      <c r="L356" s="61" t="str">
        <f aca="false">IF(LEN(A356&amp;"")=0,"",J356-I356)</f>
        <v/>
      </c>
      <c r="M356" s="1" t="n">
        <f aca="false">IF(LEN(A356&amp;"")=0,0,IF(COUNTIFS(Base!$A$7:$A$1006,A356)&gt;1,1,0))</f>
        <v>0</v>
      </c>
      <c r="N356" s="1" t="n">
        <f aca="false">IF(LEN(A356&amp;"")=0,0,IF(ABS(L356)&gt;0.005,1,0))</f>
        <v>0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customFormat="false" ht="23" hidden="false" customHeight="true" outlineLevel="0" collapsed="false">
      <c r="A357" s="1" t="str">
        <f aca="false">IF(LEN(Base!A357&amp;"")=0,"",Base!A357)</f>
        <v/>
      </c>
      <c r="B357" s="60" t="str">
        <f aca="false">IF(LEN(A357&amp;"")=0,"",Base!D357)</f>
        <v/>
      </c>
      <c r="C357" s="1" t="str">
        <f aca="false">IF(LEN(A357&amp;"")=0,"",Base!C357)</f>
        <v/>
      </c>
      <c r="D357" s="1" t="str">
        <f aca="false">IF(LEN(A357&amp;"")=0,"",Base!G357)</f>
        <v/>
      </c>
      <c r="E357" s="1" t="str">
        <f aca="false">IF(LEN(A357&amp;"")=0,"",Base!E357)</f>
        <v/>
      </c>
      <c r="F357" s="61" t="str">
        <f aca="false">IF(LEN(A357&amp;"")=0,"",IF(Base!I357="-",0,Base!I357))</f>
        <v/>
      </c>
      <c r="G357" s="61" t="str">
        <f aca="false">IF(LEN(A357&amp;"")=0,"",SUM(Base!F357,F357,Base!K357))</f>
        <v/>
      </c>
      <c r="H357" s="61" t="str">
        <f aca="false">IF(LEN(A357&amp;"")=0,"",Base!L357)</f>
        <v/>
      </c>
      <c r="I357" s="61" t="str">
        <f aca="false">IF(LEN(A357&amp;"")=0,"",G357-H357)</f>
        <v/>
      </c>
      <c r="J357" s="61" t="str">
        <f aca="false">IF(LEN(A357&amp;"")=0,"",Base!M357)</f>
        <v/>
      </c>
      <c r="K357" s="1" t="n">
        <f aca="false">IF(OR(LEN(A357&amp;"")=0,$P$3=0),0,IF(AND(B357&gt;=Painel!$B$8,B357&lt;=Painel!$G$8,OR(Painel!$L$8="Todos",C357=Painel!$L$8),OR(Painel!$Q$8="Todos",D357=Painel!$Q$8),OR(Painel!$V$8="Todas",E357=Painel!$V$8)),1,0))</f>
        <v>0</v>
      </c>
      <c r="L357" s="61" t="str">
        <f aca="false">IF(LEN(A357&amp;"")=0,"",J357-I357)</f>
        <v/>
      </c>
      <c r="M357" s="1" t="n">
        <f aca="false">IF(LEN(A357&amp;"")=0,0,IF(COUNTIFS(Base!$A$7:$A$1006,A357)&gt;1,1,0))</f>
        <v>0</v>
      </c>
      <c r="N357" s="1" t="n">
        <f aca="false">IF(LEN(A357&amp;"")=0,0,IF(ABS(L357)&gt;0.005,1,0))</f>
        <v>0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customFormat="false" ht="23" hidden="false" customHeight="true" outlineLevel="0" collapsed="false">
      <c r="A358" s="1" t="str">
        <f aca="false">IF(LEN(Base!A358&amp;"")=0,"",Base!A358)</f>
        <v/>
      </c>
      <c r="B358" s="60" t="str">
        <f aca="false">IF(LEN(A358&amp;"")=0,"",Base!D358)</f>
        <v/>
      </c>
      <c r="C358" s="1" t="str">
        <f aca="false">IF(LEN(A358&amp;"")=0,"",Base!C358)</f>
        <v/>
      </c>
      <c r="D358" s="1" t="str">
        <f aca="false">IF(LEN(A358&amp;"")=0,"",Base!G358)</f>
        <v/>
      </c>
      <c r="E358" s="1" t="str">
        <f aca="false">IF(LEN(A358&amp;"")=0,"",Base!E358)</f>
        <v/>
      </c>
      <c r="F358" s="61" t="str">
        <f aca="false">IF(LEN(A358&amp;"")=0,"",IF(Base!I358="-",0,Base!I358))</f>
        <v/>
      </c>
      <c r="G358" s="61" t="str">
        <f aca="false">IF(LEN(A358&amp;"")=0,"",SUM(Base!F358,F358,Base!K358))</f>
        <v/>
      </c>
      <c r="H358" s="61" t="str">
        <f aca="false">IF(LEN(A358&amp;"")=0,"",Base!L358)</f>
        <v/>
      </c>
      <c r="I358" s="61" t="str">
        <f aca="false">IF(LEN(A358&amp;"")=0,"",G358-H358)</f>
        <v/>
      </c>
      <c r="J358" s="61" t="str">
        <f aca="false">IF(LEN(A358&amp;"")=0,"",Base!M358)</f>
        <v/>
      </c>
      <c r="K358" s="1" t="n">
        <f aca="false">IF(OR(LEN(A358&amp;"")=0,$P$3=0),0,IF(AND(B358&gt;=Painel!$B$8,B358&lt;=Painel!$G$8,OR(Painel!$L$8="Todos",C358=Painel!$L$8),OR(Painel!$Q$8="Todos",D358=Painel!$Q$8),OR(Painel!$V$8="Todas",E358=Painel!$V$8)),1,0))</f>
        <v>0</v>
      </c>
      <c r="L358" s="61" t="str">
        <f aca="false">IF(LEN(A358&amp;"")=0,"",J358-I358)</f>
        <v/>
      </c>
      <c r="M358" s="1" t="n">
        <f aca="false">IF(LEN(A358&amp;"")=0,0,IF(COUNTIFS(Base!$A$7:$A$1006,A358)&gt;1,1,0))</f>
        <v>0</v>
      </c>
      <c r="N358" s="1" t="n">
        <f aca="false">IF(LEN(A358&amp;"")=0,0,IF(ABS(L358)&gt;0.005,1,0))</f>
        <v>0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customFormat="false" ht="23" hidden="false" customHeight="true" outlineLevel="0" collapsed="false">
      <c r="A359" s="1" t="str">
        <f aca="false">IF(LEN(Base!A359&amp;"")=0,"",Base!A359)</f>
        <v/>
      </c>
      <c r="B359" s="60" t="str">
        <f aca="false">IF(LEN(A359&amp;"")=0,"",Base!D359)</f>
        <v/>
      </c>
      <c r="C359" s="1" t="str">
        <f aca="false">IF(LEN(A359&amp;"")=0,"",Base!C359)</f>
        <v/>
      </c>
      <c r="D359" s="1" t="str">
        <f aca="false">IF(LEN(A359&amp;"")=0,"",Base!G359)</f>
        <v/>
      </c>
      <c r="E359" s="1" t="str">
        <f aca="false">IF(LEN(A359&amp;"")=0,"",Base!E359)</f>
        <v/>
      </c>
      <c r="F359" s="61" t="str">
        <f aca="false">IF(LEN(A359&amp;"")=0,"",IF(Base!I359="-",0,Base!I359))</f>
        <v/>
      </c>
      <c r="G359" s="61" t="str">
        <f aca="false">IF(LEN(A359&amp;"")=0,"",SUM(Base!F359,F359,Base!K359))</f>
        <v/>
      </c>
      <c r="H359" s="61" t="str">
        <f aca="false">IF(LEN(A359&amp;"")=0,"",Base!L359)</f>
        <v/>
      </c>
      <c r="I359" s="61" t="str">
        <f aca="false">IF(LEN(A359&amp;"")=0,"",G359-H359)</f>
        <v/>
      </c>
      <c r="J359" s="61" t="str">
        <f aca="false">IF(LEN(A359&amp;"")=0,"",Base!M359)</f>
        <v/>
      </c>
      <c r="K359" s="1" t="n">
        <f aca="false">IF(OR(LEN(A359&amp;"")=0,$P$3=0),0,IF(AND(B359&gt;=Painel!$B$8,B359&lt;=Painel!$G$8,OR(Painel!$L$8="Todos",C359=Painel!$L$8),OR(Painel!$Q$8="Todos",D359=Painel!$Q$8),OR(Painel!$V$8="Todas",E359=Painel!$V$8)),1,0))</f>
        <v>0</v>
      </c>
      <c r="L359" s="61" t="str">
        <f aca="false">IF(LEN(A359&amp;"")=0,"",J359-I359)</f>
        <v/>
      </c>
      <c r="M359" s="1" t="n">
        <f aca="false">IF(LEN(A359&amp;"")=0,0,IF(COUNTIFS(Base!$A$7:$A$1006,A359)&gt;1,1,0))</f>
        <v>0</v>
      </c>
      <c r="N359" s="1" t="n">
        <f aca="false">IF(LEN(A359&amp;"")=0,0,IF(ABS(L359)&gt;0.005,1,0))</f>
        <v>0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customFormat="false" ht="23" hidden="false" customHeight="true" outlineLevel="0" collapsed="false">
      <c r="A360" s="1" t="str">
        <f aca="false">IF(LEN(Base!A360&amp;"")=0,"",Base!A360)</f>
        <v/>
      </c>
      <c r="B360" s="60" t="str">
        <f aca="false">IF(LEN(A360&amp;"")=0,"",Base!D360)</f>
        <v/>
      </c>
      <c r="C360" s="1" t="str">
        <f aca="false">IF(LEN(A360&amp;"")=0,"",Base!C360)</f>
        <v/>
      </c>
      <c r="D360" s="1" t="str">
        <f aca="false">IF(LEN(A360&amp;"")=0,"",Base!G360)</f>
        <v/>
      </c>
      <c r="E360" s="1" t="str">
        <f aca="false">IF(LEN(A360&amp;"")=0,"",Base!E360)</f>
        <v/>
      </c>
      <c r="F360" s="61" t="str">
        <f aca="false">IF(LEN(A360&amp;"")=0,"",IF(Base!I360="-",0,Base!I360))</f>
        <v/>
      </c>
      <c r="G360" s="61" t="str">
        <f aca="false">IF(LEN(A360&amp;"")=0,"",SUM(Base!F360,F360,Base!K360))</f>
        <v/>
      </c>
      <c r="H360" s="61" t="str">
        <f aca="false">IF(LEN(A360&amp;"")=0,"",Base!L360)</f>
        <v/>
      </c>
      <c r="I360" s="61" t="str">
        <f aca="false">IF(LEN(A360&amp;"")=0,"",G360-H360)</f>
        <v/>
      </c>
      <c r="J360" s="61" t="str">
        <f aca="false">IF(LEN(A360&amp;"")=0,"",Base!M360)</f>
        <v/>
      </c>
      <c r="K360" s="1" t="n">
        <f aca="false">IF(OR(LEN(A360&amp;"")=0,$P$3=0),0,IF(AND(B360&gt;=Painel!$B$8,B360&lt;=Painel!$G$8,OR(Painel!$L$8="Todos",C360=Painel!$L$8),OR(Painel!$Q$8="Todos",D360=Painel!$Q$8),OR(Painel!$V$8="Todas",E360=Painel!$V$8)),1,0))</f>
        <v>0</v>
      </c>
      <c r="L360" s="61" t="str">
        <f aca="false">IF(LEN(A360&amp;"")=0,"",J360-I360)</f>
        <v/>
      </c>
      <c r="M360" s="1" t="n">
        <f aca="false">IF(LEN(A360&amp;"")=0,0,IF(COUNTIFS(Base!$A$7:$A$1006,A360)&gt;1,1,0))</f>
        <v>0</v>
      </c>
      <c r="N360" s="1" t="n">
        <f aca="false">IF(LEN(A360&amp;"")=0,0,IF(ABS(L360)&gt;0.005,1,0))</f>
        <v>0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customFormat="false" ht="23" hidden="false" customHeight="true" outlineLevel="0" collapsed="false">
      <c r="A361" s="1" t="str">
        <f aca="false">IF(LEN(Base!A361&amp;"")=0,"",Base!A361)</f>
        <v/>
      </c>
      <c r="B361" s="60" t="str">
        <f aca="false">IF(LEN(A361&amp;"")=0,"",Base!D361)</f>
        <v/>
      </c>
      <c r="C361" s="1" t="str">
        <f aca="false">IF(LEN(A361&amp;"")=0,"",Base!C361)</f>
        <v/>
      </c>
      <c r="D361" s="1" t="str">
        <f aca="false">IF(LEN(A361&amp;"")=0,"",Base!G361)</f>
        <v/>
      </c>
      <c r="E361" s="1" t="str">
        <f aca="false">IF(LEN(A361&amp;"")=0,"",Base!E361)</f>
        <v/>
      </c>
      <c r="F361" s="61" t="str">
        <f aca="false">IF(LEN(A361&amp;"")=0,"",IF(Base!I361="-",0,Base!I361))</f>
        <v/>
      </c>
      <c r="G361" s="61" t="str">
        <f aca="false">IF(LEN(A361&amp;"")=0,"",SUM(Base!F361,F361,Base!K361))</f>
        <v/>
      </c>
      <c r="H361" s="61" t="str">
        <f aca="false">IF(LEN(A361&amp;"")=0,"",Base!L361)</f>
        <v/>
      </c>
      <c r="I361" s="61" t="str">
        <f aca="false">IF(LEN(A361&amp;"")=0,"",G361-H361)</f>
        <v/>
      </c>
      <c r="J361" s="61" t="str">
        <f aca="false">IF(LEN(A361&amp;"")=0,"",Base!M361)</f>
        <v/>
      </c>
      <c r="K361" s="1" t="n">
        <f aca="false">IF(OR(LEN(A361&amp;"")=0,$P$3=0),0,IF(AND(B361&gt;=Painel!$B$8,B361&lt;=Painel!$G$8,OR(Painel!$L$8="Todos",C361=Painel!$L$8),OR(Painel!$Q$8="Todos",D361=Painel!$Q$8),OR(Painel!$V$8="Todas",E361=Painel!$V$8)),1,0))</f>
        <v>0</v>
      </c>
      <c r="L361" s="61" t="str">
        <f aca="false">IF(LEN(A361&amp;"")=0,"",J361-I361)</f>
        <v/>
      </c>
      <c r="M361" s="1" t="n">
        <f aca="false">IF(LEN(A361&amp;"")=0,0,IF(COUNTIFS(Base!$A$7:$A$1006,A361)&gt;1,1,0))</f>
        <v>0</v>
      </c>
      <c r="N361" s="1" t="n">
        <f aca="false">IF(LEN(A361&amp;"")=0,0,IF(ABS(L361)&gt;0.005,1,0))</f>
        <v>0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customFormat="false" ht="23" hidden="false" customHeight="true" outlineLevel="0" collapsed="false">
      <c r="A362" s="1" t="str">
        <f aca="false">IF(LEN(Base!A362&amp;"")=0,"",Base!A362)</f>
        <v/>
      </c>
      <c r="B362" s="60" t="str">
        <f aca="false">IF(LEN(A362&amp;"")=0,"",Base!D362)</f>
        <v/>
      </c>
      <c r="C362" s="1" t="str">
        <f aca="false">IF(LEN(A362&amp;"")=0,"",Base!C362)</f>
        <v/>
      </c>
      <c r="D362" s="1" t="str">
        <f aca="false">IF(LEN(A362&amp;"")=0,"",Base!G362)</f>
        <v/>
      </c>
      <c r="E362" s="1" t="str">
        <f aca="false">IF(LEN(A362&amp;"")=0,"",Base!E362)</f>
        <v/>
      </c>
      <c r="F362" s="61" t="str">
        <f aca="false">IF(LEN(A362&amp;"")=0,"",IF(Base!I362="-",0,Base!I362))</f>
        <v/>
      </c>
      <c r="G362" s="61" t="str">
        <f aca="false">IF(LEN(A362&amp;"")=0,"",SUM(Base!F362,F362,Base!K362))</f>
        <v/>
      </c>
      <c r="H362" s="61" t="str">
        <f aca="false">IF(LEN(A362&amp;"")=0,"",Base!L362)</f>
        <v/>
      </c>
      <c r="I362" s="61" t="str">
        <f aca="false">IF(LEN(A362&amp;"")=0,"",G362-H362)</f>
        <v/>
      </c>
      <c r="J362" s="61" t="str">
        <f aca="false">IF(LEN(A362&amp;"")=0,"",Base!M362)</f>
        <v/>
      </c>
      <c r="K362" s="1" t="n">
        <f aca="false">IF(OR(LEN(A362&amp;"")=0,$P$3=0),0,IF(AND(B362&gt;=Painel!$B$8,B362&lt;=Painel!$G$8,OR(Painel!$L$8="Todos",C362=Painel!$L$8),OR(Painel!$Q$8="Todos",D362=Painel!$Q$8),OR(Painel!$V$8="Todas",E362=Painel!$V$8)),1,0))</f>
        <v>0</v>
      </c>
      <c r="L362" s="61" t="str">
        <f aca="false">IF(LEN(A362&amp;"")=0,"",J362-I362)</f>
        <v/>
      </c>
      <c r="M362" s="1" t="n">
        <f aca="false">IF(LEN(A362&amp;"")=0,0,IF(COUNTIFS(Base!$A$7:$A$1006,A362)&gt;1,1,0))</f>
        <v>0</v>
      </c>
      <c r="N362" s="1" t="n">
        <f aca="false">IF(LEN(A362&amp;"")=0,0,IF(ABS(L362)&gt;0.005,1,0))</f>
        <v>0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customFormat="false" ht="23" hidden="false" customHeight="true" outlineLevel="0" collapsed="false">
      <c r="A363" s="1" t="str">
        <f aca="false">IF(LEN(Base!A363&amp;"")=0,"",Base!A363)</f>
        <v/>
      </c>
      <c r="B363" s="60" t="str">
        <f aca="false">IF(LEN(A363&amp;"")=0,"",Base!D363)</f>
        <v/>
      </c>
      <c r="C363" s="1" t="str">
        <f aca="false">IF(LEN(A363&amp;"")=0,"",Base!C363)</f>
        <v/>
      </c>
      <c r="D363" s="1" t="str">
        <f aca="false">IF(LEN(A363&amp;"")=0,"",Base!G363)</f>
        <v/>
      </c>
      <c r="E363" s="1" t="str">
        <f aca="false">IF(LEN(A363&amp;"")=0,"",Base!E363)</f>
        <v/>
      </c>
      <c r="F363" s="61" t="str">
        <f aca="false">IF(LEN(A363&amp;"")=0,"",IF(Base!I363="-",0,Base!I363))</f>
        <v/>
      </c>
      <c r="G363" s="61" t="str">
        <f aca="false">IF(LEN(A363&amp;"")=0,"",SUM(Base!F363,F363,Base!K363))</f>
        <v/>
      </c>
      <c r="H363" s="61" t="str">
        <f aca="false">IF(LEN(A363&amp;"")=0,"",Base!L363)</f>
        <v/>
      </c>
      <c r="I363" s="61" t="str">
        <f aca="false">IF(LEN(A363&amp;"")=0,"",G363-H363)</f>
        <v/>
      </c>
      <c r="J363" s="61" t="str">
        <f aca="false">IF(LEN(A363&amp;"")=0,"",Base!M363)</f>
        <v/>
      </c>
      <c r="K363" s="1" t="n">
        <f aca="false">IF(OR(LEN(A363&amp;"")=0,$P$3=0),0,IF(AND(B363&gt;=Painel!$B$8,B363&lt;=Painel!$G$8,OR(Painel!$L$8="Todos",C363=Painel!$L$8),OR(Painel!$Q$8="Todos",D363=Painel!$Q$8),OR(Painel!$V$8="Todas",E363=Painel!$V$8)),1,0))</f>
        <v>0</v>
      </c>
      <c r="L363" s="61" t="str">
        <f aca="false">IF(LEN(A363&amp;"")=0,"",J363-I363)</f>
        <v/>
      </c>
      <c r="M363" s="1" t="n">
        <f aca="false">IF(LEN(A363&amp;"")=0,0,IF(COUNTIFS(Base!$A$7:$A$1006,A363)&gt;1,1,0))</f>
        <v>0</v>
      </c>
      <c r="N363" s="1" t="n">
        <f aca="false">IF(LEN(A363&amp;"")=0,0,IF(ABS(L363)&gt;0.005,1,0))</f>
        <v>0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customFormat="false" ht="23" hidden="false" customHeight="true" outlineLevel="0" collapsed="false">
      <c r="A364" s="1" t="str">
        <f aca="false">IF(LEN(Base!A364&amp;"")=0,"",Base!A364)</f>
        <v/>
      </c>
      <c r="B364" s="60" t="str">
        <f aca="false">IF(LEN(A364&amp;"")=0,"",Base!D364)</f>
        <v/>
      </c>
      <c r="C364" s="1" t="str">
        <f aca="false">IF(LEN(A364&amp;"")=0,"",Base!C364)</f>
        <v/>
      </c>
      <c r="D364" s="1" t="str">
        <f aca="false">IF(LEN(A364&amp;"")=0,"",Base!G364)</f>
        <v/>
      </c>
      <c r="E364" s="1" t="str">
        <f aca="false">IF(LEN(A364&amp;"")=0,"",Base!E364)</f>
        <v/>
      </c>
      <c r="F364" s="61" t="str">
        <f aca="false">IF(LEN(A364&amp;"")=0,"",IF(Base!I364="-",0,Base!I364))</f>
        <v/>
      </c>
      <c r="G364" s="61" t="str">
        <f aca="false">IF(LEN(A364&amp;"")=0,"",SUM(Base!F364,F364,Base!K364))</f>
        <v/>
      </c>
      <c r="H364" s="61" t="str">
        <f aca="false">IF(LEN(A364&amp;"")=0,"",Base!L364)</f>
        <v/>
      </c>
      <c r="I364" s="61" t="str">
        <f aca="false">IF(LEN(A364&amp;"")=0,"",G364-H364)</f>
        <v/>
      </c>
      <c r="J364" s="61" t="str">
        <f aca="false">IF(LEN(A364&amp;"")=0,"",Base!M364)</f>
        <v/>
      </c>
      <c r="K364" s="1" t="n">
        <f aca="false">IF(OR(LEN(A364&amp;"")=0,$P$3=0),0,IF(AND(B364&gt;=Painel!$B$8,B364&lt;=Painel!$G$8,OR(Painel!$L$8="Todos",C364=Painel!$L$8),OR(Painel!$Q$8="Todos",D364=Painel!$Q$8),OR(Painel!$V$8="Todas",E364=Painel!$V$8)),1,0))</f>
        <v>0</v>
      </c>
      <c r="L364" s="61" t="str">
        <f aca="false">IF(LEN(A364&amp;"")=0,"",J364-I364)</f>
        <v/>
      </c>
      <c r="M364" s="1" t="n">
        <f aca="false">IF(LEN(A364&amp;"")=0,0,IF(COUNTIFS(Base!$A$7:$A$1006,A364)&gt;1,1,0))</f>
        <v>0</v>
      </c>
      <c r="N364" s="1" t="n">
        <f aca="false">IF(LEN(A364&amp;"")=0,0,IF(ABS(L364)&gt;0.005,1,0))</f>
        <v>0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customFormat="false" ht="23" hidden="false" customHeight="true" outlineLevel="0" collapsed="false">
      <c r="A365" s="1" t="str">
        <f aca="false">IF(LEN(Base!A365&amp;"")=0,"",Base!A365)</f>
        <v/>
      </c>
      <c r="B365" s="60" t="str">
        <f aca="false">IF(LEN(A365&amp;"")=0,"",Base!D365)</f>
        <v/>
      </c>
      <c r="C365" s="1" t="str">
        <f aca="false">IF(LEN(A365&amp;"")=0,"",Base!C365)</f>
        <v/>
      </c>
      <c r="D365" s="1" t="str">
        <f aca="false">IF(LEN(A365&amp;"")=0,"",Base!G365)</f>
        <v/>
      </c>
      <c r="E365" s="1" t="str">
        <f aca="false">IF(LEN(A365&amp;"")=0,"",Base!E365)</f>
        <v/>
      </c>
      <c r="F365" s="61" t="str">
        <f aca="false">IF(LEN(A365&amp;"")=0,"",IF(Base!I365="-",0,Base!I365))</f>
        <v/>
      </c>
      <c r="G365" s="61" t="str">
        <f aca="false">IF(LEN(A365&amp;"")=0,"",SUM(Base!F365,F365,Base!K365))</f>
        <v/>
      </c>
      <c r="H365" s="61" t="str">
        <f aca="false">IF(LEN(A365&amp;"")=0,"",Base!L365)</f>
        <v/>
      </c>
      <c r="I365" s="61" t="str">
        <f aca="false">IF(LEN(A365&amp;"")=0,"",G365-H365)</f>
        <v/>
      </c>
      <c r="J365" s="61" t="str">
        <f aca="false">IF(LEN(A365&amp;"")=0,"",Base!M365)</f>
        <v/>
      </c>
      <c r="K365" s="1" t="n">
        <f aca="false">IF(OR(LEN(A365&amp;"")=0,$P$3=0),0,IF(AND(B365&gt;=Painel!$B$8,B365&lt;=Painel!$G$8,OR(Painel!$L$8="Todos",C365=Painel!$L$8),OR(Painel!$Q$8="Todos",D365=Painel!$Q$8),OR(Painel!$V$8="Todas",E365=Painel!$V$8)),1,0))</f>
        <v>0</v>
      </c>
      <c r="L365" s="61" t="str">
        <f aca="false">IF(LEN(A365&amp;"")=0,"",J365-I365)</f>
        <v/>
      </c>
      <c r="M365" s="1" t="n">
        <f aca="false">IF(LEN(A365&amp;"")=0,0,IF(COUNTIFS(Base!$A$7:$A$1006,A365)&gt;1,1,0))</f>
        <v>0</v>
      </c>
      <c r="N365" s="1" t="n">
        <f aca="false">IF(LEN(A365&amp;"")=0,0,IF(ABS(L365)&gt;0.005,1,0))</f>
        <v>0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customFormat="false" ht="23" hidden="false" customHeight="true" outlineLevel="0" collapsed="false">
      <c r="A366" s="1" t="str">
        <f aca="false">IF(LEN(Base!A366&amp;"")=0,"",Base!A366)</f>
        <v/>
      </c>
      <c r="B366" s="60" t="str">
        <f aca="false">IF(LEN(A366&amp;"")=0,"",Base!D366)</f>
        <v/>
      </c>
      <c r="C366" s="1" t="str">
        <f aca="false">IF(LEN(A366&amp;"")=0,"",Base!C366)</f>
        <v/>
      </c>
      <c r="D366" s="1" t="str">
        <f aca="false">IF(LEN(A366&amp;"")=0,"",Base!G366)</f>
        <v/>
      </c>
      <c r="E366" s="1" t="str">
        <f aca="false">IF(LEN(A366&amp;"")=0,"",Base!E366)</f>
        <v/>
      </c>
      <c r="F366" s="61" t="str">
        <f aca="false">IF(LEN(A366&amp;"")=0,"",IF(Base!I366="-",0,Base!I366))</f>
        <v/>
      </c>
      <c r="G366" s="61" t="str">
        <f aca="false">IF(LEN(A366&amp;"")=0,"",SUM(Base!F366,F366,Base!K366))</f>
        <v/>
      </c>
      <c r="H366" s="61" t="str">
        <f aca="false">IF(LEN(A366&amp;"")=0,"",Base!L366)</f>
        <v/>
      </c>
      <c r="I366" s="61" t="str">
        <f aca="false">IF(LEN(A366&amp;"")=0,"",G366-H366)</f>
        <v/>
      </c>
      <c r="J366" s="61" t="str">
        <f aca="false">IF(LEN(A366&amp;"")=0,"",Base!M366)</f>
        <v/>
      </c>
      <c r="K366" s="1" t="n">
        <f aca="false">IF(OR(LEN(A366&amp;"")=0,$P$3=0),0,IF(AND(B366&gt;=Painel!$B$8,B366&lt;=Painel!$G$8,OR(Painel!$L$8="Todos",C366=Painel!$L$8),OR(Painel!$Q$8="Todos",D366=Painel!$Q$8),OR(Painel!$V$8="Todas",E366=Painel!$V$8)),1,0))</f>
        <v>0</v>
      </c>
      <c r="L366" s="61" t="str">
        <f aca="false">IF(LEN(A366&amp;"")=0,"",J366-I366)</f>
        <v/>
      </c>
      <c r="M366" s="1" t="n">
        <f aca="false">IF(LEN(A366&amp;"")=0,0,IF(COUNTIFS(Base!$A$7:$A$1006,A366)&gt;1,1,0))</f>
        <v>0</v>
      </c>
      <c r="N366" s="1" t="n">
        <f aca="false">IF(LEN(A366&amp;"")=0,0,IF(ABS(L366)&gt;0.005,1,0))</f>
        <v>0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customFormat="false" ht="23" hidden="false" customHeight="true" outlineLevel="0" collapsed="false">
      <c r="A367" s="1" t="str">
        <f aca="false">IF(LEN(Base!A367&amp;"")=0,"",Base!A367)</f>
        <v/>
      </c>
      <c r="B367" s="60" t="str">
        <f aca="false">IF(LEN(A367&amp;"")=0,"",Base!D367)</f>
        <v/>
      </c>
      <c r="C367" s="1" t="str">
        <f aca="false">IF(LEN(A367&amp;"")=0,"",Base!C367)</f>
        <v/>
      </c>
      <c r="D367" s="1" t="str">
        <f aca="false">IF(LEN(A367&amp;"")=0,"",Base!G367)</f>
        <v/>
      </c>
      <c r="E367" s="1" t="str">
        <f aca="false">IF(LEN(A367&amp;"")=0,"",Base!E367)</f>
        <v/>
      </c>
      <c r="F367" s="61" t="str">
        <f aca="false">IF(LEN(A367&amp;"")=0,"",IF(Base!I367="-",0,Base!I367))</f>
        <v/>
      </c>
      <c r="G367" s="61" t="str">
        <f aca="false">IF(LEN(A367&amp;"")=0,"",SUM(Base!F367,F367,Base!K367))</f>
        <v/>
      </c>
      <c r="H367" s="61" t="str">
        <f aca="false">IF(LEN(A367&amp;"")=0,"",Base!L367)</f>
        <v/>
      </c>
      <c r="I367" s="61" t="str">
        <f aca="false">IF(LEN(A367&amp;"")=0,"",G367-H367)</f>
        <v/>
      </c>
      <c r="J367" s="61" t="str">
        <f aca="false">IF(LEN(A367&amp;"")=0,"",Base!M367)</f>
        <v/>
      </c>
      <c r="K367" s="1" t="n">
        <f aca="false">IF(OR(LEN(A367&amp;"")=0,$P$3=0),0,IF(AND(B367&gt;=Painel!$B$8,B367&lt;=Painel!$G$8,OR(Painel!$L$8="Todos",C367=Painel!$L$8),OR(Painel!$Q$8="Todos",D367=Painel!$Q$8),OR(Painel!$V$8="Todas",E367=Painel!$V$8)),1,0))</f>
        <v>0</v>
      </c>
      <c r="L367" s="61" t="str">
        <f aca="false">IF(LEN(A367&amp;"")=0,"",J367-I367)</f>
        <v/>
      </c>
      <c r="M367" s="1" t="n">
        <f aca="false">IF(LEN(A367&amp;"")=0,0,IF(COUNTIFS(Base!$A$7:$A$1006,A367)&gt;1,1,0))</f>
        <v>0</v>
      </c>
      <c r="N367" s="1" t="n">
        <f aca="false">IF(LEN(A367&amp;"")=0,0,IF(ABS(L367)&gt;0.005,1,0))</f>
        <v>0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customFormat="false" ht="23" hidden="false" customHeight="true" outlineLevel="0" collapsed="false">
      <c r="A368" s="1" t="str">
        <f aca="false">IF(LEN(Base!A368&amp;"")=0,"",Base!A368)</f>
        <v/>
      </c>
      <c r="B368" s="60" t="str">
        <f aca="false">IF(LEN(A368&amp;"")=0,"",Base!D368)</f>
        <v/>
      </c>
      <c r="C368" s="1" t="str">
        <f aca="false">IF(LEN(A368&amp;"")=0,"",Base!C368)</f>
        <v/>
      </c>
      <c r="D368" s="1" t="str">
        <f aca="false">IF(LEN(A368&amp;"")=0,"",Base!G368)</f>
        <v/>
      </c>
      <c r="E368" s="1" t="str">
        <f aca="false">IF(LEN(A368&amp;"")=0,"",Base!E368)</f>
        <v/>
      </c>
      <c r="F368" s="61" t="str">
        <f aca="false">IF(LEN(A368&amp;"")=0,"",IF(Base!I368="-",0,Base!I368))</f>
        <v/>
      </c>
      <c r="G368" s="61" t="str">
        <f aca="false">IF(LEN(A368&amp;"")=0,"",SUM(Base!F368,F368,Base!K368))</f>
        <v/>
      </c>
      <c r="H368" s="61" t="str">
        <f aca="false">IF(LEN(A368&amp;"")=0,"",Base!L368)</f>
        <v/>
      </c>
      <c r="I368" s="61" t="str">
        <f aca="false">IF(LEN(A368&amp;"")=0,"",G368-H368)</f>
        <v/>
      </c>
      <c r="J368" s="61" t="str">
        <f aca="false">IF(LEN(A368&amp;"")=0,"",Base!M368)</f>
        <v/>
      </c>
      <c r="K368" s="1" t="n">
        <f aca="false">IF(OR(LEN(A368&amp;"")=0,$P$3=0),0,IF(AND(B368&gt;=Painel!$B$8,B368&lt;=Painel!$G$8,OR(Painel!$L$8="Todos",C368=Painel!$L$8),OR(Painel!$Q$8="Todos",D368=Painel!$Q$8),OR(Painel!$V$8="Todas",E368=Painel!$V$8)),1,0))</f>
        <v>0</v>
      </c>
      <c r="L368" s="61" t="str">
        <f aca="false">IF(LEN(A368&amp;"")=0,"",J368-I368)</f>
        <v/>
      </c>
      <c r="M368" s="1" t="n">
        <f aca="false">IF(LEN(A368&amp;"")=0,0,IF(COUNTIFS(Base!$A$7:$A$1006,A368)&gt;1,1,0))</f>
        <v>0</v>
      </c>
      <c r="N368" s="1" t="n">
        <f aca="false">IF(LEN(A368&amp;"")=0,0,IF(ABS(L368)&gt;0.005,1,0))</f>
        <v>0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customFormat="false" ht="23" hidden="false" customHeight="true" outlineLevel="0" collapsed="false">
      <c r="A369" s="1" t="str">
        <f aca="false">IF(LEN(Base!A369&amp;"")=0,"",Base!A369)</f>
        <v/>
      </c>
      <c r="B369" s="60" t="str">
        <f aca="false">IF(LEN(A369&amp;"")=0,"",Base!D369)</f>
        <v/>
      </c>
      <c r="C369" s="1" t="str">
        <f aca="false">IF(LEN(A369&amp;"")=0,"",Base!C369)</f>
        <v/>
      </c>
      <c r="D369" s="1" t="str">
        <f aca="false">IF(LEN(A369&amp;"")=0,"",Base!G369)</f>
        <v/>
      </c>
      <c r="E369" s="1" t="str">
        <f aca="false">IF(LEN(A369&amp;"")=0,"",Base!E369)</f>
        <v/>
      </c>
      <c r="F369" s="61" t="str">
        <f aca="false">IF(LEN(A369&amp;"")=0,"",IF(Base!I369="-",0,Base!I369))</f>
        <v/>
      </c>
      <c r="G369" s="61" t="str">
        <f aca="false">IF(LEN(A369&amp;"")=0,"",SUM(Base!F369,F369,Base!K369))</f>
        <v/>
      </c>
      <c r="H369" s="61" t="str">
        <f aca="false">IF(LEN(A369&amp;"")=0,"",Base!L369)</f>
        <v/>
      </c>
      <c r="I369" s="61" t="str">
        <f aca="false">IF(LEN(A369&amp;"")=0,"",G369-H369)</f>
        <v/>
      </c>
      <c r="J369" s="61" t="str">
        <f aca="false">IF(LEN(A369&amp;"")=0,"",Base!M369)</f>
        <v/>
      </c>
      <c r="K369" s="1" t="n">
        <f aca="false">IF(OR(LEN(A369&amp;"")=0,$P$3=0),0,IF(AND(B369&gt;=Painel!$B$8,B369&lt;=Painel!$G$8,OR(Painel!$L$8="Todos",C369=Painel!$L$8),OR(Painel!$Q$8="Todos",D369=Painel!$Q$8),OR(Painel!$V$8="Todas",E369=Painel!$V$8)),1,0))</f>
        <v>0</v>
      </c>
      <c r="L369" s="61" t="str">
        <f aca="false">IF(LEN(A369&amp;"")=0,"",J369-I369)</f>
        <v/>
      </c>
      <c r="M369" s="1" t="n">
        <f aca="false">IF(LEN(A369&amp;"")=0,0,IF(COUNTIFS(Base!$A$7:$A$1006,A369)&gt;1,1,0))</f>
        <v>0</v>
      </c>
      <c r="N369" s="1" t="n">
        <f aca="false">IF(LEN(A369&amp;"")=0,0,IF(ABS(L369)&gt;0.005,1,0))</f>
        <v>0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customFormat="false" ht="23" hidden="false" customHeight="true" outlineLevel="0" collapsed="false">
      <c r="A370" s="1" t="str">
        <f aca="false">IF(LEN(Base!A370&amp;"")=0,"",Base!A370)</f>
        <v/>
      </c>
      <c r="B370" s="60" t="str">
        <f aca="false">IF(LEN(A370&amp;"")=0,"",Base!D370)</f>
        <v/>
      </c>
      <c r="C370" s="1" t="str">
        <f aca="false">IF(LEN(A370&amp;"")=0,"",Base!C370)</f>
        <v/>
      </c>
      <c r="D370" s="1" t="str">
        <f aca="false">IF(LEN(A370&amp;"")=0,"",Base!G370)</f>
        <v/>
      </c>
      <c r="E370" s="1" t="str">
        <f aca="false">IF(LEN(A370&amp;"")=0,"",Base!E370)</f>
        <v/>
      </c>
      <c r="F370" s="61" t="str">
        <f aca="false">IF(LEN(A370&amp;"")=0,"",IF(Base!I370="-",0,Base!I370))</f>
        <v/>
      </c>
      <c r="G370" s="61" t="str">
        <f aca="false">IF(LEN(A370&amp;"")=0,"",SUM(Base!F370,F370,Base!K370))</f>
        <v/>
      </c>
      <c r="H370" s="61" t="str">
        <f aca="false">IF(LEN(A370&amp;"")=0,"",Base!L370)</f>
        <v/>
      </c>
      <c r="I370" s="61" t="str">
        <f aca="false">IF(LEN(A370&amp;"")=0,"",G370-H370)</f>
        <v/>
      </c>
      <c r="J370" s="61" t="str">
        <f aca="false">IF(LEN(A370&amp;"")=0,"",Base!M370)</f>
        <v/>
      </c>
      <c r="K370" s="1" t="n">
        <f aca="false">IF(OR(LEN(A370&amp;"")=0,$P$3=0),0,IF(AND(B370&gt;=Painel!$B$8,B370&lt;=Painel!$G$8,OR(Painel!$L$8="Todos",C370=Painel!$L$8),OR(Painel!$Q$8="Todos",D370=Painel!$Q$8),OR(Painel!$V$8="Todas",E370=Painel!$V$8)),1,0))</f>
        <v>0</v>
      </c>
      <c r="L370" s="61" t="str">
        <f aca="false">IF(LEN(A370&amp;"")=0,"",J370-I370)</f>
        <v/>
      </c>
      <c r="M370" s="1" t="n">
        <f aca="false">IF(LEN(A370&amp;"")=0,0,IF(COUNTIFS(Base!$A$7:$A$1006,A370)&gt;1,1,0))</f>
        <v>0</v>
      </c>
      <c r="N370" s="1" t="n">
        <f aca="false">IF(LEN(A370&amp;"")=0,0,IF(ABS(L370)&gt;0.005,1,0))</f>
        <v>0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customFormat="false" ht="23" hidden="false" customHeight="true" outlineLevel="0" collapsed="false">
      <c r="A371" s="1" t="str">
        <f aca="false">IF(LEN(Base!A371&amp;"")=0,"",Base!A371)</f>
        <v/>
      </c>
      <c r="B371" s="60" t="str">
        <f aca="false">IF(LEN(A371&amp;"")=0,"",Base!D371)</f>
        <v/>
      </c>
      <c r="C371" s="1" t="str">
        <f aca="false">IF(LEN(A371&amp;"")=0,"",Base!C371)</f>
        <v/>
      </c>
      <c r="D371" s="1" t="str">
        <f aca="false">IF(LEN(A371&amp;"")=0,"",Base!G371)</f>
        <v/>
      </c>
      <c r="E371" s="1" t="str">
        <f aca="false">IF(LEN(A371&amp;"")=0,"",Base!E371)</f>
        <v/>
      </c>
      <c r="F371" s="61" t="str">
        <f aca="false">IF(LEN(A371&amp;"")=0,"",IF(Base!I371="-",0,Base!I371))</f>
        <v/>
      </c>
      <c r="G371" s="61" t="str">
        <f aca="false">IF(LEN(A371&amp;"")=0,"",SUM(Base!F371,F371,Base!K371))</f>
        <v/>
      </c>
      <c r="H371" s="61" t="str">
        <f aca="false">IF(LEN(A371&amp;"")=0,"",Base!L371)</f>
        <v/>
      </c>
      <c r="I371" s="61" t="str">
        <f aca="false">IF(LEN(A371&amp;"")=0,"",G371-H371)</f>
        <v/>
      </c>
      <c r="J371" s="61" t="str">
        <f aca="false">IF(LEN(A371&amp;"")=0,"",Base!M371)</f>
        <v/>
      </c>
      <c r="K371" s="1" t="n">
        <f aca="false">IF(OR(LEN(A371&amp;"")=0,$P$3=0),0,IF(AND(B371&gt;=Painel!$B$8,B371&lt;=Painel!$G$8,OR(Painel!$L$8="Todos",C371=Painel!$L$8),OR(Painel!$Q$8="Todos",D371=Painel!$Q$8),OR(Painel!$V$8="Todas",E371=Painel!$V$8)),1,0))</f>
        <v>0</v>
      </c>
      <c r="L371" s="61" t="str">
        <f aca="false">IF(LEN(A371&amp;"")=0,"",J371-I371)</f>
        <v/>
      </c>
      <c r="M371" s="1" t="n">
        <f aca="false">IF(LEN(A371&amp;"")=0,0,IF(COUNTIFS(Base!$A$7:$A$1006,A371)&gt;1,1,0))</f>
        <v>0</v>
      </c>
      <c r="N371" s="1" t="n">
        <f aca="false">IF(LEN(A371&amp;"")=0,0,IF(ABS(L371)&gt;0.005,1,0))</f>
        <v>0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customFormat="false" ht="23" hidden="false" customHeight="true" outlineLevel="0" collapsed="false">
      <c r="A372" s="1" t="str">
        <f aca="false">IF(LEN(Base!A372&amp;"")=0,"",Base!A372)</f>
        <v/>
      </c>
      <c r="B372" s="60" t="str">
        <f aca="false">IF(LEN(A372&amp;"")=0,"",Base!D372)</f>
        <v/>
      </c>
      <c r="C372" s="1" t="str">
        <f aca="false">IF(LEN(A372&amp;"")=0,"",Base!C372)</f>
        <v/>
      </c>
      <c r="D372" s="1" t="str">
        <f aca="false">IF(LEN(A372&amp;"")=0,"",Base!G372)</f>
        <v/>
      </c>
      <c r="E372" s="1" t="str">
        <f aca="false">IF(LEN(A372&amp;"")=0,"",Base!E372)</f>
        <v/>
      </c>
      <c r="F372" s="61" t="str">
        <f aca="false">IF(LEN(A372&amp;"")=0,"",IF(Base!I372="-",0,Base!I372))</f>
        <v/>
      </c>
      <c r="G372" s="61" t="str">
        <f aca="false">IF(LEN(A372&amp;"")=0,"",SUM(Base!F372,F372,Base!K372))</f>
        <v/>
      </c>
      <c r="H372" s="61" t="str">
        <f aca="false">IF(LEN(A372&amp;"")=0,"",Base!L372)</f>
        <v/>
      </c>
      <c r="I372" s="61" t="str">
        <f aca="false">IF(LEN(A372&amp;"")=0,"",G372-H372)</f>
        <v/>
      </c>
      <c r="J372" s="61" t="str">
        <f aca="false">IF(LEN(A372&amp;"")=0,"",Base!M372)</f>
        <v/>
      </c>
      <c r="K372" s="1" t="n">
        <f aca="false">IF(OR(LEN(A372&amp;"")=0,$P$3=0),0,IF(AND(B372&gt;=Painel!$B$8,B372&lt;=Painel!$G$8,OR(Painel!$L$8="Todos",C372=Painel!$L$8),OR(Painel!$Q$8="Todos",D372=Painel!$Q$8),OR(Painel!$V$8="Todas",E372=Painel!$V$8)),1,0))</f>
        <v>0</v>
      </c>
      <c r="L372" s="61" t="str">
        <f aca="false">IF(LEN(A372&amp;"")=0,"",J372-I372)</f>
        <v/>
      </c>
      <c r="M372" s="1" t="n">
        <f aca="false">IF(LEN(A372&amp;"")=0,0,IF(COUNTIFS(Base!$A$7:$A$1006,A372)&gt;1,1,0))</f>
        <v>0</v>
      </c>
      <c r="N372" s="1" t="n">
        <f aca="false">IF(LEN(A372&amp;"")=0,0,IF(ABS(L372)&gt;0.005,1,0))</f>
        <v>0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customFormat="false" ht="23" hidden="false" customHeight="true" outlineLevel="0" collapsed="false">
      <c r="A373" s="1" t="str">
        <f aca="false">IF(LEN(Base!A373&amp;"")=0,"",Base!A373)</f>
        <v/>
      </c>
      <c r="B373" s="60" t="str">
        <f aca="false">IF(LEN(A373&amp;"")=0,"",Base!D373)</f>
        <v/>
      </c>
      <c r="C373" s="1" t="str">
        <f aca="false">IF(LEN(A373&amp;"")=0,"",Base!C373)</f>
        <v/>
      </c>
      <c r="D373" s="1" t="str">
        <f aca="false">IF(LEN(A373&amp;"")=0,"",Base!G373)</f>
        <v/>
      </c>
      <c r="E373" s="1" t="str">
        <f aca="false">IF(LEN(A373&amp;"")=0,"",Base!E373)</f>
        <v/>
      </c>
      <c r="F373" s="61" t="str">
        <f aca="false">IF(LEN(A373&amp;"")=0,"",IF(Base!I373="-",0,Base!I373))</f>
        <v/>
      </c>
      <c r="G373" s="61" t="str">
        <f aca="false">IF(LEN(A373&amp;"")=0,"",SUM(Base!F373,F373,Base!K373))</f>
        <v/>
      </c>
      <c r="H373" s="61" t="str">
        <f aca="false">IF(LEN(A373&amp;"")=0,"",Base!L373)</f>
        <v/>
      </c>
      <c r="I373" s="61" t="str">
        <f aca="false">IF(LEN(A373&amp;"")=0,"",G373-H373)</f>
        <v/>
      </c>
      <c r="J373" s="61" t="str">
        <f aca="false">IF(LEN(A373&amp;"")=0,"",Base!M373)</f>
        <v/>
      </c>
      <c r="K373" s="1" t="n">
        <f aca="false">IF(OR(LEN(A373&amp;"")=0,$P$3=0),0,IF(AND(B373&gt;=Painel!$B$8,B373&lt;=Painel!$G$8,OR(Painel!$L$8="Todos",C373=Painel!$L$8),OR(Painel!$Q$8="Todos",D373=Painel!$Q$8),OR(Painel!$V$8="Todas",E373=Painel!$V$8)),1,0))</f>
        <v>0</v>
      </c>
      <c r="L373" s="61" t="str">
        <f aca="false">IF(LEN(A373&amp;"")=0,"",J373-I373)</f>
        <v/>
      </c>
      <c r="M373" s="1" t="n">
        <f aca="false">IF(LEN(A373&amp;"")=0,0,IF(COUNTIFS(Base!$A$7:$A$1006,A373)&gt;1,1,0))</f>
        <v>0</v>
      </c>
      <c r="N373" s="1" t="n">
        <f aca="false">IF(LEN(A373&amp;"")=0,0,IF(ABS(L373)&gt;0.005,1,0))</f>
        <v>0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customFormat="false" ht="23" hidden="false" customHeight="true" outlineLevel="0" collapsed="false">
      <c r="A374" s="1" t="str">
        <f aca="false">IF(LEN(Base!A374&amp;"")=0,"",Base!A374)</f>
        <v/>
      </c>
      <c r="B374" s="60" t="str">
        <f aca="false">IF(LEN(A374&amp;"")=0,"",Base!D374)</f>
        <v/>
      </c>
      <c r="C374" s="1" t="str">
        <f aca="false">IF(LEN(A374&amp;"")=0,"",Base!C374)</f>
        <v/>
      </c>
      <c r="D374" s="1" t="str">
        <f aca="false">IF(LEN(A374&amp;"")=0,"",Base!G374)</f>
        <v/>
      </c>
      <c r="E374" s="1" t="str">
        <f aca="false">IF(LEN(A374&amp;"")=0,"",Base!E374)</f>
        <v/>
      </c>
      <c r="F374" s="61" t="str">
        <f aca="false">IF(LEN(A374&amp;"")=0,"",IF(Base!I374="-",0,Base!I374))</f>
        <v/>
      </c>
      <c r="G374" s="61" t="str">
        <f aca="false">IF(LEN(A374&amp;"")=0,"",SUM(Base!F374,F374,Base!K374))</f>
        <v/>
      </c>
      <c r="H374" s="61" t="str">
        <f aca="false">IF(LEN(A374&amp;"")=0,"",Base!L374)</f>
        <v/>
      </c>
      <c r="I374" s="61" t="str">
        <f aca="false">IF(LEN(A374&amp;"")=0,"",G374-H374)</f>
        <v/>
      </c>
      <c r="J374" s="61" t="str">
        <f aca="false">IF(LEN(A374&amp;"")=0,"",Base!M374)</f>
        <v/>
      </c>
      <c r="K374" s="1" t="n">
        <f aca="false">IF(OR(LEN(A374&amp;"")=0,$P$3=0),0,IF(AND(B374&gt;=Painel!$B$8,B374&lt;=Painel!$G$8,OR(Painel!$L$8="Todos",C374=Painel!$L$8),OR(Painel!$Q$8="Todos",D374=Painel!$Q$8),OR(Painel!$V$8="Todas",E374=Painel!$V$8)),1,0))</f>
        <v>0</v>
      </c>
      <c r="L374" s="61" t="str">
        <f aca="false">IF(LEN(A374&amp;"")=0,"",J374-I374)</f>
        <v/>
      </c>
      <c r="M374" s="1" t="n">
        <f aca="false">IF(LEN(A374&amp;"")=0,0,IF(COUNTIFS(Base!$A$7:$A$1006,A374)&gt;1,1,0))</f>
        <v>0</v>
      </c>
      <c r="N374" s="1" t="n">
        <f aca="false">IF(LEN(A374&amp;"")=0,0,IF(ABS(L374)&gt;0.005,1,0))</f>
        <v>0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customFormat="false" ht="23" hidden="false" customHeight="true" outlineLevel="0" collapsed="false">
      <c r="A375" s="1" t="str">
        <f aca="false">IF(LEN(Base!A375&amp;"")=0,"",Base!A375)</f>
        <v/>
      </c>
      <c r="B375" s="60" t="str">
        <f aca="false">IF(LEN(A375&amp;"")=0,"",Base!D375)</f>
        <v/>
      </c>
      <c r="C375" s="1" t="str">
        <f aca="false">IF(LEN(A375&amp;"")=0,"",Base!C375)</f>
        <v/>
      </c>
      <c r="D375" s="1" t="str">
        <f aca="false">IF(LEN(A375&amp;"")=0,"",Base!G375)</f>
        <v/>
      </c>
      <c r="E375" s="1" t="str">
        <f aca="false">IF(LEN(A375&amp;"")=0,"",Base!E375)</f>
        <v/>
      </c>
      <c r="F375" s="61" t="str">
        <f aca="false">IF(LEN(A375&amp;"")=0,"",IF(Base!I375="-",0,Base!I375))</f>
        <v/>
      </c>
      <c r="G375" s="61" t="str">
        <f aca="false">IF(LEN(A375&amp;"")=0,"",SUM(Base!F375,F375,Base!K375))</f>
        <v/>
      </c>
      <c r="H375" s="61" t="str">
        <f aca="false">IF(LEN(A375&amp;"")=0,"",Base!L375)</f>
        <v/>
      </c>
      <c r="I375" s="61" t="str">
        <f aca="false">IF(LEN(A375&amp;"")=0,"",G375-H375)</f>
        <v/>
      </c>
      <c r="J375" s="61" t="str">
        <f aca="false">IF(LEN(A375&amp;"")=0,"",Base!M375)</f>
        <v/>
      </c>
      <c r="K375" s="1" t="n">
        <f aca="false">IF(OR(LEN(A375&amp;"")=0,$P$3=0),0,IF(AND(B375&gt;=Painel!$B$8,B375&lt;=Painel!$G$8,OR(Painel!$L$8="Todos",C375=Painel!$L$8),OR(Painel!$Q$8="Todos",D375=Painel!$Q$8),OR(Painel!$V$8="Todas",E375=Painel!$V$8)),1,0))</f>
        <v>0</v>
      </c>
      <c r="L375" s="61" t="str">
        <f aca="false">IF(LEN(A375&amp;"")=0,"",J375-I375)</f>
        <v/>
      </c>
      <c r="M375" s="1" t="n">
        <f aca="false">IF(LEN(A375&amp;"")=0,0,IF(COUNTIFS(Base!$A$7:$A$1006,A375)&gt;1,1,0))</f>
        <v>0</v>
      </c>
      <c r="N375" s="1" t="n">
        <f aca="false">IF(LEN(A375&amp;"")=0,0,IF(ABS(L375)&gt;0.005,1,0))</f>
        <v>0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customFormat="false" ht="23" hidden="false" customHeight="true" outlineLevel="0" collapsed="false">
      <c r="A376" s="1" t="str">
        <f aca="false">IF(LEN(Base!A376&amp;"")=0,"",Base!A376)</f>
        <v/>
      </c>
      <c r="B376" s="60" t="str">
        <f aca="false">IF(LEN(A376&amp;"")=0,"",Base!D376)</f>
        <v/>
      </c>
      <c r="C376" s="1" t="str">
        <f aca="false">IF(LEN(A376&amp;"")=0,"",Base!C376)</f>
        <v/>
      </c>
      <c r="D376" s="1" t="str">
        <f aca="false">IF(LEN(A376&amp;"")=0,"",Base!G376)</f>
        <v/>
      </c>
      <c r="E376" s="1" t="str">
        <f aca="false">IF(LEN(A376&amp;"")=0,"",Base!E376)</f>
        <v/>
      </c>
      <c r="F376" s="61" t="str">
        <f aca="false">IF(LEN(A376&amp;"")=0,"",IF(Base!I376="-",0,Base!I376))</f>
        <v/>
      </c>
      <c r="G376" s="61" t="str">
        <f aca="false">IF(LEN(A376&amp;"")=0,"",SUM(Base!F376,F376,Base!K376))</f>
        <v/>
      </c>
      <c r="H376" s="61" t="str">
        <f aca="false">IF(LEN(A376&amp;"")=0,"",Base!L376)</f>
        <v/>
      </c>
      <c r="I376" s="61" t="str">
        <f aca="false">IF(LEN(A376&amp;"")=0,"",G376-H376)</f>
        <v/>
      </c>
      <c r="J376" s="61" t="str">
        <f aca="false">IF(LEN(A376&amp;"")=0,"",Base!M376)</f>
        <v/>
      </c>
      <c r="K376" s="1" t="n">
        <f aca="false">IF(OR(LEN(A376&amp;"")=0,$P$3=0),0,IF(AND(B376&gt;=Painel!$B$8,B376&lt;=Painel!$G$8,OR(Painel!$L$8="Todos",C376=Painel!$L$8),OR(Painel!$Q$8="Todos",D376=Painel!$Q$8),OR(Painel!$V$8="Todas",E376=Painel!$V$8)),1,0))</f>
        <v>0</v>
      </c>
      <c r="L376" s="61" t="str">
        <f aca="false">IF(LEN(A376&amp;"")=0,"",J376-I376)</f>
        <v/>
      </c>
      <c r="M376" s="1" t="n">
        <f aca="false">IF(LEN(A376&amp;"")=0,0,IF(COUNTIFS(Base!$A$7:$A$1006,A376)&gt;1,1,0))</f>
        <v>0</v>
      </c>
      <c r="N376" s="1" t="n">
        <f aca="false">IF(LEN(A376&amp;"")=0,0,IF(ABS(L376)&gt;0.005,1,0))</f>
        <v>0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customFormat="false" ht="23" hidden="false" customHeight="true" outlineLevel="0" collapsed="false">
      <c r="A377" s="1" t="str">
        <f aca="false">IF(LEN(Base!A377&amp;"")=0,"",Base!A377)</f>
        <v/>
      </c>
      <c r="B377" s="60" t="str">
        <f aca="false">IF(LEN(A377&amp;"")=0,"",Base!D377)</f>
        <v/>
      </c>
      <c r="C377" s="1" t="str">
        <f aca="false">IF(LEN(A377&amp;"")=0,"",Base!C377)</f>
        <v/>
      </c>
      <c r="D377" s="1" t="str">
        <f aca="false">IF(LEN(A377&amp;"")=0,"",Base!G377)</f>
        <v/>
      </c>
      <c r="E377" s="1" t="str">
        <f aca="false">IF(LEN(A377&amp;"")=0,"",Base!E377)</f>
        <v/>
      </c>
      <c r="F377" s="61" t="str">
        <f aca="false">IF(LEN(A377&amp;"")=0,"",IF(Base!I377="-",0,Base!I377))</f>
        <v/>
      </c>
      <c r="G377" s="61" t="str">
        <f aca="false">IF(LEN(A377&amp;"")=0,"",SUM(Base!F377,F377,Base!K377))</f>
        <v/>
      </c>
      <c r="H377" s="61" t="str">
        <f aca="false">IF(LEN(A377&amp;"")=0,"",Base!L377)</f>
        <v/>
      </c>
      <c r="I377" s="61" t="str">
        <f aca="false">IF(LEN(A377&amp;"")=0,"",G377-H377)</f>
        <v/>
      </c>
      <c r="J377" s="61" t="str">
        <f aca="false">IF(LEN(A377&amp;"")=0,"",Base!M377)</f>
        <v/>
      </c>
      <c r="K377" s="1" t="n">
        <f aca="false">IF(OR(LEN(A377&amp;"")=0,$P$3=0),0,IF(AND(B377&gt;=Painel!$B$8,B377&lt;=Painel!$G$8,OR(Painel!$L$8="Todos",C377=Painel!$L$8),OR(Painel!$Q$8="Todos",D377=Painel!$Q$8),OR(Painel!$V$8="Todas",E377=Painel!$V$8)),1,0))</f>
        <v>0</v>
      </c>
      <c r="L377" s="61" t="str">
        <f aca="false">IF(LEN(A377&amp;"")=0,"",J377-I377)</f>
        <v/>
      </c>
      <c r="M377" s="1" t="n">
        <f aca="false">IF(LEN(A377&amp;"")=0,0,IF(COUNTIFS(Base!$A$7:$A$1006,A377)&gt;1,1,0))</f>
        <v>0</v>
      </c>
      <c r="N377" s="1" t="n">
        <f aca="false">IF(LEN(A377&amp;"")=0,0,IF(ABS(L377)&gt;0.005,1,0))</f>
        <v>0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customFormat="false" ht="23" hidden="false" customHeight="true" outlineLevel="0" collapsed="false">
      <c r="A378" s="1" t="str">
        <f aca="false">IF(LEN(Base!A378&amp;"")=0,"",Base!A378)</f>
        <v/>
      </c>
      <c r="B378" s="60" t="str">
        <f aca="false">IF(LEN(A378&amp;"")=0,"",Base!D378)</f>
        <v/>
      </c>
      <c r="C378" s="1" t="str">
        <f aca="false">IF(LEN(A378&amp;"")=0,"",Base!C378)</f>
        <v/>
      </c>
      <c r="D378" s="1" t="str">
        <f aca="false">IF(LEN(A378&amp;"")=0,"",Base!G378)</f>
        <v/>
      </c>
      <c r="E378" s="1" t="str">
        <f aca="false">IF(LEN(A378&amp;"")=0,"",Base!E378)</f>
        <v/>
      </c>
      <c r="F378" s="61" t="str">
        <f aca="false">IF(LEN(A378&amp;"")=0,"",IF(Base!I378="-",0,Base!I378))</f>
        <v/>
      </c>
      <c r="G378" s="61" t="str">
        <f aca="false">IF(LEN(A378&amp;"")=0,"",SUM(Base!F378,F378,Base!K378))</f>
        <v/>
      </c>
      <c r="H378" s="61" t="str">
        <f aca="false">IF(LEN(A378&amp;"")=0,"",Base!L378)</f>
        <v/>
      </c>
      <c r="I378" s="61" t="str">
        <f aca="false">IF(LEN(A378&amp;"")=0,"",G378-H378)</f>
        <v/>
      </c>
      <c r="J378" s="61" t="str">
        <f aca="false">IF(LEN(A378&amp;"")=0,"",Base!M378)</f>
        <v/>
      </c>
      <c r="K378" s="1" t="n">
        <f aca="false">IF(OR(LEN(A378&amp;"")=0,$P$3=0),0,IF(AND(B378&gt;=Painel!$B$8,B378&lt;=Painel!$G$8,OR(Painel!$L$8="Todos",C378=Painel!$L$8),OR(Painel!$Q$8="Todos",D378=Painel!$Q$8),OR(Painel!$V$8="Todas",E378=Painel!$V$8)),1,0))</f>
        <v>0</v>
      </c>
      <c r="L378" s="61" t="str">
        <f aca="false">IF(LEN(A378&amp;"")=0,"",J378-I378)</f>
        <v/>
      </c>
      <c r="M378" s="1" t="n">
        <f aca="false">IF(LEN(A378&amp;"")=0,0,IF(COUNTIFS(Base!$A$7:$A$1006,A378)&gt;1,1,0))</f>
        <v>0</v>
      </c>
      <c r="N378" s="1" t="n">
        <f aca="false">IF(LEN(A378&amp;"")=0,0,IF(ABS(L378)&gt;0.005,1,0))</f>
        <v>0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customFormat="false" ht="23" hidden="false" customHeight="true" outlineLevel="0" collapsed="false">
      <c r="A379" s="1" t="str">
        <f aca="false">IF(LEN(Base!A379&amp;"")=0,"",Base!A379)</f>
        <v/>
      </c>
      <c r="B379" s="60" t="str">
        <f aca="false">IF(LEN(A379&amp;"")=0,"",Base!D379)</f>
        <v/>
      </c>
      <c r="C379" s="1" t="str">
        <f aca="false">IF(LEN(A379&amp;"")=0,"",Base!C379)</f>
        <v/>
      </c>
      <c r="D379" s="1" t="str">
        <f aca="false">IF(LEN(A379&amp;"")=0,"",Base!G379)</f>
        <v/>
      </c>
      <c r="E379" s="1" t="str">
        <f aca="false">IF(LEN(A379&amp;"")=0,"",Base!E379)</f>
        <v/>
      </c>
      <c r="F379" s="61" t="str">
        <f aca="false">IF(LEN(A379&amp;"")=0,"",IF(Base!I379="-",0,Base!I379))</f>
        <v/>
      </c>
      <c r="G379" s="61" t="str">
        <f aca="false">IF(LEN(A379&amp;"")=0,"",SUM(Base!F379,F379,Base!K379))</f>
        <v/>
      </c>
      <c r="H379" s="61" t="str">
        <f aca="false">IF(LEN(A379&amp;"")=0,"",Base!L379)</f>
        <v/>
      </c>
      <c r="I379" s="61" t="str">
        <f aca="false">IF(LEN(A379&amp;"")=0,"",G379-H379)</f>
        <v/>
      </c>
      <c r="J379" s="61" t="str">
        <f aca="false">IF(LEN(A379&amp;"")=0,"",Base!M379)</f>
        <v/>
      </c>
      <c r="K379" s="1" t="n">
        <f aca="false">IF(OR(LEN(A379&amp;"")=0,$P$3=0),0,IF(AND(B379&gt;=Painel!$B$8,B379&lt;=Painel!$G$8,OR(Painel!$L$8="Todos",C379=Painel!$L$8),OR(Painel!$Q$8="Todos",D379=Painel!$Q$8),OR(Painel!$V$8="Todas",E379=Painel!$V$8)),1,0))</f>
        <v>0</v>
      </c>
      <c r="L379" s="61" t="str">
        <f aca="false">IF(LEN(A379&amp;"")=0,"",J379-I379)</f>
        <v/>
      </c>
      <c r="M379" s="1" t="n">
        <f aca="false">IF(LEN(A379&amp;"")=0,0,IF(COUNTIFS(Base!$A$7:$A$1006,A379)&gt;1,1,0))</f>
        <v>0</v>
      </c>
      <c r="N379" s="1" t="n">
        <f aca="false">IF(LEN(A379&amp;"")=0,0,IF(ABS(L379)&gt;0.005,1,0))</f>
        <v>0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customFormat="false" ht="23" hidden="false" customHeight="true" outlineLevel="0" collapsed="false">
      <c r="A380" s="1" t="str">
        <f aca="false">IF(LEN(Base!A380&amp;"")=0,"",Base!A380)</f>
        <v/>
      </c>
      <c r="B380" s="60" t="str">
        <f aca="false">IF(LEN(A380&amp;"")=0,"",Base!D380)</f>
        <v/>
      </c>
      <c r="C380" s="1" t="str">
        <f aca="false">IF(LEN(A380&amp;"")=0,"",Base!C380)</f>
        <v/>
      </c>
      <c r="D380" s="1" t="str">
        <f aca="false">IF(LEN(A380&amp;"")=0,"",Base!G380)</f>
        <v/>
      </c>
      <c r="E380" s="1" t="str">
        <f aca="false">IF(LEN(A380&amp;"")=0,"",Base!E380)</f>
        <v/>
      </c>
      <c r="F380" s="61" t="str">
        <f aca="false">IF(LEN(A380&amp;"")=0,"",IF(Base!I380="-",0,Base!I380))</f>
        <v/>
      </c>
      <c r="G380" s="61" t="str">
        <f aca="false">IF(LEN(A380&amp;"")=0,"",SUM(Base!F380,F380,Base!K380))</f>
        <v/>
      </c>
      <c r="H380" s="61" t="str">
        <f aca="false">IF(LEN(A380&amp;"")=0,"",Base!L380)</f>
        <v/>
      </c>
      <c r="I380" s="61" t="str">
        <f aca="false">IF(LEN(A380&amp;"")=0,"",G380-H380)</f>
        <v/>
      </c>
      <c r="J380" s="61" t="str">
        <f aca="false">IF(LEN(A380&amp;"")=0,"",Base!M380)</f>
        <v/>
      </c>
      <c r="K380" s="1" t="n">
        <f aca="false">IF(OR(LEN(A380&amp;"")=0,$P$3=0),0,IF(AND(B380&gt;=Painel!$B$8,B380&lt;=Painel!$G$8,OR(Painel!$L$8="Todos",C380=Painel!$L$8),OR(Painel!$Q$8="Todos",D380=Painel!$Q$8),OR(Painel!$V$8="Todas",E380=Painel!$V$8)),1,0))</f>
        <v>0</v>
      </c>
      <c r="L380" s="61" t="str">
        <f aca="false">IF(LEN(A380&amp;"")=0,"",J380-I380)</f>
        <v/>
      </c>
      <c r="M380" s="1" t="n">
        <f aca="false">IF(LEN(A380&amp;"")=0,0,IF(COUNTIFS(Base!$A$7:$A$1006,A380)&gt;1,1,0))</f>
        <v>0</v>
      </c>
      <c r="N380" s="1" t="n">
        <f aca="false">IF(LEN(A380&amp;"")=0,0,IF(ABS(L380)&gt;0.005,1,0))</f>
        <v>0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customFormat="false" ht="23" hidden="false" customHeight="true" outlineLevel="0" collapsed="false">
      <c r="A381" s="1" t="str">
        <f aca="false">IF(LEN(Base!A381&amp;"")=0,"",Base!A381)</f>
        <v/>
      </c>
      <c r="B381" s="60" t="str">
        <f aca="false">IF(LEN(A381&amp;"")=0,"",Base!D381)</f>
        <v/>
      </c>
      <c r="C381" s="1" t="str">
        <f aca="false">IF(LEN(A381&amp;"")=0,"",Base!C381)</f>
        <v/>
      </c>
      <c r="D381" s="1" t="str">
        <f aca="false">IF(LEN(A381&amp;"")=0,"",Base!G381)</f>
        <v/>
      </c>
      <c r="E381" s="1" t="str">
        <f aca="false">IF(LEN(A381&amp;"")=0,"",Base!E381)</f>
        <v/>
      </c>
      <c r="F381" s="61" t="str">
        <f aca="false">IF(LEN(A381&amp;"")=0,"",IF(Base!I381="-",0,Base!I381))</f>
        <v/>
      </c>
      <c r="G381" s="61" t="str">
        <f aca="false">IF(LEN(A381&amp;"")=0,"",SUM(Base!F381,F381,Base!K381))</f>
        <v/>
      </c>
      <c r="H381" s="61" t="str">
        <f aca="false">IF(LEN(A381&amp;"")=0,"",Base!L381)</f>
        <v/>
      </c>
      <c r="I381" s="61" t="str">
        <f aca="false">IF(LEN(A381&amp;"")=0,"",G381-H381)</f>
        <v/>
      </c>
      <c r="J381" s="61" t="str">
        <f aca="false">IF(LEN(A381&amp;"")=0,"",Base!M381)</f>
        <v/>
      </c>
      <c r="K381" s="1" t="n">
        <f aca="false">IF(OR(LEN(A381&amp;"")=0,$P$3=0),0,IF(AND(B381&gt;=Painel!$B$8,B381&lt;=Painel!$G$8,OR(Painel!$L$8="Todos",C381=Painel!$L$8),OR(Painel!$Q$8="Todos",D381=Painel!$Q$8),OR(Painel!$V$8="Todas",E381=Painel!$V$8)),1,0))</f>
        <v>0</v>
      </c>
      <c r="L381" s="61" t="str">
        <f aca="false">IF(LEN(A381&amp;"")=0,"",J381-I381)</f>
        <v/>
      </c>
      <c r="M381" s="1" t="n">
        <f aca="false">IF(LEN(A381&amp;"")=0,0,IF(COUNTIFS(Base!$A$7:$A$1006,A381)&gt;1,1,0))</f>
        <v>0</v>
      </c>
      <c r="N381" s="1" t="n">
        <f aca="false">IF(LEN(A381&amp;"")=0,0,IF(ABS(L381)&gt;0.005,1,0))</f>
        <v>0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customFormat="false" ht="23" hidden="false" customHeight="true" outlineLevel="0" collapsed="false">
      <c r="A382" s="1" t="str">
        <f aca="false">IF(LEN(Base!A382&amp;"")=0,"",Base!A382)</f>
        <v/>
      </c>
      <c r="B382" s="60" t="str">
        <f aca="false">IF(LEN(A382&amp;"")=0,"",Base!D382)</f>
        <v/>
      </c>
      <c r="C382" s="1" t="str">
        <f aca="false">IF(LEN(A382&amp;"")=0,"",Base!C382)</f>
        <v/>
      </c>
      <c r="D382" s="1" t="str">
        <f aca="false">IF(LEN(A382&amp;"")=0,"",Base!G382)</f>
        <v/>
      </c>
      <c r="E382" s="1" t="str">
        <f aca="false">IF(LEN(A382&amp;"")=0,"",Base!E382)</f>
        <v/>
      </c>
      <c r="F382" s="61" t="str">
        <f aca="false">IF(LEN(A382&amp;"")=0,"",IF(Base!I382="-",0,Base!I382))</f>
        <v/>
      </c>
      <c r="G382" s="61" t="str">
        <f aca="false">IF(LEN(A382&amp;"")=0,"",SUM(Base!F382,F382,Base!K382))</f>
        <v/>
      </c>
      <c r="H382" s="61" t="str">
        <f aca="false">IF(LEN(A382&amp;"")=0,"",Base!L382)</f>
        <v/>
      </c>
      <c r="I382" s="61" t="str">
        <f aca="false">IF(LEN(A382&amp;"")=0,"",G382-H382)</f>
        <v/>
      </c>
      <c r="J382" s="61" t="str">
        <f aca="false">IF(LEN(A382&amp;"")=0,"",Base!M382)</f>
        <v/>
      </c>
      <c r="K382" s="1" t="n">
        <f aca="false">IF(OR(LEN(A382&amp;"")=0,$P$3=0),0,IF(AND(B382&gt;=Painel!$B$8,B382&lt;=Painel!$G$8,OR(Painel!$L$8="Todos",C382=Painel!$L$8),OR(Painel!$Q$8="Todos",D382=Painel!$Q$8),OR(Painel!$V$8="Todas",E382=Painel!$V$8)),1,0))</f>
        <v>0</v>
      </c>
      <c r="L382" s="61" t="str">
        <f aca="false">IF(LEN(A382&amp;"")=0,"",J382-I382)</f>
        <v/>
      </c>
      <c r="M382" s="1" t="n">
        <f aca="false">IF(LEN(A382&amp;"")=0,0,IF(COUNTIFS(Base!$A$7:$A$1006,A382)&gt;1,1,0))</f>
        <v>0</v>
      </c>
      <c r="N382" s="1" t="n">
        <f aca="false">IF(LEN(A382&amp;"")=0,0,IF(ABS(L382)&gt;0.005,1,0))</f>
        <v>0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customFormat="false" ht="23" hidden="false" customHeight="true" outlineLevel="0" collapsed="false">
      <c r="A383" s="1" t="str">
        <f aca="false">IF(LEN(Base!A383&amp;"")=0,"",Base!A383)</f>
        <v/>
      </c>
      <c r="B383" s="60" t="str">
        <f aca="false">IF(LEN(A383&amp;"")=0,"",Base!D383)</f>
        <v/>
      </c>
      <c r="C383" s="1" t="str">
        <f aca="false">IF(LEN(A383&amp;"")=0,"",Base!C383)</f>
        <v/>
      </c>
      <c r="D383" s="1" t="str">
        <f aca="false">IF(LEN(A383&amp;"")=0,"",Base!G383)</f>
        <v/>
      </c>
      <c r="E383" s="1" t="str">
        <f aca="false">IF(LEN(A383&amp;"")=0,"",Base!E383)</f>
        <v/>
      </c>
      <c r="F383" s="61" t="str">
        <f aca="false">IF(LEN(A383&amp;"")=0,"",IF(Base!I383="-",0,Base!I383))</f>
        <v/>
      </c>
      <c r="G383" s="61" t="str">
        <f aca="false">IF(LEN(A383&amp;"")=0,"",SUM(Base!F383,F383,Base!K383))</f>
        <v/>
      </c>
      <c r="H383" s="61" t="str">
        <f aca="false">IF(LEN(A383&amp;"")=0,"",Base!L383)</f>
        <v/>
      </c>
      <c r="I383" s="61" t="str">
        <f aca="false">IF(LEN(A383&amp;"")=0,"",G383-H383)</f>
        <v/>
      </c>
      <c r="J383" s="61" t="str">
        <f aca="false">IF(LEN(A383&amp;"")=0,"",Base!M383)</f>
        <v/>
      </c>
      <c r="K383" s="1" t="n">
        <f aca="false">IF(OR(LEN(A383&amp;"")=0,$P$3=0),0,IF(AND(B383&gt;=Painel!$B$8,B383&lt;=Painel!$G$8,OR(Painel!$L$8="Todos",C383=Painel!$L$8),OR(Painel!$Q$8="Todos",D383=Painel!$Q$8),OR(Painel!$V$8="Todas",E383=Painel!$V$8)),1,0))</f>
        <v>0</v>
      </c>
      <c r="L383" s="61" t="str">
        <f aca="false">IF(LEN(A383&amp;"")=0,"",J383-I383)</f>
        <v/>
      </c>
      <c r="M383" s="1" t="n">
        <f aca="false">IF(LEN(A383&amp;"")=0,0,IF(COUNTIFS(Base!$A$7:$A$1006,A383)&gt;1,1,0))</f>
        <v>0</v>
      </c>
      <c r="N383" s="1" t="n">
        <f aca="false">IF(LEN(A383&amp;"")=0,0,IF(ABS(L383)&gt;0.005,1,0))</f>
        <v>0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customFormat="false" ht="23" hidden="false" customHeight="true" outlineLevel="0" collapsed="false">
      <c r="A384" s="1" t="str">
        <f aca="false">IF(LEN(Base!A384&amp;"")=0,"",Base!A384)</f>
        <v/>
      </c>
      <c r="B384" s="60" t="str">
        <f aca="false">IF(LEN(A384&amp;"")=0,"",Base!D384)</f>
        <v/>
      </c>
      <c r="C384" s="1" t="str">
        <f aca="false">IF(LEN(A384&amp;"")=0,"",Base!C384)</f>
        <v/>
      </c>
      <c r="D384" s="1" t="str">
        <f aca="false">IF(LEN(A384&amp;"")=0,"",Base!G384)</f>
        <v/>
      </c>
      <c r="E384" s="1" t="str">
        <f aca="false">IF(LEN(A384&amp;"")=0,"",Base!E384)</f>
        <v/>
      </c>
      <c r="F384" s="61" t="str">
        <f aca="false">IF(LEN(A384&amp;"")=0,"",IF(Base!I384="-",0,Base!I384))</f>
        <v/>
      </c>
      <c r="G384" s="61" t="str">
        <f aca="false">IF(LEN(A384&amp;"")=0,"",SUM(Base!F384,F384,Base!K384))</f>
        <v/>
      </c>
      <c r="H384" s="61" t="str">
        <f aca="false">IF(LEN(A384&amp;"")=0,"",Base!L384)</f>
        <v/>
      </c>
      <c r="I384" s="61" t="str">
        <f aca="false">IF(LEN(A384&amp;"")=0,"",G384-H384)</f>
        <v/>
      </c>
      <c r="J384" s="61" t="str">
        <f aca="false">IF(LEN(A384&amp;"")=0,"",Base!M384)</f>
        <v/>
      </c>
      <c r="K384" s="1" t="n">
        <f aca="false">IF(OR(LEN(A384&amp;"")=0,$P$3=0),0,IF(AND(B384&gt;=Painel!$B$8,B384&lt;=Painel!$G$8,OR(Painel!$L$8="Todos",C384=Painel!$L$8),OR(Painel!$Q$8="Todos",D384=Painel!$Q$8),OR(Painel!$V$8="Todas",E384=Painel!$V$8)),1,0))</f>
        <v>0</v>
      </c>
      <c r="L384" s="61" t="str">
        <f aca="false">IF(LEN(A384&amp;"")=0,"",J384-I384)</f>
        <v/>
      </c>
      <c r="M384" s="1" t="n">
        <f aca="false">IF(LEN(A384&amp;"")=0,0,IF(COUNTIFS(Base!$A$7:$A$1006,A384)&gt;1,1,0))</f>
        <v>0</v>
      </c>
      <c r="N384" s="1" t="n">
        <f aca="false">IF(LEN(A384&amp;"")=0,0,IF(ABS(L384)&gt;0.005,1,0))</f>
        <v>0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customFormat="false" ht="23" hidden="false" customHeight="true" outlineLevel="0" collapsed="false">
      <c r="A385" s="1" t="str">
        <f aca="false">IF(LEN(Base!A385&amp;"")=0,"",Base!A385)</f>
        <v/>
      </c>
      <c r="B385" s="60" t="str">
        <f aca="false">IF(LEN(A385&amp;"")=0,"",Base!D385)</f>
        <v/>
      </c>
      <c r="C385" s="1" t="str">
        <f aca="false">IF(LEN(A385&amp;"")=0,"",Base!C385)</f>
        <v/>
      </c>
      <c r="D385" s="1" t="str">
        <f aca="false">IF(LEN(A385&amp;"")=0,"",Base!G385)</f>
        <v/>
      </c>
      <c r="E385" s="1" t="str">
        <f aca="false">IF(LEN(A385&amp;"")=0,"",Base!E385)</f>
        <v/>
      </c>
      <c r="F385" s="61" t="str">
        <f aca="false">IF(LEN(A385&amp;"")=0,"",IF(Base!I385="-",0,Base!I385))</f>
        <v/>
      </c>
      <c r="G385" s="61" t="str">
        <f aca="false">IF(LEN(A385&amp;"")=0,"",SUM(Base!F385,F385,Base!K385))</f>
        <v/>
      </c>
      <c r="H385" s="61" t="str">
        <f aca="false">IF(LEN(A385&amp;"")=0,"",Base!L385)</f>
        <v/>
      </c>
      <c r="I385" s="61" t="str">
        <f aca="false">IF(LEN(A385&amp;"")=0,"",G385-H385)</f>
        <v/>
      </c>
      <c r="J385" s="61" t="str">
        <f aca="false">IF(LEN(A385&amp;"")=0,"",Base!M385)</f>
        <v/>
      </c>
      <c r="K385" s="1" t="n">
        <f aca="false">IF(OR(LEN(A385&amp;"")=0,$P$3=0),0,IF(AND(B385&gt;=Painel!$B$8,B385&lt;=Painel!$G$8,OR(Painel!$L$8="Todos",C385=Painel!$L$8),OR(Painel!$Q$8="Todos",D385=Painel!$Q$8),OR(Painel!$V$8="Todas",E385=Painel!$V$8)),1,0))</f>
        <v>0</v>
      </c>
      <c r="L385" s="61" t="str">
        <f aca="false">IF(LEN(A385&amp;"")=0,"",J385-I385)</f>
        <v/>
      </c>
      <c r="M385" s="1" t="n">
        <f aca="false">IF(LEN(A385&amp;"")=0,0,IF(COUNTIFS(Base!$A$7:$A$1006,A385)&gt;1,1,0))</f>
        <v>0</v>
      </c>
      <c r="N385" s="1" t="n">
        <f aca="false">IF(LEN(A385&amp;"")=0,0,IF(ABS(L385)&gt;0.005,1,0))</f>
        <v>0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customFormat="false" ht="23" hidden="false" customHeight="true" outlineLevel="0" collapsed="false">
      <c r="A386" s="1" t="str">
        <f aca="false">IF(LEN(Base!A386&amp;"")=0,"",Base!A386)</f>
        <v/>
      </c>
      <c r="B386" s="60" t="str">
        <f aca="false">IF(LEN(A386&amp;"")=0,"",Base!D386)</f>
        <v/>
      </c>
      <c r="C386" s="1" t="str">
        <f aca="false">IF(LEN(A386&amp;"")=0,"",Base!C386)</f>
        <v/>
      </c>
      <c r="D386" s="1" t="str">
        <f aca="false">IF(LEN(A386&amp;"")=0,"",Base!G386)</f>
        <v/>
      </c>
      <c r="E386" s="1" t="str">
        <f aca="false">IF(LEN(A386&amp;"")=0,"",Base!E386)</f>
        <v/>
      </c>
      <c r="F386" s="61" t="str">
        <f aca="false">IF(LEN(A386&amp;"")=0,"",IF(Base!I386="-",0,Base!I386))</f>
        <v/>
      </c>
      <c r="G386" s="61" t="str">
        <f aca="false">IF(LEN(A386&amp;"")=0,"",SUM(Base!F386,F386,Base!K386))</f>
        <v/>
      </c>
      <c r="H386" s="61" t="str">
        <f aca="false">IF(LEN(A386&amp;"")=0,"",Base!L386)</f>
        <v/>
      </c>
      <c r="I386" s="61" t="str">
        <f aca="false">IF(LEN(A386&amp;"")=0,"",G386-H386)</f>
        <v/>
      </c>
      <c r="J386" s="61" t="str">
        <f aca="false">IF(LEN(A386&amp;"")=0,"",Base!M386)</f>
        <v/>
      </c>
      <c r="K386" s="1" t="n">
        <f aca="false">IF(OR(LEN(A386&amp;"")=0,$P$3=0),0,IF(AND(B386&gt;=Painel!$B$8,B386&lt;=Painel!$G$8,OR(Painel!$L$8="Todos",C386=Painel!$L$8),OR(Painel!$Q$8="Todos",D386=Painel!$Q$8),OR(Painel!$V$8="Todas",E386=Painel!$V$8)),1,0))</f>
        <v>0</v>
      </c>
      <c r="L386" s="61" t="str">
        <f aca="false">IF(LEN(A386&amp;"")=0,"",J386-I386)</f>
        <v/>
      </c>
      <c r="M386" s="1" t="n">
        <f aca="false">IF(LEN(A386&amp;"")=0,0,IF(COUNTIFS(Base!$A$7:$A$1006,A386)&gt;1,1,0))</f>
        <v>0</v>
      </c>
      <c r="N386" s="1" t="n">
        <f aca="false">IF(LEN(A386&amp;"")=0,0,IF(ABS(L386)&gt;0.005,1,0))</f>
        <v>0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customFormat="false" ht="23" hidden="false" customHeight="true" outlineLevel="0" collapsed="false">
      <c r="A387" s="1" t="str">
        <f aca="false">IF(LEN(Base!A387&amp;"")=0,"",Base!A387)</f>
        <v/>
      </c>
      <c r="B387" s="60" t="str">
        <f aca="false">IF(LEN(A387&amp;"")=0,"",Base!D387)</f>
        <v/>
      </c>
      <c r="C387" s="1" t="str">
        <f aca="false">IF(LEN(A387&amp;"")=0,"",Base!C387)</f>
        <v/>
      </c>
      <c r="D387" s="1" t="str">
        <f aca="false">IF(LEN(A387&amp;"")=0,"",Base!G387)</f>
        <v/>
      </c>
      <c r="E387" s="1" t="str">
        <f aca="false">IF(LEN(A387&amp;"")=0,"",Base!E387)</f>
        <v/>
      </c>
      <c r="F387" s="61" t="str">
        <f aca="false">IF(LEN(A387&amp;"")=0,"",IF(Base!I387="-",0,Base!I387))</f>
        <v/>
      </c>
      <c r="G387" s="61" t="str">
        <f aca="false">IF(LEN(A387&amp;"")=0,"",SUM(Base!F387,F387,Base!K387))</f>
        <v/>
      </c>
      <c r="H387" s="61" t="str">
        <f aca="false">IF(LEN(A387&amp;"")=0,"",Base!L387)</f>
        <v/>
      </c>
      <c r="I387" s="61" t="str">
        <f aca="false">IF(LEN(A387&amp;"")=0,"",G387-H387)</f>
        <v/>
      </c>
      <c r="J387" s="61" t="str">
        <f aca="false">IF(LEN(A387&amp;"")=0,"",Base!M387)</f>
        <v/>
      </c>
      <c r="K387" s="1" t="n">
        <f aca="false">IF(OR(LEN(A387&amp;"")=0,$P$3=0),0,IF(AND(B387&gt;=Painel!$B$8,B387&lt;=Painel!$G$8,OR(Painel!$L$8="Todos",C387=Painel!$L$8),OR(Painel!$Q$8="Todos",D387=Painel!$Q$8),OR(Painel!$V$8="Todas",E387=Painel!$V$8)),1,0))</f>
        <v>0</v>
      </c>
      <c r="L387" s="61" t="str">
        <f aca="false">IF(LEN(A387&amp;"")=0,"",J387-I387)</f>
        <v/>
      </c>
      <c r="M387" s="1" t="n">
        <f aca="false">IF(LEN(A387&amp;"")=0,0,IF(COUNTIFS(Base!$A$7:$A$1006,A387)&gt;1,1,0))</f>
        <v>0</v>
      </c>
      <c r="N387" s="1" t="n">
        <f aca="false">IF(LEN(A387&amp;"")=0,0,IF(ABS(L387)&gt;0.005,1,0))</f>
        <v>0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customFormat="false" ht="23" hidden="false" customHeight="true" outlineLevel="0" collapsed="false">
      <c r="A388" s="1" t="str">
        <f aca="false">IF(LEN(Base!A388&amp;"")=0,"",Base!A388)</f>
        <v/>
      </c>
      <c r="B388" s="60" t="str">
        <f aca="false">IF(LEN(A388&amp;"")=0,"",Base!D388)</f>
        <v/>
      </c>
      <c r="C388" s="1" t="str">
        <f aca="false">IF(LEN(A388&amp;"")=0,"",Base!C388)</f>
        <v/>
      </c>
      <c r="D388" s="1" t="str">
        <f aca="false">IF(LEN(A388&amp;"")=0,"",Base!G388)</f>
        <v/>
      </c>
      <c r="E388" s="1" t="str">
        <f aca="false">IF(LEN(A388&amp;"")=0,"",Base!E388)</f>
        <v/>
      </c>
      <c r="F388" s="61" t="str">
        <f aca="false">IF(LEN(A388&amp;"")=0,"",IF(Base!I388="-",0,Base!I388))</f>
        <v/>
      </c>
      <c r="G388" s="61" t="str">
        <f aca="false">IF(LEN(A388&amp;"")=0,"",SUM(Base!F388,F388,Base!K388))</f>
        <v/>
      </c>
      <c r="H388" s="61" t="str">
        <f aca="false">IF(LEN(A388&amp;"")=0,"",Base!L388)</f>
        <v/>
      </c>
      <c r="I388" s="61" t="str">
        <f aca="false">IF(LEN(A388&amp;"")=0,"",G388-H388)</f>
        <v/>
      </c>
      <c r="J388" s="61" t="str">
        <f aca="false">IF(LEN(A388&amp;"")=0,"",Base!M388)</f>
        <v/>
      </c>
      <c r="K388" s="1" t="n">
        <f aca="false">IF(OR(LEN(A388&amp;"")=0,$P$3=0),0,IF(AND(B388&gt;=Painel!$B$8,B388&lt;=Painel!$G$8,OR(Painel!$L$8="Todos",C388=Painel!$L$8),OR(Painel!$Q$8="Todos",D388=Painel!$Q$8),OR(Painel!$V$8="Todas",E388=Painel!$V$8)),1,0))</f>
        <v>0</v>
      </c>
      <c r="L388" s="61" t="str">
        <f aca="false">IF(LEN(A388&amp;"")=0,"",J388-I388)</f>
        <v/>
      </c>
      <c r="M388" s="1" t="n">
        <f aca="false">IF(LEN(A388&amp;"")=0,0,IF(COUNTIFS(Base!$A$7:$A$1006,A388)&gt;1,1,0))</f>
        <v>0</v>
      </c>
      <c r="N388" s="1" t="n">
        <f aca="false">IF(LEN(A388&amp;"")=0,0,IF(ABS(L388)&gt;0.005,1,0))</f>
        <v>0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customFormat="false" ht="23" hidden="false" customHeight="true" outlineLevel="0" collapsed="false">
      <c r="A389" s="1" t="str">
        <f aca="false">IF(LEN(Base!A389&amp;"")=0,"",Base!A389)</f>
        <v/>
      </c>
      <c r="B389" s="60" t="str">
        <f aca="false">IF(LEN(A389&amp;"")=0,"",Base!D389)</f>
        <v/>
      </c>
      <c r="C389" s="1" t="str">
        <f aca="false">IF(LEN(A389&amp;"")=0,"",Base!C389)</f>
        <v/>
      </c>
      <c r="D389" s="1" t="str">
        <f aca="false">IF(LEN(A389&amp;"")=0,"",Base!G389)</f>
        <v/>
      </c>
      <c r="E389" s="1" t="str">
        <f aca="false">IF(LEN(A389&amp;"")=0,"",Base!E389)</f>
        <v/>
      </c>
      <c r="F389" s="61" t="str">
        <f aca="false">IF(LEN(A389&amp;"")=0,"",IF(Base!I389="-",0,Base!I389))</f>
        <v/>
      </c>
      <c r="G389" s="61" t="str">
        <f aca="false">IF(LEN(A389&amp;"")=0,"",SUM(Base!F389,F389,Base!K389))</f>
        <v/>
      </c>
      <c r="H389" s="61" t="str">
        <f aca="false">IF(LEN(A389&amp;"")=0,"",Base!L389)</f>
        <v/>
      </c>
      <c r="I389" s="61" t="str">
        <f aca="false">IF(LEN(A389&amp;"")=0,"",G389-H389)</f>
        <v/>
      </c>
      <c r="J389" s="61" t="str">
        <f aca="false">IF(LEN(A389&amp;"")=0,"",Base!M389)</f>
        <v/>
      </c>
      <c r="K389" s="1" t="n">
        <f aca="false">IF(OR(LEN(A389&amp;"")=0,$P$3=0),0,IF(AND(B389&gt;=Painel!$B$8,B389&lt;=Painel!$G$8,OR(Painel!$L$8="Todos",C389=Painel!$L$8),OR(Painel!$Q$8="Todos",D389=Painel!$Q$8),OR(Painel!$V$8="Todas",E389=Painel!$V$8)),1,0))</f>
        <v>0</v>
      </c>
      <c r="L389" s="61" t="str">
        <f aca="false">IF(LEN(A389&amp;"")=0,"",J389-I389)</f>
        <v/>
      </c>
      <c r="M389" s="1" t="n">
        <f aca="false">IF(LEN(A389&amp;"")=0,0,IF(COUNTIFS(Base!$A$7:$A$1006,A389)&gt;1,1,0))</f>
        <v>0</v>
      </c>
      <c r="N389" s="1" t="n">
        <f aca="false">IF(LEN(A389&amp;"")=0,0,IF(ABS(L389)&gt;0.005,1,0))</f>
        <v>0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customFormat="false" ht="23" hidden="false" customHeight="true" outlineLevel="0" collapsed="false">
      <c r="A390" s="1" t="str">
        <f aca="false">IF(LEN(Base!A390&amp;"")=0,"",Base!A390)</f>
        <v/>
      </c>
      <c r="B390" s="60" t="str">
        <f aca="false">IF(LEN(A390&amp;"")=0,"",Base!D390)</f>
        <v/>
      </c>
      <c r="C390" s="1" t="str">
        <f aca="false">IF(LEN(A390&amp;"")=0,"",Base!C390)</f>
        <v/>
      </c>
      <c r="D390" s="1" t="str">
        <f aca="false">IF(LEN(A390&amp;"")=0,"",Base!G390)</f>
        <v/>
      </c>
      <c r="E390" s="1" t="str">
        <f aca="false">IF(LEN(A390&amp;"")=0,"",Base!E390)</f>
        <v/>
      </c>
      <c r="F390" s="61" t="str">
        <f aca="false">IF(LEN(A390&amp;"")=0,"",IF(Base!I390="-",0,Base!I390))</f>
        <v/>
      </c>
      <c r="G390" s="61" t="str">
        <f aca="false">IF(LEN(A390&amp;"")=0,"",SUM(Base!F390,F390,Base!K390))</f>
        <v/>
      </c>
      <c r="H390" s="61" t="str">
        <f aca="false">IF(LEN(A390&amp;"")=0,"",Base!L390)</f>
        <v/>
      </c>
      <c r="I390" s="61" t="str">
        <f aca="false">IF(LEN(A390&amp;"")=0,"",G390-H390)</f>
        <v/>
      </c>
      <c r="J390" s="61" t="str">
        <f aca="false">IF(LEN(A390&amp;"")=0,"",Base!M390)</f>
        <v/>
      </c>
      <c r="K390" s="1" t="n">
        <f aca="false">IF(OR(LEN(A390&amp;"")=0,$P$3=0),0,IF(AND(B390&gt;=Painel!$B$8,B390&lt;=Painel!$G$8,OR(Painel!$L$8="Todos",C390=Painel!$L$8),OR(Painel!$Q$8="Todos",D390=Painel!$Q$8),OR(Painel!$V$8="Todas",E390=Painel!$V$8)),1,0))</f>
        <v>0</v>
      </c>
      <c r="L390" s="61" t="str">
        <f aca="false">IF(LEN(A390&amp;"")=0,"",J390-I390)</f>
        <v/>
      </c>
      <c r="M390" s="1" t="n">
        <f aca="false">IF(LEN(A390&amp;"")=0,0,IF(COUNTIFS(Base!$A$7:$A$1006,A390)&gt;1,1,0))</f>
        <v>0</v>
      </c>
      <c r="N390" s="1" t="n">
        <f aca="false">IF(LEN(A390&amp;"")=0,0,IF(ABS(L390)&gt;0.005,1,0))</f>
        <v>0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customFormat="false" ht="23" hidden="false" customHeight="true" outlineLevel="0" collapsed="false">
      <c r="A391" s="1" t="str">
        <f aca="false">IF(LEN(Base!A391&amp;"")=0,"",Base!A391)</f>
        <v/>
      </c>
      <c r="B391" s="60" t="str">
        <f aca="false">IF(LEN(A391&amp;"")=0,"",Base!D391)</f>
        <v/>
      </c>
      <c r="C391" s="1" t="str">
        <f aca="false">IF(LEN(A391&amp;"")=0,"",Base!C391)</f>
        <v/>
      </c>
      <c r="D391" s="1" t="str">
        <f aca="false">IF(LEN(A391&amp;"")=0,"",Base!G391)</f>
        <v/>
      </c>
      <c r="E391" s="1" t="str">
        <f aca="false">IF(LEN(A391&amp;"")=0,"",Base!E391)</f>
        <v/>
      </c>
      <c r="F391" s="61" t="str">
        <f aca="false">IF(LEN(A391&amp;"")=0,"",IF(Base!I391="-",0,Base!I391))</f>
        <v/>
      </c>
      <c r="G391" s="61" t="str">
        <f aca="false">IF(LEN(A391&amp;"")=0,"",SUM(Base!F391,F391,Base!K391))</f>
        <v/>
      </c>
      <c r="H391" s="61" t="str">
        <f aca="false">IF(LEN(A391&amp;"")=0,"",Base!L391)</f>
        <v/>
      </c>
      <c r="I391" s="61" t="str">
        <f aca="false">IF(LEN(A391&amp;"")=0,"",G391-H391)</f>
        <v/>
      </c>
      <c r="J391" s="61" t="str">
        <f aca="false">IF(LEN(A391&amp;"")=0,"",Base!M391)</f>
        <v/>
      </c>
      <c r="K391" s="1" t="n">
        <f aca="false">IF(OR(LEN(A391&amp;"")=0,$P$3=0),0,IF(AND(B391&gt;=Painel!$B$8,B391&lt;=Painel!$G$8,OR(Painel!$L$8="Todos",C391=Painel!$L$8),OR(Painel!$Q$8="Todos",D391=Painel!$Q$8),OR(Painel!$V$8="Todas",E391=Painel!$V$8)),1,0))</f>
        <v>0</v>
      </c>
      <c r="L391" s="61" t="str">
        <f aca="false">IF(LEN(A391&amp;"")=0,"",J391-I391)</f>
        <v/>
      </c>
      <c r="M391" s="1" t="n">
        <f aca="false">IF(LEN(A391&amp;"")=0,0,IF(COUNTIFS(Base!$A$7:$A$1006,A391)&gt;1,1,0))</f>
        <v>0</v>
      </c>
      <c r="N391" s="1" t="n">
        <f aca="false">IF(LEN(A391&amp;"")=0,0,IF(ABS(L391)&gt;0.005,1,0))</f>
        <v>0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customFormat="false" ht="23" hidden="false" customHeight="true" outlineLevel="0" collapsed="false">
      <c r="A392" s="1" t="str">
        <f aca="false">IF(LEN(Base!A392&amp;"")=0,"",Base!A392)</f>
        <v/>
      </c>
      <c r="B392" s="60" t="str">
        <f aca="false">IF(LEN(A392&amp;"")=0,"",Base!D392)</f>
        <v/>
      </c>
      <c r="C392" s="1" t="str">
        <f aca="false">IF(LEN(A392&amp;"")=0,"",Base!C392)</f>
        <v/>
      </c>
      <c r="D392" s="1" t="str">
        <f aca="false">IF(LEN(A392&amp;"")=0,"",Base!G392)</f>
        <v/>
      </c>
      <c r="E392" s="1" t="str">
        <f aca="false">IF(LEN(A392&amp;"")=0,"",Base!E392)</f>
        <v/>
      </c>
      <c r="F392" s="61" t="str">
        <f aca="false">IF(LEN(A392&amp;"")=0,"",IF(Base!I392="-",0,Base!I392))</f>
        <v/>
      </c>
      <c r="G392" s="61" t="str">
        <f aca="false">IF(LEN(A392&amp;"")=0,"",SUM(Base!F392,F392,Base!K392))</f>
        <v/>
      </c>
      <c r="H392" s="61" t="str">
        <f aca="false">IF(LEN(A392&amp;"")=0,"",Base!L392)</f>
        <v/>
      </c>
      <c r="I392" s="61" t="str">
        <f aca="false">IF(LEN(A392&amp;"")=0,"",G392-H392)</f>
        <v/>
      </c>
      <c r="J392" s="61" t="str">
        <f aca="false">IF(LEN(A392&amp;"")=0,"",Base!M392)</f>
        <v/>
      </c>
      <c r="K392" s="1" t="n">
        <f aca="false">IF(OR(LEN(A392&amp;"")=0,$P$3=0),0,IF(AND(B392&gt;=Painel!$B$8,B392&lt;=Painel!$G$8,OR(Painel!$L$8="Todos",C392=Painel!$L$8),OR(Painel!$Q$8="Todos",D392=Painel!$Q$8),OR(Painel!$V$8="Todas",E392=Painel!$V$8)),1,0))</f>
        <v>0</v>
      </c>
      <c r="L392" s="61" t="str">
        <f aca="false">IF(LEN(A392&amp;"")=0,"",J392-I392)</f>
        <v/>
      </c>
      <c r="M392" s="1" t="n">
        <f aca="false">IF(LEN(A392&amp;"")=0,0,IF(COUNTIFS(Base!$A$7:$A$1006,A392)&gt;1,1,0))</f>
        <v>0</v>
      </c>
      <c r="N392" s="1" t="n">
        <f aca="false">IF(LEN(A392&amp;"")=0,0,IF(ABS(L392)&gt;0.005,1,0))</f>
        <v>0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customFormat="false" ht="23" hidden="false" customHeight="true" outlineLevel="0" collapsed="false">
      <c r="A393" s="1" t="str">
        <f aca="false">IF(LEN(Base!A393&amp;"")=0,"",Base!A393)</f>
        <v/>
      </c>
      <c r="B393" s="60" t="str">
        <f aca="false">IF(LEN(A393&amp;"")=0,"",Base!D393)</f>
        <v/>
      </c>
      <c r="C393" s="1" t="str">
        <f aca="false">IF(LEN(A393&amp;"")=0,"",Base!C393)</f>
        <v/>
      </c>
      <c r="D393" s="1" t="str">
        <f aca="false">IF(LEN(A393&amp;"")=0,"",Base!G393)</f>
        <v/>
      </c>
      <c r="E393" s="1" t="str">
        <f aca="false">IF(LEN(A393&amp;"")=0,"",Base!E393)</f>
        <v/>
      </c>
      <c r="F393" s="61" t="str">
        <f aca="false">IF(LEN(A393&amp;"")=0,"",IF(Base!I393="-",0,Base!I393))</f>
        <v/>
      </c>
      <c r="G393" s="61" t="str">
        <f aca="false">IF(LEN(A393&amp;"")=0,"",SUM(Base!F393,F393,Base!K393))</f>
        <v/>
      </c>
      <c r="H393" s="61" t="str">
        <f aca="false">IF(LEN(A393&amp;"")=0,"",Base!L393)</f>
        <v/>
      </c>
      <c r="I393" s="61" t="str">
        <f aca="false">IF(LEN(A393&amp;"")=0,"",G393-H393)</f>
        <v/>
      </c>
      <c r="J393" s="61" t="str">
        <f aca="false">IF(LEN(A393&amp;"")=0,"",Base!M393)</f>
        <v/>
      </c>
      <c r="K393" s="1" t="n">
        <f aca="false">IF(OR(LEN(A393&amp;"")=0,$P$3=0),0,IF(AND(B393&gt;=Painel!$B$8,B393&lt;=Painel!$G$8,OR(Painel!$L$8="Todos",C393=Painel!$L$8),OR(Painel!$Q$8="Todos",D393=Painel!$Q$8),OR(Painel!$V$8="Todas",E393=Painel!$V$8)),1,0))</f>
        <v>0</v>
      </c>
      <c r="L393" s="61" t="str">
        <f aca="false">IF(LEN(A393&amp;"")=0,"",J393-I393)</f>
        <v/>
      </c>
      <c r="M393" s="1" t="n">
        <f aca="false">IF(LEN(A393&amp;"")=0,0,IF(COUNTIFS(Base!$A$7:$A$1006,A393)&gt;1,1,0))</f>
        <v>0</v>
      </c>
      <c r="N393" s="1" t="n">
        <f aca="false">IF(LEN(A393&amp;"")=0,0,IF(ABS(L393)&gt;0.005,1,0))</f>
        <v>0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customFormat="false" ht="23" hidden="false" customHeight="true" outlineLevel="0" collapsed="false">
      <c r="A394" s="1" t="str">
        <f aca="false">IF(LEN(Base!A394&amp;"")=0,"",Base!A394)</f>
        <v/>
      </c>
      <c r="B394" s="60" t="str">
        <f aca="false">IF(LEN(A394&amp;"")=0,"",Base!D394)</f>
        <v/>
      </c>
      <c r="C394" s="1" t="str">
        <f aca="false">IF(LEN(A394&amp;"")=0,"",Base!C394)</f>
        <v/>
      </c>
      <c r="D394" s="1" t="str">
        <f aca="false">IF(LEN(A394&amp;"")=0,"",Base!G394)</f>
        <v/>
      </c>
      <c r="E394" s="1" t="str">
        <f aca="false">IF(LEN(A394&amp;"")=0,"",Base!E394)</f>
        <v/>
      </c>
      <c r="F394" s="61" t="str">
        <f aca="false">IF(LEN(A394&amp;"")=0,"",IF(Base!I394="-",0,Base!I394))</f>
        <v/>
      </c>
      <c r="G394" s="61" t="str">
        <f aca="false">IF(LEN(A394&amp;"")=0,"",SUM(Base!F394,F394,Base!K394))</f>
        <v/>
      </c>
      <c r="H394" s="61" t="str">
        <f aca="false">IF(LEN(A394&amp;"")=0,"",Base!L394)</f>
        <v/>
      </c>
      <c r="I394" s="61" t="str">
        <f aca="false">IF(LEN(A394&amp;"")=0,"",G394-H394)</f>
        <v/>
      </c>
      <c r="J394" s="61" t="str">
        <f aca="false">IF(LEN(A394&amp;"")=0,"",Base!M394)</f>
        <v/>
      </c>
      <c r="K394" s="1" t="n">
        <f aca="false">IF(OR(LEN(A394&amp;"")=0,$P$3=0),0,IF(AND(B394&gt;=Painel!$B$8,B394&lt;=Painel!$G$8,OR(Painel!$L$8="Todos",C394=Painel!$L$8),OR(Painel!$Q$8="Todos",D394=Painel!$Q$8),OR(Painel!$V$8="Todas",E394=Painel!$V$8)),1,0))</f>
        <v>0</v>
      </c>
      <c r="L394" s="61" t="str">
        <f aca="false">IF(LEN(A394&amp;"")=0,"",J394-I394)</f>
        <v/>
      </c>
      <c r="M394" s="1" t="n">
        <f aca="false">IF(LEN(A394&amp;"")=0,0,IF(COUNTIFS(Base!$A$7:$A$1006,A394)&gt;1,1,0))</f>
        <v>0</v>
      </c>
      <c r="N394" s="1" t="n">
        <f aca="false">IF(LEN(A394&amp;"")=0,0,IF(ABS(L394)&gt;0.005,1,0))</f>
        <v>0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customFormat="false" ht="23" hidden="false" customHeight="true" outlineLevel="0" collapsed="false">
      <c r="A395" s="1" t="str">
        <f aca="false">IF(LEN(Base!A395&amp;"")=0,"",Base!A395)</f>
        <v/>
      </c>
      <c r="B395" s="60" t="str">
        <f aca="false">IF(LEN(A395&amp;"")=0,"",Base!D395)</f>
        <v/>
      </c>
      <c r="C395" s="1" t="str">
        <f aca="false">IF(LEN(A395&amp;"")=0,"",Base!C395)</f>
        <v/>
      </c>
      <c r="D395" s="1" t="str">
        <f aca="false">IF(LEN(A395&amp;"")=0,"",Base!G395)</f>
        <v/>
      </c>
      <c r="E395" s="1" t="str">
        <f aca="false">IF(LEN(A395&amp;"")=0,"",Base!E395)</f>
        <v/>
      </c>
      <c r="F395" s="61" t="str">
        <f aca="false">IF(LEN(A395&amp;"")=0,"",IF(Base!I395="-",0,Base!I395))</f>
        <v/>
      </c>
      <c r="G395" s="61" t="str">
        <f aca="false">IF(LEN(A395&amp;"")=0,"",SUM(Base!F395,F395,Base!K395))</f>
        <v/>
      </c>
      <c r="H395" s="61" t="str">
        <f aca="false">IF(LEN(A395&amp;"")=0,"",Base!L395)</f>
        <v/>
      </c>
      <c r="I395" s="61" t="str">
        <f aca="false">IF(LEN(A395&amp;"")=0,"",G395-H395)</f>
        <v/>
      </c>
      <c r="J395" s="61" t="str">
        <f aca="false">IF(LEN(A395&amp;"")=0,"",Base!M395)</f>
        <v/>
      </c>
      <c r="K395" s="1" t="n">
        <f aca="false">IF(OR(LEN(A395&amp;"")=0,$P$3=0),0,IF(AND(B395&gt;=Painel!$B$8,B395&lt;=Painel!$G$8,OR(Painel!$L$8="Todos",C395=Painel!$L$8),OR(Painel!$Q$8="Todos",D395=Painel!$Q$8),OR(Painel!$V$8="Todas",E395=Painel!$V$8)),1,0))</f>
        <v>0</v>
      </c>
      <c r="L395" s="61" t="str">
        <f aca="false">IF(LEN(A395&amp;"")=0,"",J395-I395)</f>
        <v/>
      </c>
      <c r="M395" s="1" t="n">
        <f aca="false">IF(LEN(A395&amp;"")=0,0,IF(COUNTIFS(Base!$A$7:$A$1006,A395)&gt;1,1,0))</f>
        <v>0</v>
      </c>
      <c r="N395" s="1" t="n">
        <f aca="false">IF(LEN(A395&amp;"")=0,0,IF(ABS(L395)&gt;0.005,1,0))</f>
        <v>0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customFormat="false" ht="23" hidden="false" customHeight="true" outlineLevel="0" collapsed="false">
      <c r="A396" s="1" t="str">
        <f aca="false">IF(LEN(Base!A396&amp;"")=0,"",Base!A396)</f>
        <v/>
      </c>
      <c r="B396" s="60" t="str">
        <f aca="false">IF(LEN(A396&amp;"")=0,"",Base!D396)</f>
        <v/>
      </c>
      <c r="C396" s="1" t="str">
        <f aca="false">IF(LEN(A396&amp;"")=0,"",Base!C396)</f>
        <v/>
      </c>
      <c r="D396" s="1" t="str">
        <f aca="false">IF(LEN(A396&amp;"")=0,"",Base!G396)</f>
        <v/>
      </c>
      <c r="E396" s="1" t="str">
        <f aca="false">IF(LEN(A396&amp;"")=0,"",Base!E396)</f>
        <v/>
      </c>
      <c r="F396" s="61" t="str">
        <f aca="false">IF(LEN(A396&amp;"")=0,"",IF(Base!I396="-",0,Base!I396))</f>
        <v/>
      </c>
      <c r="G396" s="61" t="str">
        <f aca="false">IF(LEN(A396&amp;"")=0,"",SUM(Base!F396,F396,Base!K396))</f>
        <v/>
      </c>
      <c r="H396" s="61" t="str">
        <f aca="false">IF(LEN(A396&amp;"")=0,"",Base!L396)</f>
        <v/>
      </c>
      <c r="I396" s="61" t="str">
        <f aca="false">IF(LEN(A396&amp;"")=0,"",G396-H396)</f>
        <v/>
      </c>
      <c r="J396" s="61" t="str">
        <f aca="false">IF(LEN(A396&amp;"")=0,"",Base!M396)</f>
        <v/>
      </c>
      <c r="K396" s="1" t="n">
        <f aca="false">IF(OR(LEN(A396&amp;"")=0,$P$3=0),0,IF(AND(B396&gt;=Painel!$B$8,B396&lt;=Painel!$G$8,OR(Painel!$L$8="Todos",C396=Painel!$L$8),OR(Painel!$Q$8="Todos",D396=Painel!$Q$8),OR(Painel!$V$8="Todas",E396=Painel!$V$8)),1,0))</f>
        <v>0</v>
      </c>
      <c r="L396" s="61" t="str">
        <f aca="false">IF(LEN(A396&amp;"")=0,"",J396-I396)</f>
        <v/>
      </c>
      <c r="M396" s="1" t="n">
        <f aca="false">IF(LEN(A396&amp;"")=0,0,IF(COUNTIFS(Base!$A$7:$A$1006,A396)&gt;1,1,0))</f>
        <v>0</v>
      </c>
      <c r="N396" s="1" t="n">
        <f aca="false">IF(LEN(A396&amp;"")=0,0,IF(ABS(L396)&gt;0.005,1,0))</f>
        <v>0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customFormat="false" ht="23" hidden="false" customHeight="true" outlineLevel="0" collapsed="false">
      <c r="A397" s="1" t="str">
        <f aca="false">IF(LEN(Base!A397&amp;"")=0,"",Base!A397)</f>
        <v/>
      </c>
      <c r="B397" s="60" t="str">
        <f aca="false">IF(LEN(A397&amp;"")=0,"",Base!D397)</f>
        <v/>
      </c>
      <c r="C397" s="1" t="str">
        <f aca="false">IF(LEN(A397&amp;"")=0,"",Base!C397)</f>
        <v/>
      </c>
      <c r="D397" s="1" t="str">
        <f aca="false">IF(LEN(A397&amp;"")=0,"",Base!G397)</f>
        <v/>
      </c>
      <c r="E397" s="1" t="str">
        <f aca="false">IF(LEN(A397&amp;"")=0,"",Base!E397)</f>
        <v/>
      </c>
      <c r="F397" s="61" t="str">
        <f aca="false">IF(LEN(A397&amp;"")=0,"",IF(Base!I397="-",0,Base!I397))</f>
        <v/>
      </c>
      <c r="G397" s="61" t="str">
        <f aca="false">IF(LEN(A397&amp;"")=0,"",SUM(Base!F397,F397,Base!K397))</f>
        <v/>
      </c>
      <c r="H397" s="61" t="str">
        <f aca="false">IF(LEN(A397&amp;"")=0,"",Base!L397)</f>
        <v/>
      </c>
      <c r="I397" s="61" t="str">
        <f aca="false">IF(LEN(A397&amp;"")=0,"",G397-H397)</f>
        <v/>
      </c>
      <c r="J397" s="61" t="str">
        <f aca="false">IF(LEN(A397&amp;"")=0,"",Base!M397)</f>
        <v/>
      </c>
      <c r="K397" s="1" t="n">
        <f aca="false">IF(OR(LEN(A397&amp;"")=0,$P$3=0),0,IF(AND(B397&gt;=Painel!$B$8,B397&lt;=Painel!$G$8,OR(Painel!$L$8="Todos",C397=Painel!$L$8),OR(Painel!$Q$8="Todos",D397=Painel!$Q$8),OR(Painel!$V$8="Todas",E397=Painel!$V$8)),1,0))</f>
        <v>0</v>
      </c>
      <c r="L397" s="61" t="str">
        <f aca="false">IF(LEN(A397&amp;"")=0,"",J397-I397)</f>
        <v/>
      </c>
      <c r="M397" s="1" t="n">
        <f aca="false">IF(LEN(A397&amp;"")=0,0,IF(COUNTIFS(Base!$A$7:$A$1006,A397)&gt;1,1,0))</f>
        <v>0</v>
      </c>
      <c r="N397" s="1" t="n">
        <f aca="false">IF(LEN(A397&amp;"")=0,0,IF(ABS(L397)&gt;0.005,1,0))</f>
        <v>0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customFormat="false" ht="23" hidden="false" customHeight="true" outlineLevel="0" collapsed="false">
      <c r="A398" s="1" t="str">
        <f aca="false">IF(LEN(Base!A398&amp;"")=0,"",Base!A398)</f>
        <v/>
      </c>
      <c r="B398" s="60" t="str">
        <f aca="false">IF(LEN(A398&amp;"")=0,"",Base!D398)</f>
        <v/>
      </c>
      <c r="C398" s="1" t="str">
        <f aca="false">IF(LEN(A398&amp;"")=0,"",Base!C398)</f>
        <v/>
      </c>
      <c r="D398" s="1" t="str">
        <f aca="false">IF(LEN(A398&amp;"")=0,"",Base!G398)</f>
        <v/>
      </c>
      <c r="E398" s="1" t="str">
        <f aca="false">IF(LEN(A398&amp;"")=0,"",Base!E398)</f>
        <v/>
      </c>
      <c r="F398" s="61" t="str">
        <f aca="false">IF(LEN(A398&amp;"")=0,"",IF(Base!I398="-",0,Base!I398))</f>
        <v/>
      </c>
      <c r="G398" s="61" t="str">
        <f aca="false">IF(LEN(A398&amp;"")=0,"",SUM(Base!F398,F398,Base!K398))</f>
        <v/>
      </c>
      <c r="H398" s="61" t="str">
        <f aca="false">IF(LEN(A398&amp;"")=0,"",Base!L398)</f>
        <v/>
      </c>
      <c r="I398" s="61" t="str">
        <f aca="false">IF(LEN(A398&amp;"")=0,"",G398-H398)</f>
        <v/>
      </c>
      <c r="J398" s="61" t="str">
        <f aca="false">IF(LEN(A398&amp;"")=0,"",Base!M398)</f>
        <v/>
      </c>
      <c r="K398" s="1" t="n">
        <f aca="false">IF(OR(LEN(A398&amp;"")=0,$P$3=0),0,IF(AND(B398&gt;=Painel!$B$8,B398&lt;=Painel!$G$8,OR(Painel!$L$8="Todos",C398=Painel!$L$8),OR(Painel!$Q$8="Todos",D398=Painel!$Q$8),OR(Painel!$V$8="Todas",E398=Painel!$V$8)),1,0))</f>
        <v>0</v>
      </c>
      <c r="L398" s="61" t="str">
        <f aca="false">IF(LEN(A398&amp;"")=0,"",J398-I398)</f>
        <v/>
      </c>
      <c r="M398" s="1" t="n">
        <f aca="false">IF(LEN(A398&amp;"")=0,0,IF(COUNTIFS(Base!$A$7:$A$1006,A398)&gt;1,1,0))</f>
        <v>0</v>
      </c>
      <c r="N398" s="1" t="n">
        <f aca="false">IF(LEN(A398&amp;"")=0,0,IF(ABS(L398)&gt;0.005,1,0))</f>
        <v>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customFormat="false" ht="23" hidden="false" customHeight="true" outlineLevel="0" collapsed="false">
      <c r="A399" s="1" t="str">
        <f aca="false">IF(LEN(Base!A399&amp;"")=0,"",Base!A399)</f>
        <v/>
      </c>
      <c r="B399" s="60" t="str">
        <f aca="false">IF(LEN(A399&amp;"")=0,"",Base!D399)</f>
        <v/>
      </c>
      <c r="C399" s="1" t="str">
        <f aca="false">IF(LEN(A399&amp;"")=0,"",Base!C399)</f>
        <v/>
      </c>
      <c r="D399" s="1" t="str">
        <f aca="false">IF(LEN(A399&amp;"")=0,"",Base!G399)</f>
        <v/>
      </c>
      <c r="E399" s="1" t="str">
        <f aca="false">IF(LEN(A399&amp;"")=0,"",Base!E399)</f>
        <v/>
      </c>
      <c r="F399" s="61" t="str">
        <f aca="false">IF(LEN(A399&amp;"")=0,"",IF(Base!I399="-",0,Base!I399))</f>
        <v/>
      </c>
      <c r="G399" s="61" t="str">
        <f aca="false">IF(LEN(A399&amp;"")=0,"",SUM(Base!F399,F399,Base!K399))</f>
        <v/>
      </c>
      <c r="H399" s="61" t="str">
        <f aca="false">IF(LEN(A399&amp;"")=0,"",Base!L399)</f>
        <v/>
      </c>
      <c r="I399" s="61" t="str">
        <f aca="false">IF(LEN(A399&amp;"")=0,"",G399-H399)</f>
        <v/>
      </c>
      <c r="J399" s="61" t="str">
        <f aca="false">IF(LEN(A399&amp;"")=0,"",Base!M399)</f>
        <v/>
      </c>
      <c r="K399" s="1" t="n">
        <f aca="false">IF(OR(LEN(A399&amp;"")=0,$P$3=0),0,IF(AND(B399&gt;=Painel!$B$8,B399&lt;=Painel!$G$8,OR(Painel!$L$8="Todos",C399=Painel!$L$8),OR(Painel!$Q$8="Todos",D399=Painel!$Q$8),OR(Painel!$V$8="Todas",E399=Painel!$V$8)),1,0))</f>
        <v>0</v>
      </c>
      <c r="L399" s="61" t="str">
        <f aca="false">IF(LEN(A399&amp;"")=0,"",J399-I399)</f>
        <v/>
      </c>
      <c r="M399" s="1" t="n">
        <f aca="false">IF(LEN(A399&amp;"")=0,0,IF(COUNTIFS(Base!$A$7:$A$1006,A399)&gt;1,1,0))</f>
        <v>0</v>
      </c>
      <c r="N399" s="1" t="n">
        <f aca="false">IF(LEN(A399&amp;"")=0,0,IF(ABS(L399)&gt;0.005,1,0))</f>
        <v>0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customFormat="false" ht="23" hidden="false" customHeight="true" outlineLevel="0" collapsed="false">
      <c r="A400" s="1" t="str">
        <f aca="false">IF(LEN(Base!A400&amp;"")=0,"",Base!A400)</f>
        <v/>
      </c>
      <c r="B400" s="60" t="str">
        <f aca="false">IF(LEN(A400&amp;"")=0,"",Base!D400)</f>
        <v/>
      </c>
      <c r="C400" s="1" t="str">
        <f aca="false">IF(LEN(A400&amp;"")=0,"",Base!C400)</f>
        <v/>
      </c>
      <c r="D400" s="1" t="str">
        <f aca="false">IF(LEN(A400&amp;"")=0,"",Base!G400)</f>
        <v/>
      </c>
      <c r="E400" s="1" t="str">
        <f aca="false">IF(LEN(A400&amp;"")=0,"",Base!E400)</f>
        <v/>
      </c>
      <c r="F400" s="61" t="str">
        <f aca="false">IF(LEN(A400&amp;"")=0,"",IF(Base!I400="-",0,Base!I400))</f>
        <v/>
      </c>
      <c r="G400" s="61" t="str">
        <f aca="false">IF(LEN(A400&amp;"")=0,"",SUM(Base!F400,F400,Base!K400))</f>
        <v/>
      </c>
      <c r="H400" s="61" t="str">
        <f aca="false">IF(LEN(A400&amp;"")=0,"",Base!L400)</f>
        <v/>
      </c>
      <c r="I400" s="61" t="str">
        <f aca="false">IF(LEN(A400&amp;"")=0,"",G400-H400)</f>
        <v/>
      </c>
      <c r="J400" s="61" t="str">
        <f aca="false">IF(LEN(A400&amp;"")=0,"",Base!M400)</f>
        <v/>
      </c>
      <c r="K400" s="1" t="n">
        <f aca="false">IF(OR(LEN(A400&amp;"")=0,$P$3=0),0,IF(AND(B400&gt;=Painel!$B$8,B400&lt;=Painel!$G$8,OR(Painel!$L$8="Todos",C400=Painel!$L$8),OR(Painel!$Q$8="Todos",D400=Painel!$Q$8),OR(Painel!$V$8="Todas",E400=Painel!$V$8)),1,0))</f>
        <v>0</v>
      </c>
      <c r="L400" s="61" t="str">
        <f aca="false">IF(LEN(A400&amp;"")=0,"",J400-I400)</f>
        <v/>
      </c>
      <c r="M400" s="1" t="n">
        <f aca="false">IF(LEN(A400&amp;"")=0,0,IF(COUNTIFS(Base!$A$7:$A$1006,A400)&gt;1,1,0))</f>
        <v>0</v>
      </c>
      <c r="N400" s="1" t="n">
        <f aca="false">IF(LEN(A400&amp;"")=0,0,IF(ABS(L400)&gt;0.005,1,0))</f>
        <v>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customFormat="false" ht="23" hidden="false" customHeight="true" outlineLevel="0" collapsed="false">
      <c r="A401" s="1" t="str">
        <f aca="false">IF(LEN(Base!A401&amp;"")=0,"",Base!A401)</f>
        <v/>
      </c>
      <c r="B401" s="60" t="str">
        <f aca="false">IF(LEN(A401&amp;"")=0,"",Base!D401)</f>
        <v/>
      </c>
      <c r="C401" s="1" t="str">
        <f aca="false">IF(LEN(A401&amp;"")=0,"",Base!C401)</f>
        <v/>
      </c>
      <c r="D401" s="1" t="str">
        <f aca="false">IF(LEN(A401&amp;"")=0,"",Base!G401)</f>
        <v/>
      </c>
      <c r="E401" s="1" t="str">
        <f aca="false">IF(LEN(A401&amp;"")=0,"",Base!E401)</f>
        <v/>
      </c>
      <c r="F401" s="61" t="str">
        <f aca="false">IF(LEN(A401&amp;"")=0,"",IF(Base!I401="-",0,Base!I401))</f>
        <v/>
      </c>
      <c r="G401" s="61" t="str">
        <f aca="false">IF(LEN(A401&amp;"")=0,"",SUM(Base!F401,F401,Base!K401))</f>
        <v/>
      </c>
      <c r="H401" s="61" t="str">
        <f aca="false">IF(LEN(A401&amp;"")=0,"",Base!L401)</f>
        <v/>
      </c>
      <c r="I401" s="61" t="str">
        <f aca="false">IF(LEN(A401&amp;"")=0,"",G401-H401)</f>
        <v/>
      </c>
      <c r="J401" s="61" t="str">
        <f aca="false">IF(LEN(A401&amp;"")=0,"",Base!M401)</f>
        <v/>
      </c>
      <c r="K401" s="1" t="n">
        <f aca="false">IF(OR(LEN(A401&amp;"")=0,$P$3=0),0,IF(AND(B401&gt;=Painel!$B$8,B401&lt;=Painel!$G$8,OR(Painel!$L$8="Todos",C401=Painel!$L$8),OR(Painel!$Q$8="Todos",D401=Painel!$Q$8),OR(Painel!$V$8="Todas",E401=Painel!$V$8)),1,0))</f>
        <v>0</v>
      </c>
      <c r="L401" s="61" t="str">
        <f aca="false">IF(LEN(A401&amp;"")=0,"",J401-I401)</f>
        <v/>
      </c>
      <c r="M401" s="1" t="n">
        <f aca="false">IF(LEN(A401&amp;"")=0,0,IF(COUNTIFS(Base!$A$7:$A$1006,A401)&gt;1,1,0))</f>
        <v>0</v>
      </c>
      <c r="N401" s="1" t="n">
        <f aca="false">IF(LEN(A401&amp;"")=0,0,IF(ABS(L401)&gt;0.005,1,0))</f>
        <v>0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customFormat="false" ht="23" hidden="false" customHeight="true" outlineLevel="0" collapsed="false">
      <c r="A402" s="1" t="str">
        <f aca="false">IF(LEN(Base!A402&amp;"")=0,"",Base!A402)</f>
        <v/>
      </c>
      <c r="B402" s="60" t="str">
        <f aca="false">IF(LEN(A402&amp;"")=0,"",Base!D402)</f>
        <v/>
      </c>
      <c r="C402" s="1" t="str">
        <f aca="false">IF(LEN(A402&amp;"")=0,"",Base!C402)</f>
        <v/>
      </c>
      <c r="D402" s="1" t="str">
        <f aca="false">IF(LEN(A402&amp;"")=0,"",Base!G402)</f>
        <v/>
      </c>
      <c r="E402" s="1" t="str">
        <f aca="false">IF(LEN(A402&amp;"")=0,"",Base!E402)</f>
        <v/>
      </c>
      <c r="F402" s="61" t="str">
        <f aca="false">IF(LEN(A402&amp;"")=0,"",IF(Base!I402="-",0,Base!I402))</f>
        <v/>
      </c>
      <c r="G402" s="61" t="str">
        <f aca="false">IF(LEN(A402&amp;"")=0,"",SUM(Base!F402,F402,Base!K402))</f>
        <v/>
      </c>
      <c r="H402" s="61" t="str">
        <f aca="false">IF(LEN(A402&amp;"")=0,"",Base!L402)</f>
        <v/>
      </c>
      <c r="I402" s="61" t="str">
        <f aca="false">IF(LEN(A402&amp;"")=0,"",G402-H402)</f>
        <v/>
      </c>
      <c r="J402" s="61" t="str">
        <f aca="false">IF(LEN(A402&amp;"")=0,"",Base!M402)</f>
        <v/>
      </c>
      <c r="K402" s="1" t="n">
        <f aca="false">IF(OR(LEN(A402&amp;"")=0,$P$3=0),0,IF(AND(B402&gt;=Painel!$B$8,B402&lt;=Painel!$G$8,OR(Painel!$L$8="Todos",C402=Painel!$L$8),OR(Painel!$Q$8="Todos",D402=Painel!$Q$8),OR(Painel!$V$8="Todas",E402=Painel!$V$8)),1,0))</f>
        <v>0</v>
      </c>
      <c r="L402" s="61" t="str">
        <f aca="false">IF(LEN(A402&amp;"")=0,"",J402-I402)</f>
        <v/>
      </c>
      <c r="M402" s="1" t="n">
        <f aca="false">IF(LEN(A402&amp;"")=0,0,IF(COUNTIFS(Base!$A$7:$A$1006,A402)&gt;1,1,0))</f>
        <v>0</v>
      </c>
      <c r="N402" s="1" t="n">
        <f aca="false">IF(LEN(A402&amp;"")=0,0,IF(ABS(L402)&gt;0.005,1,0))</f>
        <v>0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customFormat="false" ht="23" hidden="false" customHeight="true" outlineLevel="0" collapsed="false">
      <c r="A403" s="1" t="str">
        <f aca="false">IF(LEN(Base!A403&amp;"")=0,"",Base!A403)</f>
        <v/>
      </c>
      <c r="B403" s="60" t="str">
        <f aca="false">IF(LEN(A403&amp;"")=0,"",Base!D403)</f>
        <v/>
      </c>
      <c r="C403" s="1" t="str">
        <f aca="false">IF(LEN(A403&amp;"")=0,"",Base!C403)</f>
        <v/>
      </c>
      <c r="D403" s="1" t="str">
        <f aca="false">IF(LEN(A403&amp;"")=0,"",Base!G403)</f>
        <v/>
      </c>
      <c r="E403" s="1" t="str">
        <f aca="false">IF(LEN(A403&amp;"")=0,"",Base!E403)</f>
        <v/>
      </c>
      <c r="F403" s="61" t="str">
        <f aca="false">IF(LEN(A403&amp;"")=0,"",IF(Base!I403="-",0,Base!I403))</f>
        <v/>
      </c>
      <c r="G403" s="61" t="str">
        <f aca="false">IF(LEN(A403&amp;"")=0,"",SUM(Base!F403,F403,Base!K403))</f>
        <v/>
      </c>
      <c r="H403" s="61" t="str">
        <f aca="false">IF(LEN(A403&amp;"")=0,"",Base!L403)</f>
        <v/>
      </c>
      <c r="I403" s="61" t="str">
        <f aca="false">IF(LEN(A403&amp;"")=0,"",G403-H403)</f>
        <v/>
      </c>
      <c r="J403" s="61" t="str">
        <f aca="false">IF(LEN(A403&amp;"")=0,"",Base!M403)</f>
        <v/>
      </c>
      <c r="K403" s="1" t="n">
        <f aca="false">IF(OR(LEN(A403&amp;"")=0,$P$3=0),0,IF(AND(B403&gt;=Painel!$B$8,B403&lt;=Painel!$G$8,OR(Painel!$L$8="Todos",C403=Painel!$L$8),OR(Painel!$Q$8="Todos",D403=Painel!$Q$8),OR(Painel!$V$8="Todas",E403=Painel!$V$8)),1,0))</f>
        <v>0</v>
      </c>
      <c r="L403" s="61" t="str">
        <f aca="false">IF(LEN(A403&amp;"")=0,"",J403-I403)</f>
        <v/>
      </c>
      <c r="M403" s="1" t="n">
        <f aca="false">IF(LEN(A403&amp;"")=0,0,IF(COUNTIFS(Base!$A$7:$A$1006,A403)&gt;1,1,0))</f>
        <v>0</v>
      </c>
      <c r="N403" s="1" t="n">
        <f aca="false">IF(LEN(A403&amp;"")=0,0,IF(ABS(L403)&gt;0.005,1,0))</f>
        <v>0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customFormat="false" ht="23" hidden="false" customHeight="true" outlineLevel="0" collapsed="false">
      <c r="A404" s="1" t="str">
        <f aca="false">IF(LEN(Base!A404&amp;"")=0,"",Base!A404)</f>
        <v/>
      </c>
      <c r="B404" s="60" t="str">
        <f aca="false">IF(LEN(A404&amp;"")=0,"",Base!D404)</f>
        <v/>
      </c>
      <c r="C404" s="1" t="str">
        <f aca="false">IF(LEN(A404&amp;"")=0,"",Base!C404)</f>
        <v/>
      </c>
      <c r="D404" s="1" t="str">
        <f aca="false">IF(LEN(A404&amp;"")=0,"",Base!G404)</f>
        <v/>
      </c>
      <c r="E404" s="1" t="str">
        <f aca="false">IF(LEN(A404&amp;"")=0,"",Base!E404)</f>
        <v/>
      </c>
      <c r="F404" s="61" t="str">
        <f aca="false">IF(LEN(A404&amp;"")=0,"",IF(Base!I404="-",0,Base!I404))</f>
        <v/>
      </c>
      <c r="G404" s="61" t="str">
        <f aca="false">IF(LEN(A404&amp;"")=0,"",SUM(Base!F404,F404,Base!K404))</f>
        <v/>
      </c>
      <c r="H404" s="61" t="str">
        <f aca="false">IF(LEN(A404&amp;"")=0,"",Base!L404)</f>
        <v/>
      </c>
      <c r="I404" s="61" t="str">
        <f aca="false">IF(LEN(A404&amp;"")=0,"",G404-H404)</f>
        <v/>
      </c>
      <c r="J404" s="61" t="str">
        <f aca="false">IF(LEN(A404&amp;"")=0,"",Base!M404)</f>
        <v/>
      </c>
      <c r="K404" s="1" t="n">
        <f aca="false">IF(OR(LEN(A404&amp;"")=0,$P$3=0),0,IF(AND(B404&gt;=Painel!$B$8,B404&lt;=Painel!$G$8,OR(Painel!$L$8="Todos",C404=Painel!$L$8),OR(Painel!$Q$8="Todos",D404=Painel!$Q$8),OR(Painel!$V$8="Todas",E404=Painel!$V$8)),1,0))</f>
        <v>0</v>
      </c>
      <c r="L404" s="61" t="str">
        <f aca="false">IF(LEN(A404&amp;"")=0,"",J404-I404)</f>
        <v/>
      </c>
      <c r="M404" s="1" t="n">
        <f aca="false">IF(LEN(A404&amp;"")=0,0,IF(COUNTIFS(Base!$A$7:$A$1006,A404)&gt;1,1,0))</f>
        <v>0</v>
      </c>
      <c r="N404" s="1" t="n">
        <f aca="false">IF(LEN(A404&amp;"")=0,0,IF(ABS(L404)&gt;0.005,1,0))</f>
        <v>0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customFormat="false" ht="23" hidden="false" customHeight="true" outlineLevel="0" collapsed="false">
      <c r="A405" s="1" t="str">
        <f aca="false">IF(LEN(Base!A405&amp;"")=0,"",Base!A405)</f>
        <v/>
      </c>
      <c r="B405" s="60" t="str">
        <f aca="false">IF(LEN(A405&amp;"")=0,"",Base!D405)</f>
        <v/>
      </c>
      <c r="C405" s="1" t="str">
        <f aca="false">IF(LEN(A405&amp;"")=0,"",Base!C405)</f>
        <v/>
      </c>
      <c r="D405" s="1" t="str">
        <f aca="false">IF(LEN(A405&amp;"")=0,"",Base!G405)</f>
        <v/>
      </c>
      <c r="E405" s="1" t="str">
        <f aca="false">IF(LEN(A405&amp;"")=0,"",Base!E405)</f>
        <v/>
      </c>
      <c r="F405" s="61" t="str">
        <f aca="false">IF(LEN(A405&amp;"")=0,"",IF(Base!I405="-",0,Base!I405))</f>
        <v/>
      </c>
      <c r="G405" s="61" t="str">
        <f aca="false">IF(LEN(A405&amp;"")=0,"",SUM(Base!F405,F405,Base!K405))</f>
        <v/>
      </c>
      <c r="H405" s="61" t="str">
        <f aca="false">IF(LEN(A405&amp;"")=0,"",Base!L405)</f>
        <v/>
      </c>
      <c r="I405" s="61" t="str">
        <f aca="false">IF(LEN(A405&amp;"")=0,"",G405-H405)</f>
        <v/>
      </c>
      <c r="J405" s="61" t="str">
        <f aca="false">IF(LEN(A405&amp;"")=0,"",Base!M405)</f>
        <v/>
      </c>
      <c r="K405" s="1" t="n">
        <f aca="false">IF(OR(LEN(A405&amp;"")=0,$P$3=0),0,IF(AND(B405&gt;=Painel!$B$8,B405&lt;=Painel!$G$8,OR(Painel!$L$8="Todos",C405=Painel!$L$8),OR(Painel!$Q$8="Todos",D405=Painel!$Q$8),OR(Painel!$V$8="Todas",E405=Painel!$V$8)),1,0))</f>
        <v>0</v>
      </c>
      <c r="L405" s="61" t="str">
        <f aca="false">IF(LEN(A405&amp;"")=0,"",J405-I405)</f>
        <v/>
      </c>
      <c r="M405" s="1" t="n">
        <f aca="false">IF(LEN(A405&amp;"")=0,0,IF(COUNTIFS(Base!$A$7:$A$1006,A405)&gt;1,1,0))</f>
        <v>0</v>
      </c>
      <c r="N405" s="1" t="n">
        <f aca="false">IF(LEN(A405&amp;"")=0,0,IF(ABS(L405)&gt;0.005,1,0))</f>
        <v>0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customFormat="false" ht="23" hidden="false" customHeight="true" outlineLevel="0" collapsed="false">
      <c r="A406" s="1" t="str">
        <f aca="false">IF(LEN(Base!A406&amp;"")=0,"",Base!A406)</f>
        <v/>
      </c>
      <c r="B406" s="60" t="str">
        <f aca="false">IF(LEN(A406&amp;"")=0,"",Base!D406)</f>
        <v/>
      </c>
      <c r="C406" s="1" t="str">
        <f aca="false">IF(LEN(A406&amp;"")=0,"",Base!C406)</f>
        <v/>
      </c>
      <c r="D406" s="1" t="str">
        <f aca="false">IF(LEN(A406&amp;"")=0,"",Base!G406)</f>
        <v/>
      </c>
      <c r="E406" s="1" t="str">
        <f aca="false">IF(LEN(A406&amp;"")=0,"",Base!E406)</f>
        <v/>
      </c>
      <c r="F406" s="61" t="str">
        <f aca="false">IF(LEN(A406&amp;"")=0,"",IF(Base!I406="-",0,Base!I406))</f>
        <v/>
      </c>
      <c r="G406" s="61" t="str">
        <f aca="false">IF(LEN(A406&amp;"")=0,"",SUM(Base!F406,F406,Base!K406))</f>
        <v/>
      </c>
      <c r="H406" s="61" t="str">
        <f aca="false">IF(LEN(A406&amp;"")=0,"",Base!L406)</f>
        <v/>
      </c>
      <c r="I406" s="61" t="str">
        <f aca="false">IF(LEN(A406&amp;"")=0,"",G406-H406)</f>
        <v/>
      </c>
      <c r="J406" s="61" t="str">
        <f aca="false">IF(LEN(A406&amp;"")=0,"",Base!M406)</f>
        <v/>
      </c>
      <c r="K406" s="1" t="n">
        <f aca="false">IF(OR(LEN(A406&amp;"")=0,$P$3=0),0,IF(AND(B406&gt;=Painel!$B$8,B406&lt;=Painel!$G$8,OR(Painel!$L$8="Todos",C406=Painel!$L$8),OR(Painel!$Q$8="Todos",D406=Painel!$Q$8),OR(Painel!$V$8="Todas",E406=Painel!$V$8)),1,0))</f>
        <v>0</v>
      </c>
      <c r="L406" s="61" t="str">
        <f aca="false">IF(LEN(A406&amp;"")=0,"",J406-I406)</f>
        <v/>
      </c>
      <c r="M406" s="1" t="n">
        <f aca="false">IF(LEN(A406&amp;"")=0,0,IF(COUNTIFS(Base!$A$7:$A$1006,A406)&gt;1,1,0))</f>
        <v>0</v>
      </c>
      <c r="N406" s="1" t="n">
        <f aca="false">IF(LEN(A406&amp;"")=0,0,IF(ABS(L406)&gt;0.005,1,0))</f>
        <v>0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customFormat="false" ht="23" hidden="false" customHeight="true" outlineLevel="0" collapsed="false">
      <c r="A407" s="1" t="str">
        <f aca="false">IF(LEN(Base!A407&amp;"")=0,"",Base!A407)</f>
        <v/>
      </c>
      <c r="B407" s="60" t="str">
        <f aca="false">IF(LEN(A407&amp;"")=0,"",Base!D407)</f>
        <v/>
      </c>
      <c r="C407" s="1" t="str">
        <f aca="false">IF(LEN(A407&amp;"")=0,"",Base!C407)</f>
        <v/>
      </c>
      <c r="D407" s="1" t="str">
        <f aca="false">IF(LEN(A407&amp;"")=0,"",Base!G407)</f>
        <v/>
      </c>
      <c r="E407" s="1" t="str">
        <f aca="false">IF(LEN(A407&amp;"")=0,"",Base!E407)</f>
        <v/>
      </c>
      <c r="F407" s="61" t="str">
        <f aca="false">IF(LEN(A407&amp;"")=0,"",IF(Base!I407="-",0,Base!I407))</f>
        <v/>
      </c>
      <c r="G407" s="61" t="str">
        <f aca="false">IF(LEN(A407&amp;"")=0,"",SUM(Base!F407,F407,Base!K407))</f>
        <v/>
      </c>
      <c r="H407" s="61" t="str">
        <f aca="false">IF(LEN(A407&amp;"")=0,"",Base!L407)</f>
        <v/>
      </c>
      <c r="I407" s="61" t="str">
        <f aca="false">IF(LEN(A407&amp;"")=0,"",G407-H407)</f>
        <v/>
      </c>
      <c r="J407" s="61" t="str">
        <f aca="false">IF(LEN(A407&amp;"")=0,"",Base!M407)</f>
        <v/>
      </c>
      <c r="K407" s="1" t="n">
        <f aca="false">IF(OR(LEN(A407&amp;"")=0,$P$3=0),0,IF(AND(B407&gt;=Painel!$B$8,B407&lt;=Painel!$G$8,OR(Painel!$L$8="Todos",C407=Painel!$L$8),OR(Painel!$Q$8="Todos",D407=Painel!$Q$8),OR(Painel!$V$8="Todas",E407=Painel!$V$8)),1,0))</f>
        <v>0</v>
      </c>
      <c r="L407" s="61" t="str">
        <f aca="false">IF(LEN(A407&amp;"")=0,"",J407-I407)</f>
        <v/>
      </c>
      <c r="M407" s="1" t="n">
        <f aca="false">IF(LEN(A407&amp;"")=0,0,IF(COUNTIFS(Base!$A$7:$A$1006,A407)&gt;1,1,0))</f>
        <v>0</v>
      </c>
      <c r="N407" s="1" t="n">
        <f aca="false">IF(LEN(A407&amp;"")=0,0,IF(ABS(L407)&gt;0.005,1,0))</f>
        <v>0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customFormat="false" ht="23" hidden="false" customHeight="true" outlineLevel="0" collapsed="false">
      <c r="A408" s="1" t="str">
        <f aca="false">IF(LEN(Base!A408&amp;"")=0,"",Base!A408)</f>
        <v/>
      </c>
      <c r="B408" s="60" t="str">
        <f aca="false">IF(LEN(A408&amp;"")=0,"",Base!D408)</f>
        <v/>
      </c>
      <c r="C408" s="1" t="str">
        <f aca="false">IF(LEN(A408&amp;"")=0,"",Base!C408)</f>
        <v/>
      </c>
      <c r="D408" s="1" t="str">
        <f aca="false">IF(LEN(A408&amp;"")=0,"",Base!G408)</f>
        <v/>
      </c>
      <c r="E408" s="1" t="str">
        <f aca="false">IF(LEN(A408&amp;"")=0,"",Base!E408)</f>
        <v/>
      </c>
      <c r="F408" s="61" t="str">
        <f aca="false">IF(LEN(A408&amp;"")=0,"",IF(Base!I408="-",0,Base!I408))</f>
        <v/>
      </c>
      <c r="G408" s="61" t="str">
        <f aca="false">IF(LEN(A408&amp;"")=0,"",SUM(Base!F408,F408,Base!K408))</f>
        <v/>
      </c>
      <c r="H408" s="61" t="str">
        <f aca="false">IF(LEN(A408&amp;"")=0,"",Base!L408)</f>
        <v/>
      </c>
      <c r="I408" s="61" t="str">
        <f aca="false">IF(LEN(A408&amp;"")=0,"",G408-H408)</f>
        <v/>
      </c>
      <c r="J408" s="61" t="str">
        <f aca="false">IF(LEN(A408&amp;"")=0,"",Base!M408)</f>
        <v/>
      </c>
      <c r="K408" s="1" t="n">
        <f aca="false">IF(OR(LEN(A408&amp;"")=0,$P$3=0),0,IF(AND(B408&gt;=Painel!$B$8,B408&lt;=Painel!$G$8,OR(Painel!$L$8="Todos",C408=Painel!$L$8),OR(Painel!$Q$8="Todos",D408=Painel!$Q$8),OR(Painel!$V$8="Todas",E408=Painel!$V$8)),1,0))</f>
        <v>0</v>
      </c>
      <c r="L408" s="61" t="str">
        <f aca="false">IF(LEN(A408&amp;"")=0,"",J408-I408)</f>
        <v/>
      </c>
      <c r="M408" s="1" t="n">
        <f aca="false">IF(LEN(A408&amp;"")=0,0,IF(COUNTIFS(Base!$A$7:$A$1006,A408)&gt;1,1,0))</f>
        <v>0</v>
      </c>
      <c r="N408" s="1" t="n">
        <f aca="false">IF(LEN(A408&amp;"")=0,0,IF(ABS(L408)&gt;0.005,1,0))</f>
        <v>0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customFormat="false" ht="23" hidden="false" customHeight="true" outlineLevel="0" collapsed="false">
      <c r="A409" s="1" t="str">
        <f aca="false">IF(LEN(Base!A409&amp;"")=0,"",Base!A409)</f>
        <v/>
      </c>
      <c r="B409" s="60" t="str">
        <f aca="false">IF(LEN(A409&amp;"")=0,"",Base!D409)</f>
        <v/>
      </c>
      <c r="C409" s="1" t="str">
        <f aca="false">IF(LEN(A409&amp;"")=0,"",Base!C409)</f>
        <v/>
      </c>
      <c r="D409" s="1" t="str">
        <f aca="false">IF(LEN(A409&amp;"")=0,"",Base!G409)</f>
        <v/>
      </c>
      <c r="E409" s="1" t="str">
        <f aca="false">IF(LEN(A409&amp;"")=0,"",Base!E409)</f>
        <v/>
      </c>
      <c r="F409" s="61" t="str">
        <f aca="false">IF(LEN(A409&amp;"")=0,"",IF(Base!I409="-",0,Base!I409))</f>
        <v/>
      </c>
      <c r="G409" s="61" t="str">
        <f aca="false">IF(LEN(A409&amp;"")=0,"",SUM(Base!F409,F409,Base!K409))</f>
        <v/>
      </c>
      <c r="H409" s="61" t="str">
        <f aca="false">IF(LEN(A409&amp;"")=0,"",Base!L409)</f>
        <v/>
      </c>
      <c r="I409" s="61" t="str">
        <f aca="false">IF(LEN(A409&amp;"")=0,"",G409-H409)</f>
        <v/>
      </c>
      <c r="J409" s="61" t="str">
        <f aca="false">IF(LEN(A409&amp;"")=0,"",Base!M409)</f>
        <v/>
      </c>
      <c r="K409" s="1" t="n">
        <f aca="false">IF(OR(LEN(A409&amp;"")=0,$P$3=0),0,IF(AND(B409&gt;=Painel!$B$8,B409&lt;=Painel!$G$8,OR(Painel!$L$8="Todos",C409=Painel!$L$8),OR(Painel!$Q$8="Todos",D409=Painel!$Q$8),OR(Painel!$V$8="Todas",E409=Painel!$V$8)),1,0))</f>
        <v>0</v>
      </c>
      <c r="L409" s="61" t="str">
        <f aca="false">IF(LEN(A409&amp;"")=0,"",J409-I409)</f>
        <v/>
      </c>
      <c r="M409" s="1" t="n">
        <f aca="false">IF(LEN(A409&amp;"")=0,0,IF(COUNTIFS(Base!$A$7:$A$1006,A409)&gt;1,1,0))</f>
        <v>0</v>
      </c>
      <c r="N409" s="1" t="n">
        <f aca="false">IF(LEN(A409&amp;"")=0,0,IF(ABS(L409)&gt;0.005,1,0))</f>
        <v>0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customFormat="false" ht="23" hidden="false" customHeight="true" outlineLevel="0" collapsed="false">
      <c r="A410" s="1" t="str">
        <f aca="false">IF(LEN(Base!A410&amp;"")=0,"",Base!A410)</f>
        <v/>
      </c>
      <c r="B410" s="60" t="str">
        <f aca="false">IF(LEN(A410&amp;"")=0,"",Base!D410)</f>
        <v/>
      </c>
      <c r="C410" s="1" t="str">
        <f aca="false">IF(LEN(A410&amp;"")=0,"",Base!C410)</f>
        <v/>
      </c>
      <c r="D410" s="1" t="str">
        <f aca="false">IF(LEN(A410&amp;"")=0,"",Base!G410)</f>
        <v/>
      </c>
      <c r="E410" s="1" t="str">
        <f aca="false">IF(LEN(A410&amp;"")=0,"",Base!E410)</f>
        <v/>
      </c>
      <c r="F410" s="61" t="str">
        <f aca="false">IF(LEN(A410&amp;"")=0,"",IF(Base!I410="-",0,Base!I410))</f>
        <v/>
      </c>
      <c r="G410" s="61" t="str">
        <f aca="false">IF(LEN(A410&amp;"")=0,"",SUM(Base!F410,F410,Base!K410))</f>
        <v/>
      </c>
      <c r="H410" s="61" t="str">
        <f aca="false">IF(LEN(A410&amp;"")=0,"",Base!L410)</f>
        <v/>
      </c>
      <c r="I410" s="61" t="str">
        <f aca="false">IF(LEN(A410&amp;"")=0,"",G410-H410)</f>
        <v/>
      </c>
      <c r="J410" s="61" t="str">
        <f aca="false">IF(LEN(A410&amp;"")=0,"",Base!M410)</f>
        <v/>
      </c>
      <c r="K410" s="1" t="n">
        <f aca="false">IF(OR(LEN(A410&amp;"")=0,$P$3=0),0,IF(AND(B410&gt;=Painel!$B$8,B410&lt;=Painel!$G$8,OR(Painel!$L$8="Todos",C410=Painel!$L$8),OR(Painel!$Q$8="Todos",D410=Painel!$Q$8),OR(Painel!$V$8="Todas",E410=Painel!$V$8)),1,0))</f>
        <v>0</v>
      </c>
      <c r="L410" s="61" t="str">
        <f aca="false">IF(LEN(A410&amp;"")=0,"",J410-I410)</f>
        <v/>
      </c>
      <c r="M410" s="1" t="n">
        <f aca="false">IF(LEN(A410&amp;"")=0,0,IF(COUNTIFS(Base!$A$7:$A$1006,A410)&gt;1,1,0))</f>
        <v>0</v>
      </c>
      <c r="N410" s="1" t="n">
        <f aca="false">IF(LEN(A410&amp;"")=0,0,IF(ABS(L410)&gt;0.005,1,0))</f>
        <v>0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customFormat="false" ht="23" hidden="false" customHeight="true" outlineLevel="0" collapsed="false">
      <c r="A411" s="1" t="str">
        <f aca="false">IF(LEN(Base!A411&amp;"")=0,"",Base!A411)</f>
        <v/>
      </c>
      <c r="B411" s="60" t="str">
        <f aca="false">IF(LEN(A411&amp;"")=0,"",Base!D411)</f>
        <v/>
      </c>
      <c r="C411" s="1" t="str">
        <f aca="false">IF(LEN(A411&amp;"")=0,"",Base!C411)</f>
        <v/>
      </c>
      <c r="D411" s="1" t="str">
        <f aca="false">IF(LEN(A411&amp;"")=0,"",Base!G411)</f>
        <v/>
      </c>
      <c r="E411" s="1" t="str">
        <f aca="false">IF(LEN(A411&amp;"")=0,"",Base!E411)</f>
        <v/>
      </c>
      <c r="F411" s="61" t="str">
        <f aca="false">IF(LEN(A411&amp;"")=0,"",IF(Base!I411="-",0,Base!I411))</f>
        <v/>
      </c>
      <c r="G411" s="61" t="str">
        <f aca="false">IF(LEN(A411&amp;"")=0,"",SUM(Base!F411,F411,Base!K411))</f>
        <v/>
      </c>
      <c r="H411" s="61" t="str">
        <f aca="false">IF(LEN(A411&amp;"")=0,"",Base!L411)</f>
        <v/>
      </c>
      <c r="I411" s="61" t="str">
        <f aca="false">IF(LEN(A411&amp;"")=0,"",G411-H411)</f>
        <v/>
      </c>
      <c r="J411" s="61" t="str">
        <f aca="false">IF(LEN(A411&amp;"")=0,"",Base!M411)</f>
        <v/>
      </c>
      <c r="K411" s="1" t="n">
        <f aca="false">IF(OR(LEN(A411&amp;"")=0,$P$3=0),0,IF(AND(B411&gt;=Painel!$B$8,B411&lt;=Painel!$G$8,OR(Painel!$L$8="Todos",C411=Painel!$L$8),OR(Painel!$Q$8="Todos",D411=Painel!$Q$8),OR(Painel!$V$8="Todas",E411=Painel!$V$8)),1,0))</f>
        <v>0</v>
      </c>
      <c r="L411" s="61" t="str">
        <f aca="false">IF(LEN(A411&amp;"")=0,"",J411-I411)</f>
        <v/>
      </c>
      <c r="M411" s="1" t="n">
        <f aca="false">IF(LEN(A411&amp;"")=0,0,IF(COUNTIFS(Base!$A$7:$A$1006,A411)&gt;1,1,0))</f>
        <v>0</v>
      </c>
      <c r="N411" s="1" t="n">
        <f aca="false">IF(LEN(A411&amp;"")=0,0,IF(ABS(L411)&gt;0.005,1,0))</f>
        <v>0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customFormat="false" ht="23" hidden="false" customHeight="true" outlineLevel="0" collapsed="false">
      <c r="A412" s="1" t="str">
        <f aca="false">IF(LEN(Base!A412&amp;"")=0,"",Base!A412)</f>
        <v/>
      </c>
      <c r="B412" s="60" t="str">
        <f aca="false">IF(LEN(A412&amp;"")=0,"",Base!D412)</f>
        <v/>
      </c>
      <c r="C412" s="1" t="str">
        <f aca="false">IF(LEN(A412&amp;"")=0,"",Base!C412)</f>
        <v/>
      </c>
      <c r="D412" s="1" t="str">
        <f aca="false">IF(LEN(A412&amp;"")=0,"",Base!G412)</f>
        <v/>
      </c>
      <c r="E412" s="1" t="str">
        <f aca="false">IF(LEN(A412&amp;"")=0,"",Base!E412)</f>
        <v/>
      </c>
      <c r="F412" s="61" t="str">
        <f aca="false">IF(LEN(A412&amp;"")=0,"",IF(Base!I412="-",0,Base!I412))</f>
        <v/>
      </c>
      <c r="G412" s="61" t="str">
        <f aca="false">IF(LEN(A412&amp;"")=0,"",SUM(Base!F412,F412,Base!K412))</f>
        <v/>
      </c>
      <c r="H412" s="61" t="str">
        <f aca="false">IF(LEN(A412&amp;"")=0,"",Base!L412)</f>
        <v/>
      </c>
      <c r="I412" s="61" t="str">
        <f aca="false">IF(LEN(A412&amp;"")=0,"",G412-H412)</f>
        <v/>
      </c>
      <c r="J412" s="61" t="str">
        <f aca="false">IF(LEN(A412&amp;"")=0,"",Base!M412)</f>
        <v/>
      </c>
      <c r="K412" s="1" t="n">
        <f aca="false">IF(OR(LEN(A412&amp;"")=0,$P$3=0),0,IF(AND(B412&gt;=Painel!$B$8,B412&lt;=Painel!$G$8,OR(Painel!$L$8="Todos",C412=Painel!$L$8),OR(Painel!$Q$8="Todos",D412=Painel!$Q$8),OR(Painel!$V$8="Todas",E412=Painel!$V$8)),1,0))</f>
        <v>0</v>
      </c>
      <c r="L412" s="61" t="str">
        <f aca="false">IF(LEN(A412&amp;"")=0,"",J412-I412)</f>
        <v/>
      </c>
      <c r="M412" s="1" t="n">
        <f aca="false">IF(LEN(A412&amp;"")=0,0,IF(COUNTIFS(Base!$A$7:$A$1006,A412)&gt;1,1,0))</f>
        <v>0</v>
      </c>
      <c r="N412" s="1" t="n">
        <f aca="false">IF(LEN(A412&amp;"")=0,0,IF(ABS(L412)&gt;0.005,1,0))</f>
        <v>0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customFormat="false" ht="23" hidden="false" customHeight="true" outlineLevel="0" collapsed="false">
      <c r="A413" s="1" t="str">
        <f aca="false">IF(LEN(Base!A413&amp;"")=0,"",Base!A413)</f>
        <v/>
      </c>
      <c r="B413" s="60" t="str">
        <f aca="false">IF(LEN(A413&amp;"")=0,"",Base!D413)</f>
        <v/>
      </c>
      <c r="C413" s="1" t="str">
        <f aca="false">IF(LEN(A413&amp;"")=0,"",Base!C413)</f>
        <v/>
      </c>
      <c r="D413" s="1" t="str">
        <f aca="false">IF(LEN(A413&amp;"")=0,"",Base!G413)</f>
        <v/>
      </c>
      <c r="E413" s="1" t="str">
        <f aca="false">IF(LEN(A413&amp;"")=0,"",Base!E413)</f>
        <v/>
      </c>
      <c r="F413" s="61" t="str">
        <f aca="false">IF(LEN(A413&amp;"")=0,"",IF(Base!I413="-",0,Base!I413))</f>
        <v/>
      </c>
      <c r="G413" s="61" t="str">
        <f aca="false">IF(LEN(A413&amp;"")=0,"",SUM(Base!F413,F413,Base!K413))</f>
        <v/>
      </c>
      <c r="H413" s="61" t="str">
        <f aca="false">IF(LEN(A413&amp;"")=0,"",Base!L413)</f>
        <v/>
      </c>
      <c r="I413" s="61" t="str">
        <f aca="false">IF(LEN(A413&amp;"")=0,"",G413-H413)</f>
        <v/>
      </c>
      <c r="J413" s="61" t="str">
        <f aca="false">IF(LEN(A413&amp;"")=0,"",Base!M413)</f>
        <v/>
      </c>
      <c r="K413" s="1" t="n">
        <f aca="false">IF(OR(LEN(A413&amp;"")=0,$P$3=0),0,IF(AND(B413&gt;=Painel!$B$8,B413&lt;=Painel!$G$8,OR(Painel!$L$8="Todos",C413=Painel!$L$8),OR(Painel!$Q$8="Todos",D413=Painel!$Q$8),OR(Painel!$V$8="Todas",E413=Painel!$V$8)),1,0))</f>
        <v>0</v>
      </c>
      <c r="L413" s="61" t="str">
        <f aca="false">IF(LEN(A413&amp;"")=0,"",J413-I413)</f>
        <v/>
      </c>
      <c r="M413" s="1" t="n">
        <f aca="false">IF(LEN(A413&amp;"")=0,0,IF(COUNTIFS(Base!$A$7:$A$1006,A413)&gt;1,1,0))</f>
        <v>0</v>
      </c>
      <c r="N413" s="1" t="n">
        <f aca="false">IF(LEN(A413&amp;"")=0,0,IF(ABS(L413)&gt;0.005,1,0))</f>
        <v>0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customFormat="false" ht="23" hidden="false" customHeight="true" outlineLevel="0" collapsed="false">
      <c r="A414" s="1" t="str">
        <f aca="false">IF(LEN(Base!A414&amp;"")=0,"",Base!A414)</f>
        <v/>
      </c>
      <c r="B414" s="60" t="str">
        <f aca="false">IF(LEN(A414&amp;"")=0,"",Base!D414)</f>
        <v/>
      </c>
      <c r="C414" s="1" t="str">
        <f aca="false">IF(LEN(A414&amp;"")=0,"",Base!C414)</f>
        <v/>
      </c>
      <c r="D414" s="1" t="str">
        <f aca="false">IF(LEN(A414&amp;"")=0,"",Base!G414)</f>
        <v/>
      </c>
      <c r="E414" s="1" t="str">
        <f aca="false">IF(LEN(A414&amp;"")=0,"",Base!E414)</f>
        <v/>
      </c>
      <c r="F414" s="61" t="str">
        <f aca="false">IF(LEN(A414&amp;"")=0,"",IF(Base!I414="-",0,Base!I414))</f>
        <v/>
      </c>
      <c r="G414" s="61" t="str">
        <f aca="false">IF(LEN(A414&amp;"")=0,"",SUM(Base!F414,F414,Base!K414))</f>
        <v/>
      </c>
      <c r="H414" s="61" t="str">
        <f aca="false">IF(LEN(A414&amp;"")=0,"",Base!L414)</f>
        <v/>
      </c>
      <c r="I414" s="61" t="str">
        <f aca="false">IF(LEN(A414&amp;"")=0,"",G414-H414)</f>
        <v/>
      </c>
      <c r="J414" s="61" t="str">
        <f aca="false">IF(LEN(A414&amp;"")=0,"",Base!M414)</f>
        <v/>
      </c>
      <c r="K414" s="1" t="n">
        <f aca="false">IF(OR(LEN(A414&amp;"")=0,$P$3=0),0,IF(AND(B414&gt;=Painel!$B$8,B414&lt;=Painel!$G$8,OR(Painel!$L$8="Todos",C414=Painel!$L$8),OR(Painel!$Q$8="Todos",D414=Painel!$Q$8),OR(Painel!$V$8="Todas",E414=Painel!$V$8)),1,0))</f>
        <v>0</v>
      </c>
      <c r="L414" s="61" t="str">
        <f aca="false">IF(LEN(A414&amp;"")=0,"",J414-I414)</f>
        <v/>
      </c>
      <c r="M414" s="1" t="n">
        <f aca="false">IF(LEN(A414&amp;"")=0,0,IF(COUNTIFS(Base!$A$7:$A$1006,A414)&gt;1,1,0))</f>
        <v>0</v>
      </c>
      <c r="N414" s="1" t="n">
        <f aca="false">IF(LEN(A414&amp;"")=0,0,IF(ABS(L414)&gt;0.005,1,0))</f>
        <v>0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customFormat="false" ht="23" hidden="false" customHeight="true" outlineLevel="0" collapsed="false">
      <c r="A415" s="1" t="str">
        <f aca="false">IF(LEN(Base!A415&amp;"")=0,"",Base!A415)</f>
        <v/>
      </c>
      <c r="B415" s="60" t="str">
        <f aca="false">IF(LEN(A415&amp;"")=0,"",Base!D415)</f>
        <v/>
      </c>
      <c r="C415" s="1" t="str">
        <f aca="false">IF(LEN(A415&amp;"")=0,"",Base!C415)</f>
        <v/>
      </c>
      <c r="D415" s="1" t="str">
        <f aca="false">IF(LEN(A415&amp;"")=0,"",Base!G415)</f>
        <v/>
      </c>
      <c r="E415" s="1" t="str">
        <f aca="false">IF(LEN(A415&amp;"")=0,"",Base!E415)</f>
        <v/>
      </c>
      <c r="F415" s="61" t="str">
        <f aca="false">IF(LEN(A415&amp;"")=0,"",IF(Base!I415="-",0,Base!I415))</f>
        <v/>
      </c>
      <c r="G415" s="61" t="str">
        <f aca="false">IF(LEN(A415&amp;"")=0,"",SUM(Base!F415,F415,Base!K415))</f>
        <v/>
      </c>
      <c r="H415" s="61" t="str">
        <f aca="false">IF(LEN(A415&amp;"")=0,"",Base!L415)</f>
        <v/>
      </c>
      <c r="I415" s="61" t="str">
        <f aca="false">IF(LEN(A415&amp;"")=0,"",G415-H415)</f>
        <v/>
      </c>
      <c r="J415" s="61" t="str">
        <f aca="false">IF(LEN(A415&amp;"")=0,"",Base!M415)</f>
        <v/>
      </c>
      <c r="K415" s="1" t="n">
        <f aca="false">IF(OR(LEN(A415&amp;"")=0,$P$3=0),0,IF(AND(B415&gt;=Painel!$B$8,B415&lt;=Painel!$G$8,OR(Painel!$L$8="Todos",C415=Painel!$L$8),OR(Painel!$Q$8="Todos",D415=Painel!$Q$8),OR(Painel!$V$8="Todas",E415=Painel!$V$8)),1,0))</f>
        <v>0</v>
      </c>
      <c r="L415" s="61" t="str">
        <f aca="false">IF(LEN(A415&amp;"")=0,"",J415-I415)</f>
        <v/>
      </c>
      <c r="M415" s="1" t="n">
        <f aca="false">IF(LEN(A415&amp;"")=0,0,IF(COUNTIFS(Base!$A$7:$A$1006,A415)&gt;1,1,0))</f>
        <v>0</v>
      </c>
      <c r="N415" s="1" t="n">
        <f aca="false">IF(LEN(A415&amp;"")=0,0,IF(ABS(L415)&gt;0.005,1,0))</f>
        <v>0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customFormat="false" ht="23" hidden="false" customHeight="true" outlineLevel="0" collapsed="false">
      <c r="A416" s="1" t="str">
        <f aca="false">IF(LEN(Base!A416&amp;"")=0,"",Base!A416)</f>
        <v/>
      </c>
      <c r="B416" s="60" t="str">
        <f aca="false">IF(LEN(A416&amp;"")=0,"",Base!D416)</f>
        <v/>
      </c>
      <c r="C416" s="1" t="str">
        <f aca="false">IF(LEN(A416&amp;"")=0,"",Base!C416)</f>
        <v/>
      </c>
      <c r="D416" s="1" t="str">
        <f aca="false">IF(LEN(A416&amp;"")=0,"",Base!G416)</f>
        <v/>
      </c>
      <c r="E416" s="1" t="str">
        <f aca="false">IF(LEN(A416&amp;"")=0,"",Base!E416)</f>
        <v/>
      </c>
      <c r="F416" s="61" t="str">
        <f aca="false">IF(LEN(A416&amp;"")=0,"",IF(Base!I416="-",0,Base!I416))</f>
        <v/>
      </c>
      <c r="G416" s="61" t="str">
        <f aca="false">IF(LEN(A416&amp;"")=0,"",SUM(Base!F416,F416,Base!K416))</f>
        <v/>
      </c>
      <c r="H416" s="61" t="str">
        <f aca="false">IF(LEN(A416&amp;"")=0,"",Base!L416)</f>
        <v/>
      </c>
      <c r="I416" s="61" t="str">
        <f aca="false">IF(LEN(A416&amp;"")=0,"",G416-H416)</f>
        <v/>
      </c>
      <c r="J416" s="61" t="str">
        <f aca="false">IF(LEN(A416&amp;"")=0,"",Base!M416)</f>
        <v/>
      </c>
      <c r="K416" s="1" t="n">
        <f aca="false">IF(OR(LEN(A416&amp;"")=0,$P$3=0),0,IF(AND(B416&gt;=Painel!$B$8,B416&lt;=Painel!$G$8,OR(Painel!$L$8="Todos",C416=Painel!$L$8),OR(Painel!$Q$8="Todos",D416=Painel!$Q$8),OR(Painel!$V$8="Todas",E416=Painel!$V$8)),1,0))</f>
        <v>0</v>
      </c>
      <c r="L416" s="61" t="str">
        <f aca="false">IF(LEN(A416&amp;"")=0,"",J416-I416)</f>
        <v/>
      </c>
      <c r="M416" s="1" t="n">
        <f aca="false">IF(LEN(A416&amp;"")=0,0,IF(COUNTIFS(Base!$A$7:$A$1006,A416)&gt;1,1,0))</f>
        <v>0</v>
      </c>
      <c r="N416" s="1" t="n">
        <f aca="false">IF(LEN(A416&amp;"")=0,0,IF(ABS(L416)&gt;0.005,1,0))</f>
        <v>0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customFormat="false" ht="23" hidden="false" customHeight="true" outlineLevel="0" collapsed="false">
      <c r="A417" s="1" t="str">
        <f aca="false">IF(LEN(Base!A417&amp;"")=0,"",Base!A417)</f>
        <v/>
      </c>
      <c r="B417" s="60" t="str">
        <f aca="false">IF(LEN(A417&amp;"")=0,"",Base!D417)</f>
        <v/>
      </c>
      <c r="C417" s="1" t="str">
        <f aca="false">IF(LEN(A417&amp;"")=0,"",Base!C417)</f>
        <v/>
      </c>
      <c r="D417" s="1" t="str">
        <f aca="false">IF(LEN(A417&amp;"")=0,"",Base!G417)</f>
        <v/>
      </c>
      <c r="E417" s="1" t="str">
        <f aca="false">IF(LEN(A417&amp;"")=0,"",Base!E417)</f>
        <v/>
      </c>
      <c r="F417" s="61" t="str">
        <f aca="false">IF(LEN(A417&amp;"")=0,"",IF(Base!I417="-",0,Base!I417))</f>
        <v/>
      </c>
      <c r="G417" s="61" t="str">
        <f aca="false">IF(LEN(A417&amp;"")=0,"",SUM(Base!F417,F417,Base!K417))</f>
        <v/>
      </c>
      <c r="H417" s="61" t="str">
        <f aca="false">IF(LEN(A417&amp;"")=0,"",Base!L417)</f>
        <v/>
      </c>
      <c r="I417" s="61" t="str">
        <f aca="false">IF(LEN(A417&amp;"")=0,"",G417-H417)</f>
        <v/>
      </c>
      <c r="J417" s="61" t="str">
        <f aca="false">IF(LEN(A417&amp;"")=0,"",Base!M417)</f>
        <v/>
      </c>
      <c r="K417" s="1" t="n">
        <f aca="false">IF(OR(LEN(A417&amp;"")=0,$P$3=0),0,IF(AND(B417&gt;=Painel!$B$8,B417&lt;=Painel!$G$8,OR(Painel!$L$8="Todos",C417=Painel!$L$8),OR(Painel!$Q$8="Todos",D417=Painel!$Q$8),OR(Painel!$V$8="Todas",E417=Painel!$V$8)),1,0))</f>
        <v>0</v>
      </c>
      <c r="L417" s="61" t="str">
        <f aca="false">IF(LEN(A417&amp;"")=0,"",J417-I417)</f>
        <v/>
      </c>
      <c r="M417" s="1" t="n">
        <f aca="false">IF(LEN(A417&amp;"")=0,0,IF(COUNTIFS(Base!$A$7:$A$1006,A417)&gt;1,1,0))</f>
        <v>0</v>
      </c>
      <c r="N417" s="1" t="n">
        <f aca="false">IF(LEN(A417&amp;"")=0,0,IF(ABS(L417)&gt;0.005,1,0))</f>
        <v>0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customFormat="false" ht="23" hidden="false" customHeight="true" outlineLevel="0" collapsed="false">
      <c r="A418" s="1" t="str">
        <f aca="false">IF(LEN(Base!A418&amp;"")=0,"",Base!A418)</f>
        <v/>
      </c>
      <c r="B418" s="60" t="str">
        <f aca="false">IF(LEN(A418&amp;"")=0,"",Base!D418)</f>
        <v/>
      </c>
      <c r="C418" s="1" t="str">
        <f aca="false">IF(LEN(A418&amp;"")=0,"",Base!C418)</f>
        <v/>
      </c>
      <c r="D418" s="1" t="str">
        <f aca="false">IF(LEN(A418&amp;"")=0,"",Base!G418)</f>
        <v/>
      </c>
      <c r="E418" s="1" t="str">
        <f aca="false">IF(LEN(A418&amp;"")=0,"",Base!E418)</f>
        <v/>
      </c>
      <c r="F418" s="61" t="str">
        <f aca="false">IF(LEN(A418&amp;"")=0,"",IF(Base!I418="-",0,Base!I418))</f>
        <v/>
      </c>
      <c r="G418" s="61" t="str">
        <f aca="false">IF(LEN(A418&amp;"")=0,"",SUM(Base!F418,F418,Base!K418))</f>
        <v/>
      </c>
      <c r="H418" s="61" t="str">
        <f aca="false">IF(LEN(A418&amp;"")=0,"",Base!L418)</f>
        <v/>
      </c>
      <c r="I418" s="61" t="str">
        <f aca="false">IF(LEN(A418&amp;"")=0,"",G418-H418)</f>
        <v/>
      </c>
      <c r="J418" s="61" t="str">
        <f aca="false">IF(LEN(A418&amp;"")=0,"",Base!M418)</f>
        <v/>
      </c>
      <c r="K418" s="1" t="n">
        <f aca="false">IF(OR(LEN(A418&amp;"")=0,$P$3=0),0,IF(AND(B418&gt;=Painel!$B$8,B418&lt;=Painel!$G$8,OR(Painel!$L$8="Todos",C418=Painel!$L$8),OR(Painel!$Q$8="Todos",D418=Painel!$Q$8),OR(Painel!$V$8="Todas",E418=Painel!$V$8)),1,0))</f>
        <v>0</v>
      </c>
      <c r="L418" s="61" t="str">
        <f aca="false">IF(LEN(A418&amp;"")=0,"",J418-I418)</f>
        <v/>
      </c>
      <c r="M418" s="1" t="n">
        <f aca="false">IF(LEN(A418&amp;"")=0,0,IF(COUNTIFS(Base!$A$7:$A$1006,A418)&gt;1,1,0))</f>
        <v>0</v>
      </c>
      <c r="N418" s="1" t="n">
        <f aca="false">IF(LEN(A418&amp;"")=0,0,IF(ABS(L418)&gt;0.005,1,0))</f>
        <v>0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customFormat="false" ht="23" hidden="false" customHeight="true" outlineLevel="0" collapsed="false">
      <c r="A419" s="1" t="str">
        <f aca="false">IF(LEN(Base!A419&amp;"")=0,"",Base!A419)</f>
        <v/>
      </c>
      <c r="B419" s="60" t="str">
        <f aca="false">IF(LEN(A419&amp;"")=0,"",Base!D419)</f>
        <v/>
      </c>
      <c r="C419" s="1" t="str">
        <f aca="false">IF(LEN(A419&amp;"")=0,"",Base!C419)</f>
        <v/>
      </c>
      <c r="D419" s="1" t="str">
        <f aca="false">IF(LEN(A419&amp;"")=0,"",Base!G419)</f>
        <v/>
      </c>
      <c r="E419" s="1" t="str">
        <f aca="false">IF(LEN(A419&amp;"")=0,"",Base!E419)</f>
        <v/>
      </c>
      <c r="F419" s="61" t="str">
        <f aca="false">IF(LEN(A419&amp;"")=0,"",IF(Base!I419="-",0,Base!I419))</f>
        <v/>
      </c>
      <c r="G419" s="61" t="str">
        <f aca="false">IF(LEN(A419&amp;"")=0,"",SUM(Base!F419,F419,Base!K419))</f>
        <v/>
      </c>
      <c r="H419" s="61" t="str">
        <f aca="false">IF(LEN(A419&amp;"")=0,"",Base!L419)</f>
        <v/>
      </c>
      <c r="I419" s="61" t="str">
        <f aca="false">IF(LEN(A419&amp;"")=0,"",G419-H419)</f>
        <v/>
      </c>
      <c r="J419" s="61" t="str">
        <f aca="false">IF(LEN(A419&amp;"")=0,"",Base!M419)</f>
        <v/>
      </c>
      <c r="K419" s="1" t="n">
        <f aca="false">IF(OR(LEN(A419&amp;"")=0,$P$3=0),0,IF(AND(B419&gt;=Painel!$B$8,B419&lt;=Painel!$G$8,OR(Painel!$L$8="Todos",C419=Painel!$L$8),OR(Painel!$Q$8="Todos",D419=Painel!$Q$8),OR(Painel!$V$8="Todas",E419=Painel!$V$8)),1,0))</f>
        <v>0</v>
      </c>
      <c r="L419" s="61" t="str">
        <f aca="false">IF(LEN(A419&amp;"")=0,"",J419-I419)</f>
        <v/>
      </c>
      <c r="M419" s="1" t="n">
        <f aca="false">IF(LEN(A419&amp;"")=0,0,IF(COUNTIFS(Base!$A$7:$A$1006,A419)&gt;1,1,0))</f>
        <v>0</v>
      </c>
      <c r="N419" s="1" t="n">
        <f aca="false">IF(LEN(A419&amp;"")=0,0,IF(ABS(L419)&gt;0.005,1,0))</f>
        <v>0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customFormat="false" ht="23" hidden="false" customHeight="true" outlineLevel="0" collapsed="false">
      <c r="A420" s="1" t="str">
        <f aca="false">IF(LEN(Base!A420&amp;"")=0,"",Base!A420)</f>
        <v/>
      </c>
      <c r="B420" s="60" t="str">
        <f aca="false">IF(LEN(A420&amp;"")=0,"",Base!D420)</f>
        <v/>
      </c>
      <c r="C420" s="1" t="str">
        <f aca="false">IF(LEN(A420&amp;"")=0,"",Base!C420)</f>
        <v/>
      </c>
      <c r="D420" s="1" t="str">
        <f aca="false">IF(LEN(A420&amp;"")=0,"",Base!G420)</f>
        <v/>
      </c>
      <c r="E420" s="1" t="str">
        <f aca="false">IF(LEN(A420&amp;"")=0,"",Base!E420)</f>
        <v/>
      </c>
      <c r="F420" s="61" t="str">
        <f aca="false">IF(LEN(A420&amp;"")=0,"",IF(Base!I420="-",0,Base!I420))</f>
        <v/>
      </c>
      <c r="G420" s="61" t="str">
        <f aca="false">IF(LEN(A420&amp;"")=0,"",SUM(Base!F420,F420,Base!K420))</f>
        <v/>
      </c>
      <c r="H420" s="61" t="str">
        <f aca="false">IF(LEN(A420&amp;"")=0,"",Base!L420)</f>
        <v/>
      </c>
      <c r="I420" s="61" t="str">
        <f aca="false">IF(LEN(A420&amp;"")=0,"",G420-H420)</f>
        <v/>
      </c>
      <c r="J420" s="61" t="str">
        <f aca="false">IF(LEN(A420&amp;"")=0,"",Base!M420)</f>
        <v/>
      </c>
      <c r="K420" s="1" t="n">
        <f aca="false">IF(OR(LEN(A420&amp;"")=0,$P$3=0),0,IF(AND(B420&gt;=Painel!$B$8,B420&lt;=Painel!$G$8,OR(Painel!$L$8="Todos",C420=Painel!$L$8),OR(Painel!$Q$8="Todos",D420=Painel!$Q$8),OR(Painel!$V$8="Todas",E420=Painel!$V$8)),1,0))</f>
        <v>0</v>
      </c>
      <c r="L420" s="61" t="str">
        <f aca="false">IF(LEN(A420&amp;"")=0,"",J420-I420)</f>
        <v/>
      </c>
      <c r="M420" s="1" t="n">
        <f aca="false">IF(LEN(A420&amp;"")=0,0,IF(COUNTIFS(Base!$A$7:$A$1006,A420)&gt;1,1,0))</f>
        <v>0</v>
      </c>
      <c r="N420" s="1" t="n">
        <f aca="false">IF(LEN(A420&amp;"")=0,0,IF(ABS(L420)&gt;0.005,1,0))</f>
        <v>0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customFormat="false" ht="23" hidden="false" customHeight="true" outlineLevel="0" collapsed="false">
      <c r="A421" s="1" t="str">
        <f aca="false">IF(LEN(Base!A421&amp;"")=0,"",Base!A421)</f>
        <v/>
      </c>
      <c r="B421" s="60" t="str">
        <f aca="false">IF(LEN(A421&amp;"")=0,"",Base!D421)</f>
        <v/>
      </c>
      <c r="C421" s="1" t="str">
        <f aca="false">IF(LEN(A421&amp;"")=0,"",Base!C421)</f>
        <v/>
      </c>
      <c r="D421" s="1" t="str">
        <f aca="false">IF(LEN(A421&amp;"")=0,"",Base!G421)</f>
        <v/>
      </c>
      <c r="E421" s="1" t="str">
        <f aca="false">IF(LEN(A421&amp;"")=0,"",Base!E421)</f>
        <v/>
      </c>
      <c r="F421" s="61" t="str">
        <f aca="false">IF(LEN(A421&amp;"")=0,"",IF(Base!I421="-",0,Base!I421))</f>
        <v/>
      </c>
      <c r="G421" s="61" t="str">
        <f aca="false">IF(LEN(A421&amp;"")=0,"",SUM(Base!F421,F421,Base!K421))</f>
        <v/>
      </c>
      <c r="H421" s="61" t="str">
        <f aca="false">IF(LEN(A421&amp;"")=0,"",Base!L421)</f>
        <v/>
      </c>
      <c r="I421" s="61" t="str">
        <f aca="false">IF(LEN(A421&amp;"")=0,"",G421-H421)</f>
        <v/>
      </c>
      <c r="J421" s="61" t="str">
        <f aca="false">IF(LEN(A421&amp;"")=0,"",Base!M421)</f>
        <v/>
      </c>
      <c r="K421" s="1" t="n">
        <f aca="false">IF(OR(LEN(A421&amp;"")=0,$P$3=0),0,IF(AND(B421&gt;=Painel!$B$8,B421&lt;=Painel!$G$8,OR(Painel!$L$8="Todos",C421=Painel!$L$8),OR(Painel!$Q$8="Todos",D421=Painel!$Q$8),OR(Painel!$V$8="Todas",E421=Painel!$V$8)),1,0))</f>
        <v>0</v>
      </c>
      <c r="L421" s="61" t="str">
        <f aca="false">IF(LEN(A421&amp;"")=0,"",J421-I421)</f>
        <v/>
      </c>
      <c r="M421" s="1" t="n">
        <f aca="false">IF(LEN(A421&amp;"")=0,0,IF(COUNTIFS(Base!$A$7:$A$1006,A421)&gt;1,1,0))</f>
        <v>0</v>
      </c>
      <c r="N421" s="1" t="n">
        <f aca="false">IF(LEN(A421&amp;"")=0,0,IF(ABS(L421)&gt;0.005,1,0))</f>
        <v>0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customFormat="false" ht="23" hidden="false" customHeight="true" outlineLevel="0" collapsed="false">
      <c r="A422" s="1" t="str">
        <f aca="false">IF(LEN(Base!A422&amp;"")=0,"",Base!A422)</f>
        <v/>
      </c>
      <c r="B422" s="60" t="str">
        <f aca="false">IF(LEN(A422&amp;"")=0,"",Base!D422)</f>
        <v/>
      </c>
      <c r="C422" s="1" t="str">
        <f aca="false">IF(LEN(A422&amp;"")=0,"",Base!C422)</f>
        <v/>
      </c>
      <c r="D422" s="1" t="str">
        <f aca="false">IF(LEN(A422&amp;"")=0,"",Base!G422)</f>
        <v/>
      </c>
      <c r="E422" s="1" t="str">
        <f aca="false">IF(LEN(A422&amp;"")=0,"",Base!E422)</f>
        <v/>
      </c>
      <c r="F422" s="61" t="str">
        <f aca="false">IF(LEN(A422&amp;"")=0,"",IF(Base!I422="-",0,Base!I422))</f>
        <v/>
      </c>
      <c r="G422" s="61" t="str">
        <f aca="false">IF(LEN(A422&amp;"")=0,"",SUM(Base!F422,F422,Base!K422))</f>
        <v/>
      </c>
      <c r="H422" s="61" t="str">
        <f aca="false">IF(LEN(A422&amp;"")=0,"",Base!L422)</f>
        <v/>
      </c>
      <c r="I422" s="61" t="str">
        <f aca="false">IF(LEN(A422&amp;"")=0,"",G422-H422)</f>
        <v/>
      </c>
      <c r="J422" s="61" t="str">
        <f aca="false">IF(LEN(A422&amp;"")=0,"",Base!M422)</f>
        <v/>
      </c>
      <c r="K422" s="1" t="n">
        <f aca="false">IF(OR(LEN(A422&amp;"")=0,$P$3=0),0,IF(AND(B422&gt;=Painel!$B$8,B422&lt;=Painel!$G$8,OR(Painel!$L$8="Todos",C422=Painel!$L$8),OR(Painel!$Q$8="Todos",D422=Painel!$Q$8),OR(Painel!$V$8="Todas",E422=Painel!$V$8)),1,0))</f>
        <v>0</v>
      </c>
      <c r="L422" s="61" t="str">
        <f aca="false">IF(LEN(A422&amp;"")=0,"",J422-I422)</f>
        <v/>
      </c>
      <c r="M422" s="1" t="n">
        <f aca="false">IF(LEN(A422&amp;"")=0,0,IF(COUNTIFS(Base!$A$7:$A$1006,A422)&gt;1,1,0))</f>
        <v>0</v>
      </c>
      <c r="N422" s="1" t="n">
        <f aca="false">IF(LEN(A422&amp;"")=0,0,IF(ABS(L422)&gt;0.005,1,0))</f>
        <v>0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customFormat="false" ht="23" hidden="false" customHeight="true" outlineLevel="0" collapsed="false">
      <c r="A423" s="1" t="str">
        <f aca="false">IF(LEN(Base!A423&amp;"")=0,"",Base!A423)</f>
        <v/>
      </c>
      <c r="B423" s="60" t="str">
        <f aca="false">IF(LEN(A423&amp;"")=0,"",Base!D423)</f>
        <v/>
      </c>
      <c r="C423" s="1" t="str">
        <f aca="false">IF(LEN(A423&amp;"")=0,"",Base!C423)</f>
        <v/>
      </c>
      <c r="D423" s="1" t="str">
        <f aca="false">IF(LEN(A423&amp;"")=0,"",Base!G423)</f>
        <v/>
      </c>
      <c r="E423" s="1" t="str">
        <f aca="false">IF(LEN(A423&amp;"")=0,"",Base!E423)</f>
        <v/>
      </c>
      <c r="F423" s="61" t="str">
        <f aca="false">IF(LEN(A423&amp;"")=0,"",IF(Base!I423="-",0,Base!I423))</f>
        <v/>
      </c>
      <c r="G423" s="61" t="str">
        <f aca="false">IF(LEN(A423&amp;"")=0,"",SUM(Base!F423,F423,Base!K423))</f>
        <v/>
      </c>
      <c r="H423" s="61" t="str">
        <f aca="false">IF(LEN(A423&amp;"")=0,"",Base!L423)</f>
        <v/>
      </c>
      <c r="I423" s="61" t="str">
        <f aca="false">IF(LEN(A423&amp;"")=0,"",G423-H423)</f>
        <v/>
      </c>
      <c r="J423" s="61" t="str">
        <f aca="false">IF(LEN(A423&amp;"")=0,"",Base!M423)</f>
        <v/>
      </c>
      <c r="K423" s="1" t="n">
        <f aca="false">IF(OR(LEN(A423&amp;"")=0,$P$3=0),0,IF(AND(B423&gt;=Painel!$B$8,B423&lt;=Painel!$G$8,OR(Painel!$L$8="Todos",C423=Painel!$L$8),OR(Painel!$Q$8="Todos",D423=Painel!$Q$8),OR(Painel!$V$8="Todas",E423=Painel!$V$8)),1,0))</f>
        <v>0</v>
      </c>
      <c r="L423" s="61" t="str">
        <f aca="false">IF(LEN(A423&amp;"")=0,"",J423-I423)</f>
        <v/>
      </c>
      <c r="M423" s="1" t="n">
        <f aca="false">IF(LEN(A423&amp;"")=0,0,IF(COUNTIFS(Base!$A$7:$A$1006,A423)&gt;1,1,0))</f>
        <v>0</v>
      </c>
      <c r="N423" s="1" t="n">
        <f aca="false">IF(LEN(A423&amp;"")=0,0,IF(ABS(L423)&gt;0.005,1,0))</f>
        <v>0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customFormat="false" ht="23" hidden="false" customHeight="true" outlineLevel="0" collapsed="false">
      <c r="A424" s="1" t="str">
        <f aca="false">IF(LEN(Base!A424&amp;"")=0,"",Base!A424)</f>
        <v/>
      </c>
      <c r="B424" s="60" t="str">
        <f aca="false">IF(LEN(A424&amp;"")=0,"",Base!D424)</f>
        <v/>
      </c>
      <c r="C424" s="1" t="str">
        <f aca="false">IF(LEN(A424&amp;"")=0,"",Base!C424)</f>
        <v/>
      </c>
      <c r="D424" s="1" t="str">
        <f aca="false">IF(LEN(A424&amp;"")=0,"",Base!G424)</f>
        <v/>
      </c>
      <c r="E424" s="1" t="str">
        <f aca="false">IF(LEN(A424&amp;"")=0,"",Base!E424)</f>
        <v/>
      </c>
      <c r="F424" s="61" t="str">
        <f aca="false">IF(LEN(A424&amp;"")=0,"",IF(Base!I424="-",0,Base!I424))</f>
        <v/>
      </c>
      <c r="G424" s="61" t="str">
        <f aca="false">IF(LEN(A424&amp;"")=0,"",SUM(Base!F424,F424,Base!K424))</f>
        <v/>
      </c>
      <c r="H424" s="61" t="str">
        <f aca="false">IF(LEN(A424&amp;"")=0,"",Base!L424)</f>
        <v/>
      </c>
      <c r="I424" s="61" t="str">
        <f aca="false">IF(LEN(A424&amp;"")=0,"",G424-H424)</f>
        <v/>
      </c>
      <c r="J424" s="61" t="str">
        <f aca="false">IF(LEN(A424&amp;"")=0,"",Base!M424)</f>
        <v/>
      </c>
      <c r="K424" s="1" t="n">
        <f aca="false">IF(OR(LEN(A424&amp;"")=0,$P$3=0),0,IF(AND(B424&gt;=Painel!$B$8,B424&lt;=Painel!$G$8,OR(Painel!$L$8="Todos",C424=Painel!$L$8),OR(Painel!$Q$8="Todos",D424=Painel!$Q$8),OR(Painel!$V$8="Todas",E424=Painel!$V$8)),1,0))</f>
        <v>0</v>
      </c>
      <c r="L424" s="61" t="str">
        <f aca="false">IF(LEN(A424&amp;"")=0,"",J424-I424)</f>
        <v/>
      </c>
      <c r="M424" s="1" t="n">
        <f aca="false">IF(LEN(A424&amp;"")=0,0,IF(COUNTIFS(Base!$A$7:$A$1006,A424)&gt;1,1,0))</f>
        <v>0</v>
      </c>
      <c r="N424" s="1" t="n">
        <f aca="false">IF(LEN(A424&amp;"")=0,0,IF(ABS(L424)&gt;0.005,1,0))</f>
        <v>0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customFormat="false" ht="23" hidden="false" customHeight="true" outlineLevel="0" collapsed="false">
      <c r="A425" s="1" t="str">
        <f aca="false">IF(LEN(Base!A425&amp;"")=0,"",Base!A425)</f>
        <v/>
      </c>
      <c r="B425" s="60" t="str">
        <f aca="false">IF(LEN(A425&amp;"")=0,"",Base!D425)</f>
        <v/>
      </c>
      <c r="C425" s="1" t="str">
        <f aca="false">IF(LEN(A425&amp;"")=0,"",Base!C425)</f>
        <v/>
      </c>
      <c r="D425" s="1" t="str">
        <f aca="false">IF(LEN(A425&amp;"")=0,"",Base!G425)</f>
        <v/>
      </c>
      <c r="E425" s="1" t="str">
        <f aca="false">IF(LEN(A425&amp;"")=0,"",Base!E425)</f>
        <v/>
      </c>
      <c r="F425" s="61" t="str">
        <f aca="false">IF(LEN(A425&amp;"")=0,"",IF(Base!I425="-",0,Base!I425))</f>
        <v/>
      </c>
      <c r="G425" s="61" t="str">
        <f aca="false">IF(LEN(A425&amp;"")=0,"",SUM(Base!F425,F425,Base!K425))</f>
        <v/>
      </c>
      <c r="H425" s="61" t="str">
        <f aca="false">IF(LEN(A425&amp;"")=0,"",Base!L425)</f>
        <v/>
      </c>
      <c r="I425" s="61" t="str">
        <f aca="false">IF(LEN(A425&amp;"")=0,"",G425-H425)</f>
        <v/>
      </c>
      <c r="J425" s="61" t="str">
        <f aca="false">IF(LEN(A425&amp;"")=0,"",Base!M425)</f>
        <v/>
      </c>
      <c r="K425" s="1" t="n">
        <f aca="false">IF(OR(LEN(A425&amp;"")=0,$P$3=0),0,IF(AND(B425&gt;=Painel!$B$8,B425&lt;=Painel!$G$8,OR(Painel!$L$8="Todos",C425=Painel!$L$8),OR(Painel!$Q$8="Todos",D425=Painel!$Q$8),OR(Painel!$V$8="Todas",E425=Painel!$V$8)),1,0))</f>
        <v>0</v>
      </c>
      <c r="L425" s="61" t="str">
        <f aca="false">IF(LEN(A425&amp;"")=0,"",J425-I425)</f>
        <v/>
      </c>
      <c r="M425" s="1" t="n">
        <f aca="false">IF(LEN(A425&amp;"")=0,0,IF(COUNTIFS(Base!$A$7:$A$1006,A425)&gt;1,1,0))</f>
        <v>0</v>
      </c>
      <c r="N425" s="1" t="n">
        <f aca="false">IF(LEN(A425&amp;"")=0,0,IF(ABS(L425)&gt;0.005,1,0))</f>
        <v>0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customFormat="false" ht="23" hidden="false" customHeight="true" outlineLevel="0" collapsed="false">
      <c r="A426" s="1" t="str">
        <f aca="false">IF(LEN(Base!A426&amp;"")=0,"",Base!A426)</f>
        <v/>
      </c>
      <c r="B426" s="60" t="str">
        <f aca="false">IF(LEN(A426&amp;"")=0,"",Base!D426)</f>
        <v/>
      </c>
      <c r="C426" s="1" t="str">
        <f aca="false">IF(LEN(A426&amp;"")=0,"",Base!C426)</f>
        <v/>
      </c>
      <c r="D426" s="1" t="str">
        <f aca="false">IF(LEN(A426&amp;"")=0,"",Base!G426)</f>
        <v/>
      </c>
      <c r="E426" s="1" t="str">
        <f aca="false">IF(LEN(A426&amp;"")=0,"",Base!E426)</f>
        <v/>
      </c>
      <c r="F426" s="61" t="str">
        <f aca="false">IF(LEN(A426&amp;"")=0,"",IF(Base!I426="-",0,Base!I426))</f>
        <v/>
      </c>
      <c r="G426" s="61" t="str">
        <f aca="false">IF(LEN(A426&amp;"")=0,"",SUM(Base!F426,F426,Base!K426))</f>
        <v/>
      </c>
      <c r="H426" s="61" t="str">
        <f aca="false">IF(LEN(A426&amp;"")=0,"",Base!L426)</f>
        <v/>
      </c>
      <c r="I426" s="61" t="str">
        <f aca="false">IF(LEN(A426&amp;"")=0,"",G426-H426)</f>
        <v/>
      </c>
      <c r="J426" s="61" t="str">
        <f aca="false">IF(LEN(A426&amp;"")=0,"",Base!M426)</f>
        <v/>
      </c>
      <c r="K426" s="1" t="n">
        <f aca="false">IF(OR(LEN(A426&amp;"")=0,$P$3=0),0,IF(AND(B426&gt;=Painel!$B$8,B426&lt;=Painel!$G$8,OR(Painel!$L$8="Todos",C426=Painel!$L$8),OR(Painel!$Q$8="Todos",D426=Painel!$Q$8),OR(Painel!$V$8="Todas",E426=Painel!$V$8)),1,0))</f>
        <v>0</v>
      </c>
      <c r="L426" s="61" t="str">
        <f aca="false">IF(LEN(A426&amp;"")=0,"",J426-I426)</f>
        <v/>
      </c>
      <c r="M426" s="1" t="n">
        <f aca="false">IF(LEN(A426&amp;"")=0,0,IF(COUNTIFS(Base!$A$7:$A$1006,A426)&gt;1,1,0))</f>
        <v>0</v>
      </c>
      <c r="N426" s="1" t="n">
        <f aca="false">IF(LEN(A426&amp;"")=0,0,IF(ABS(L426)&gt;0.005,1,0))</f>
        <v>0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customFormat="false" ht="23" hidden="false" customHeight="true" outlineLevel="0" collapsed="false">
      <c r="A427" s="1" t="str">
        <f aca="false">IF(LEN(Base!A427&amp;"")=0,"",Base!A427)</f>
        <v/>
      </c>
      <c r="B427" s="60" t="str">
        <f aca="false">IF(LEN(A427&amp;"")=0,"",Base!D427)</f>
        <v/>
      </c>
      <c r="C427" s="1" t="str">
        <f aca="false">IF(LEN(A427&amp;"")=0,"",Base!C427)</f>
        <v/>
      </c>
      <c r="D427" s="1" t="str">
        <f aca="false">IF(LEN(A427&amp;"")=0,"",Base!G427)</f>
        <v/>
      </c>
      <c r="E427" s="1" t="str">
        <f aca="false">IF(LEN(A427&amp;"")=0,"",Base!E427)</f>
        <v/>
      </c>
      <c r="F427" s="61" t="str">
        <f aca="false">IF(LEN(A427&amp;"")=0,"",IF(Base!I427="-",0,Base!I427))</f>
        <v/>
      </c>
      <c r="G427" s="61" t="str">
        <f aca="false">IF(LEN(A427&amp;"")=0,"",SUM(Base!F427,F427,Base!K427))</f>
        <v/>
      </c>
      <c r="H427" s="61" t="str">
        <f aca="false">IF(LEN(A427&amp;"")=0,"",Base!L427)</f>
        <v/>
      </c>
      <c r="I427" s="61" t="str">
        <f aca="false">IF(LEN(A427&amp;"")=0,"",G427-H427)</f>
        <v/>
      </c>
      <c r="J427" s="61" t="str">
        <f aca="false">IF(LEN(A427&amp;"")=0,"",Base!M427)</f>
        <v/>
      </c>
      <c r="K427" s="1" t="n">
        <f aca="false">IF(OR(LEN(A427&amp;"")=0,$P$3=0),0,IF(AND(B427&gt;=Painel!$B$8,B427&lt;=Painel!$G$8,OR(Painel!$L$8="Todos",C427=Painel!$L$8),OR(Painel!$Q$8="Todos",D427=Painel!$Q$8),OR(Painel!$V$8="Todas",E427=Painel!$V$8)),1,0))</f>
        <v>0</v>
      </c>
      <c r="L427" s="61" t="str">
        <f aca="false">IF(LEN(A427&amp;"")=0,"",J427-I427)</f>
        <v/>
      </c>
      <c r="M427" s="1" t="n">
        <f aca="false">IF(LEN(A427&amp;"")=0,0,IF(COUNTIFS(Base!$A$7:$A$1006,A427)&gt;1,1,0))</f>
        <v>0</v>
      </c>
      <c r="N427" s="1" t="n">
        <f aca="false">IF(LEN(A427&amp;"")=0,0,IF(ABS(L427)&gt;0.005,1,0))</f>
        <v>0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customFormat="false" ht="23" hidden="false" customHeight="true" outlineLevel="0" collapsed="false">
      <c r="A428" s="1" t="str">
        <f aca="false">IF(LEN(Base!A428&amp;"")=0,"",Base!A428)</f>
        <v/>
      </c>
      <c r="B428" s="60" t="str">
        <f aca="false">IF(LEN(A428&amp;"")=0,"",Base!D428)</f>
        <v/>
      </c>
      <c r="C428" s="1" t="str">
        <f aca="false">IF(LEN(A428&amp;"")=0,"",Base!C428)</f>
        <v/>
      </c>
      <c r="D428" s="1" t="str">
        <f aca="false">IF(LEN(A428&amp;"")=0,"",Base!G428)</f>
        <v/>
      </c>
      <c r="E428" s="1" t="str">
        <f aca="false">IF(LEN(A428&amp;"")=0,"",Base!E428)</f>
        <v/>
      </c>
      <c r="F428" s="61" t="str">
        <f aca="false">IF(LEN(A428&amp;"")=0,"",IF(Base!I428="-",0,Base!I428))</f>
        <v/>
      </c>
      <c r="G428" s="61" t="str">
        <f aca="false">IF(LEN(A428&amp;"")=0,"",SUM(Base!F428,F428,Base!K428))</f>
        <v/>
      </c>
      <c r="H428" s="61" t="str">
        <f aca="false">IF(LEN(A428&amp;"")=0,"",Base!L428)</f>
        <v/>
      </c>
      <c r="I428" s="61" t="str">
        <f aca="false">IF(LEN(A428&amp;"")=0,"",G428-H428)</f>
        <v/>
      </c>
      <c r="J428" s="61" t="str">
        <f aca="false">IF(LEN(A428&amp;"")=0,"",Base!M428)</f>
        <v/>
      </c>
      <c r="K428" s="1" t="n">
        <f aca="false">IF(OR(LEN(A428&amp;"")=0,$P$3=0),0,IF(AND(B428&gt;=Painel!$B$8,B428&lt;=Painel!$G$8,OR(Painel!$L$8="Todos",C428=Painel!$L$8),OR(Painel!$Q$8="Todos",D428=Painel!$Q$8),OR(Painel!$V$8="Todas",E428=Painel!$V$8)),1,0))</f>
        <v>0</v>
      </c>
      <c r="L428" s="61" t="str">
        <f aca="false">IF(LEN(A428&amp;"")=0,"",J428-I428)</f>
        <v/>
      </c>
      <c r="M428" s="1" t="n">
        <f aca="false">IF(LEN(A428&amp;"")=0,0,IF(COUNTIFS(Base!$A$7:$A$1006,A428)&gt;1,1,0))</f>
        <v>0</v>
      </c>
      <c r="N428" s="1" t="n">
        <f aca="false">IF(LEN(A428&amp;"")=0,0,IF(ABS(L428)&gt;0.005,1,0))</f>
        <v>0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customFormat="false" ht="23" hidden="false" customHeight="true" outlineLevel="0" collapsed="false">
      <c r="A429" s="1" t="str">
        <f aca="false">IF(LEN(Base!A429&amp;"")=0,"",Base!A429)</f>
        <v/>
      </c>
      <c r="B429" s="60" t="str">
        <f aca="false">IF(LEN(A429&amp;"")=0,"",Base!D429)</f>
        <v/>
      </c>
      <c r="C429" s="1" t="str">
        <f aca="false">IF(LEN(A429&amp;"")=0,"",Base!C429)</f>
        <v/>
      </c>
      <c r="D429" s="1" t="str">
        <f aca="false">IF(LEN(A429&amp;"")=0,"",Base!G429)</f>
        <v/>
      </c>
      <c r="E429" s="1" t="str">
        <f aca="false">IF(LEN(A429&amp;"")=0,"",Base!E429)</f>
        <v/>
      </c>
      <c r="F429" s="61" t="str">
        <f aca="false">IF(LEN(A429&amp;"")=0,"",IF(Base!I429="-",0,Base!I429))</f>
        <v/>
      </c>
      <c r="G429" s="61" t="str">
        <f aca="false">IF(LEN(A429&amp;"")=0,"",SUM(Base!F429,F429,Base!K429))</f>
        <v/>
      </c>
      <c r="H429" s="61" t="str">
        <f aca="false">IF(LEN(A429&amp;"")=0,"",Base!L429)</f>
        <v/>
      </c>
      <c r="I429" s="61" t="str">
        <f aca="false">IF(LEN(A429&amp;"")=0,"",G429-H429)</f>
        <v/>
      </c>
      <c r="J429" s="61" t="str">
        <f aca="false">IF(LEN(A429&amp;"")=0,"",Base!M429)</f>
        <v/>
      </c>
      <c r="K429" s="1" t="n">
        <f aca="false">IF(OR(LEN(A429&amp;"")=0,$P$3=0),0,IF(AND(B429&gt;=Painel!$B$8,B429&lt;=Painel!$G$8,OR(Painel!$L$8="Todos",C429=Painel!$L$8),OR(Painel!$Q$8="Todos",D429=Painel!$Q$8),OR(Painel!$V$8="Todas",E429=Painel!$V$8)),1,0))</f>
        <v>0</v>
      </c>
      <c r="L429" s="61" t="str">
        <f aca="false">IF(LEN(A429&amp;"")=0,"",J429-I429)</f>
        <v/>
      </c>
      <c r="M429" s="1" t="n">
        <f aca="false">IF(LEN(A429&amp;"")=0,0,IF(COUNTIFS(Base!$A$7:$A$1006,A429)&gt;1,1,0))</f>
        <v>0</v>
      </c>
      <c r="N429" s="1" t="n">
        <f aca="false">IF(LEN(A429&amp;"")=0,0,IF(ABS(L429)&gt;0.005,1,0))</f>
        <v>0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customFormat="false" ht="23" hidden="false" customHeight="true" outlineLevel="0" collapsed="false">
      <c r="A430" s="1" t="str">
        <f aca="false">IF(LEN(Base!A430&amp;"")=0,"",Base!A430)</f>
        <v/>
      </c>
      <c r="B430" s="60" t="str">
        <f aca="false">IF(LEN(A430&amp;"")=0,"",Base!D430)</f>
        <v/>
      </c>
      <c r="C430" s="1" t="str">
        <f aca="false">IF(LEN(A430&amp;"")=0,"",Base!C430)</f>
        <v/>
      </c>
      <c r="D430" s="1" t="str">
        <f aca="false">IF(LEN(A430&amp;"")=0,"",Base!G430)</f>
        <v/>
      </c>
      <c r="E430" s="1" t="str">
        <f aca="false">IF(LEN(A430&amp;"")=0,"",Base!E430)</f>
        <v/>
      </c>
      <c r="F430" s="61" t="str">
        <f aca="false">IF(LEN(A430&amp;"")=0,"",IF(Base!I430="-",0,Base!I430))</f>
        <v/>
      </c>
      <c r="G430" s="61" t="str">
        <f aca="false">IF(LEN(A430&amp;"")=0,"",SUM(Base!F430,F430,Base!K430))</f>
        <v/>
      </c>
      <c r="H430" s="61" t="str">
        <f aca="false">IF(LEN(A430&amp;"")=0,"",Base!L430)</f>
        <v/>
      </c>
      <c r="I430" s="61" t="str">
        <f aca="false">IF(LEN(A430&amp;"")=0,"",G430-H430)</f>
        <v/>
      </c>
      <c r="J430" s="61" t="str">
        <f aca="false">IF(LEN(A430&amp;"")=0,"",Base!M430)</f>
        <v/>
      </c>
      <c r="K430" s="1" t="n">
        <f aca="false">IF(OR(LEN(A430&amp;"")=0,$P$3=0),0,IF(AND(B430&gt;=Painel!$B$8,B430&lt;=Painel!$G$8,OR(Painel!$L$8="Todos",C430=Painel!$L$8),OR(Painel!$Q$8="Todos",D430=Painel!$Q$8),OR(Painel!$V$8="Todas",E430=Painel!$V$8)),1,0))</f>
        <v>0</v>
      </c>
      <c r="L430" s="61" t="str">
        <f aca="false">IF(LEN(A430&amp;"")=0,"",J430-I430)</f>
        <v/>
      </c>
      <c r="M430" s="1" t="n">
        <f aca="false">IF(LEN(A430&amp;"")=0,0,IF(COUNTIFS(Base!$A$7:$A$1006,A430)&gt;1,1,0))</f>
        <v>0</v>
      </c>
      <c r="N430" s="1" t="n">
        <f aca="false">IF(LEN(A430&amp;"")=0,0,IF(ABS(L430)&gt;0.005,1,0))</f>
        <v>0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customFormat="false" ht="23" hidden="false" customHeight="true" outlineLevel="0" collapsed="false">
      <c r="A431" s="1" t="str">
        <f aca="false">IF(LEN(Base!A431&amp;"")=0,"",Base!A431)</f>
        <v/>
      </c>
      <c r="B431" s="60" t="str">
        <f aca="false">IF(LEN(A431&amp;"")=0,"",Base!D431)</f>
        <v/>
      </c>
      <c r="C431" s="1" t="str">
        <f aca="false">IF(LEN(A431&amp;"")=0,"",Base!C431)</f>
        <v/>
      </c>
      <c r="D431" s="1" t="str">
        <f aca="false">IF(LEN(A431&amp;"")=0,"",Base!G431)</f>
        <v/>
      </c>
      <c r="E431" s="1" t="str">
        <f aca="false">IF(LEN(A431&amp;"")=0,"",Base!E431)</f>
        <v/>
      </c>
      <c r="F431" s="61" t="str">
        <f aca="false">IF(LEN(A431&amp;"")=0,"",IF(Base!I431="-",0,Base!I431))</f>
        <v/>
      </c>
      <c r="G431" s="61" t="str">
        <f aca="false">IF(LEN(A431&amp;"")=0,"",SUM(Base!F431,F431,Base!K431))</f>
        <v/>
      </c>
      <c r="H431" s="61" t="str">
        <f aca="false">IF(LEN(A431&amp;"")=0,"",Base!L431)</f>
        <v/>
      </c>
      <c r="I431" s="61" t="str">
        <f aca="false">IF(LEN(A431&amp;"")=0,"",G431-H431)</f>
        <v/>
      </c>
      <c r="J431" s="61" t="str">
        <f aca="false">IF(LEN(A431&amp;"")=0,"",Base!M431)</f>
        <v/>
      </c>
      <c r="K431" s="1" t="n">
        <f aca="false">IF(OR(LEN(A431&amp;"")=0,$P$3=0),0,IF(AND(B431&gt;=Painel!$B$8,B431&lt;=Painel!$G$8,OR(Painel!$L$8="Todos",C431=Painel!$L$8),OR(Painel!$Q$8="Todos",D431=Painel!$Q$8),OR(Painel!$V$8="Todas",E431=Painel!$V$8)),1,0))</f>
        <v>0</v>
      </c>
      <c r="L431" s="61" t="str">
        <f aca="false">IF(LEN(A431&amp;"")=0,"",J431-I431)</f>
        <v/>
      </c>
      <c r="M431" s="1" t="n">
        <f aca="false">IF(LEN(A431&amp;"")=0,0,IF(COUNTIFS(Base!$A$7:$A$1006,A431)&gt;1,1,0))</f>
        <v>0</v>
      </c>
      <c r="N431" s="1" t="n">
        <f aca="false">IF(LEN(A431&amp;"")=0,0,IF(ABS(L431)&gt;0.005,1,0))</f>
        <v>0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customFormat="false" ht="23" hidden="false" customHeight="true" outlineLevel="0" collapsed="false">
      <c r="A432" s="1" t="str">
        <f aca="false">IF(LEN(Base!A432&amp;"")=0,"",Base!A432)</f>
        <v/>
      </c>
      <c r="B432" s="60" t="str">
        <f aca="false">IF(LEN(A432&amp;"")=0,"",Base!D432)</f>
        <v/>
      </c>
      <c r="C432" s="1" t="str">
        <f aca="false">IF(LEN(A432&amp;"")=0,"",Base!C432)</f>
        <v/>
      </c>
      <c r="D432" s="1" t="str">
        <f aca="false">IF(LEN(A432&amp;"")=0,"",Base!G432)</f>
        <v/>
      </c>
      <c r="E432" s="1" t="str">
        <f aca="false">IF(LEN(A432&amp;"")=0,"",Base!E432)</f>
        <v/>
      </c>
      <c r="F432" s="61" t="str">
        <f aca="false">IF(LEN(A432&amp;"")=0,"",IF(Base!I432="-",0,Base!I432))</f>
        <v/>
      </c>
      <c r="G432" s="61" t="str">
        <f aca="false">IF(LEN(A432&amp;"")=0,"",SUM(Base!F432,F432,Base!K432))</f>
        <v/>
      </c>
      <c r="H432" s="61" t="str">
        <f aca="false">IF(LEN(A432&amp;"")=0,"",Base!L432)</f>
        <v/>
      </c>
      <c r="I432" s="61" t="str">
        <f aca="false">IF(LEN(A432&amp;"")=0,"",G432-H432)</f>
        <v/>
      </c>
      <c r="J432" s="61" t="str">
        <f aca="false">IF(LEN(A432&amp;"")=0,"",Base!M432)</f>
        <v/>
      </c>
      <c r="K432" s="1" t="n">
        <f aca="false">IF(OR(LEN(A432&amp;"")=0,$P$3=0),0,IF(AND(B432&gt;=Painel!$B$8,B432&lt;=Painel!$G$8,OR(Painel!$L$8="Todos",C432=Painel!$L$8),OR(Painel!$Q$8="Todos",D432=Painel!$Q$8),OR(Painel!$V$8="Todas",E432=Painel!$V$8)),1,0))</f>
        <v>0</v>
      </c>
      <c r="L432" s="61" t="str">
        <f aca="false">IF(LEN(A432&amp;"")=0,"",J432-I432)</f>
        <v/>
      </c>
      <c r="M432" s="1" t="n">
        <f aca="false">IF(LEN(A432&amp;"")=0,0,IF(COUNTIFS(Base!$A$7:$A$1006,A432)&gt;1,1,0))</f>
        <v>0</v>
      </c>
      <c r="N432" s="1" t="n">
        <f aca="false">IF(LEN(A432&amp;"")=0,0,IF(ABS(L432)&gt;0.005,1,0))</f>
        <v>0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customFormat="false" ht="23" hidden="false" customHeight="true" outlineLevel="0" collapsed="false">
      <c r="A433" s="1" t="str">
        <f aca="false">IF(LEN(Base!A433&amp;"")=0,"",Base!A433)</f>
        <v/>
      </c>
      <c r="B433" s="60" t="str">
        <f aca="false">IF(LEN(A433&amp;"")=0,"",Base!D433)</f>
        <v/>
      </c>
      <c r="C433" s="1" t="str">
        <f aca="false">IF(LEN(A433&amp;"")=0,"",Base!C433)</f>
        <v/>
      </c>
      <c r="D433" s="1" t="str">
        <f aca="false">IF(LEN(A433&amp;"")=0,"",Base!G433)</f>
        <v/>
      </c>
      <c r="E433" s="1" t="str">
        <f aca="false">IF(LEN(A433&amp;"")=0,"",Base!E433)</f>
        <v/>
      </c>
      <c r="F433" s="61" t="str">
        <f aca="false">IF(LEN(A433&amp;"")=0,"",IF(Base!I433="-",0,Base!I433))</f>
        <v/>
      </c>
      <c r="G433" s="61" t="str">
        <f aca="false">IF(LEN(A433&amp;"")=0,"",SUM(Base!F433,F433,Base!K433))</f>
        <v/>
      </c>
      <c r="H433" s="61" t="str">
        <f aca="false">IF(LEN(A433&amp;"")=0,"",Base!L433)</f>
        <v/>
      </c>
      <c r="I433" s="61" t="str">
        <f aca="false">IF(LEN(A433&amp;"")=0,"",G433-H433)</f>
        <v/>
      </c>
      <c r="J433" s="61" t="str">
        <f aca="false">IF(LEN(A433&amp;"")=0,"",Base!M433)</f>
        <v/>
      </c>
      <c r="K433" s="1" t="n">
        <f aca="false">IF(OR(LEN(A433&amp;"")=0,$P$3=0),0,IF(AND(B433&gt;=Painel!$B$8,B433&lt;=Painel!$G$8,OR(Painel!$L$8="Todos",C433=Painel!$L$8),OR(Painel!$Q$8="Todos",D433=Painel!$Q$8),OR(Painel!$V$8="Todas",E433=Painel!$V$8)),1,0))</f>
        <v>0</v>
      </c>
      <c r="L433" s="61" t="str">
        <f aca="false">IF(LEN(A433&amp;"")=0,"",J433-I433)</f>
        <v/>
      </c>
      <c r="M433" s="1" t="n">
        <f aca="false">IF(LEN(A433&amp;"")=0,0,IF(COUNTIFS(Base!$A$7:$A$1006,A433)&gt;1,1,0))</f>
        <v>0</v>
      </c>
      <c r="N433" s="1" t="n">
        <f aca="false">IF(LEN(A433&amp;"")=0,0,IF(ABS(L433)&gt;0.005,1,0))</f>
        <v>0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customFormat="false" ht="23" hidden="false" customHeight="true" outlineLevel="0" collapsed="false">
      <c r="A434" s="1" t="str">
        <f aca="false">IF(LEN(Base!A434&amp;"")=0,"",Base!A434)</f>
        <v/>
      </c>
      <c r="B434" s="60" t="str">
        <f aca="false">IF(LEN(A434&amp;"")=0,"",Base!D434)</f>
        <v/>
      </c>
      <c r="C434" s="1" t="str">
        <f aca="false">IF(LEN(A434&amp;"")=0,"",Base!C434)</f>
        <v/>
      </c>
      <c r="D434" s="1" t="str">
        <f aca="false">IF(LEN(A434&amp;"")=0,"",Base!G434)</f>
        <v/>
      </c>
      <c r="E434" s="1" t="str">
        <f aca="false">IF(LEN(A434&amp;"")=0,"",Base!E434)</f>
        <v/>
      </c>
      <c r="F434" s="61" t="str">
        <f aca="false">IF(LEN(A434&amp;"")=0,"",IF(Base!I434="-",0,Base!I434))</f>
        <v/>
      </c>
      <c r="G434" s="61" t="str">
        <f aca="false">IF(LEN(A434&amp;"")=0,"",SUM(Base!F434,F434,Base!K434))</f>
        <v/>
      </c>
      <c r="H434" s="61" t="str">
        <f aca="false">IF(LEN(A434&amp;"")=0,"",Base!L434)</f>
        <v/>
      </c>
      <c r="I434" s="61" t="str">
        <f aca="false">IF(LEN(A434&amp;"")=0,"",G434-H434)</f>
        <v/>
      </c>
      <c r="J434" s="61" t="str">
        <f aca="false">IF(LEN(A434&amp;"")=0,"",Base!M434)</f>
        <v/>
      </c>
      <c r="K434" s="1" t="n">
        <f aca="false">IF(OR(LEN(A434&amp;"")=0,$P$3=0),0,IF(AND(B434&gt;=Painel!$B$8,B434&lt;=Painel!$G$8,OR(Painel!$L$8="Todos",C434=Painel!$L$8),OR(Painel!$Q$8="Todos",D434=Painel!$Q$8),OR(Painel!$V$8="Todas",E434=Painel!$V$8)),1,0))</f>
        <v>0</v>
      </c>
      <c r="L434" s="61" t="str">
        <f aca="false">IF(LEN(A434&amp;"")=0,"",J434-I434)</f>
        <v/>
      </c>
      <c r="M434" s="1" t="n">
        <f aca="false">IF(LEN(A434&amp;"")=0,0,IF(COUNTIFS(Base!$A$7:$A$1006,A434)&gt;1,1,0))</f>
        <v>0</v>
      </c>
      <c r="N434" s="1" t="n">
        <f aca="false">IF(LEN(A434&amp;"")=0,0,IF(ABS(L434)&gt;0.005,1,0))</f>
        <v>0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customFormat="false" ht="23" hidden="false" customHeight="true" outlineLevel="0" collapsed="false">
      <c r="A435" s="1" t="str">
        <f aca="false">IF(LEN(Base!A435&amp;"")=0,"",Base!A435)</f>
        <v/>
      </c>
      <c r="B435" s="60" t="str">
        <f aca="false">IF(LEN(A435&amp;"")=0,"",Base!D435)</f>
        <v/>
      </c>
      <c r="C435" s="1" t="str">
        <f aca="false">IF(LEN(A435&amp;"")=0,"",Base!C435)</f>
        <v/>
      </c>
      <c r="D435" s="1" t="str">
        <f aca="false">IF(LEN(A435&amp;"")=0,"",Base!G435)</f>
        <v/>
      </c>
      <c r="E435" s="1" t="str">
        <f aca="false">IF(LEN(A435&amp;"")=0,"",Base!E435)</f>
        <v/>
      </c>
      <c r="F435" s="61" t="str">
        <f aca="false">IF(LEN(A435&amp;"")=0,"",IF(Base!I435="-",0,Base!I435))</f>
        <v/>
      </c>
      <c r="G435" s="61" t="str">
        <f aca="false">IF(LEN(A435&amp;"")=0,"",SUM(Base!F435,F435,Base!K435))</f>
        <v/>
      </c>
      <c r="H435" s="61" t="str">
        <f aca="false">IF(LEN(A435&amp;"")=0,"",Base!L435)</f>
        <v/>
      </c>
      <c r="I435" s="61" t="str">
        <f aca="false">IF(LEN(A435&amp;"")=0,"",G435-H435)</f>
        <v/>
      </c>
      <c r="J435" s="61" t="str">
        <f aca="false">IF(LEN(A435&amp;"")=0,"",Base!M435)</f>
        <v/>
      </c>
      <c r="K435" s="1" t="n">
        <f aca="false">IF(OR(LEN(A435&amp;"")=0,$P$3=0),0,IF(AND(B435&gt;=Painel!$B$8,B435&lt;=Painel!$G$8,OR(Painel!$L$8="Todos",C435=Painel!$L$8),OR(Painel!$Q$8="Todos",D435=Painel!$Q$8),OR(Painel!$V$8="Todas",E435=Painel!$V$8)),1,0))</f>
        <v>0</v>
      </c>
      <c r="L435" s="61" t="str">
        <f aca="false">IF(LEN(A435&amp;"")=0,"",J435-I435)</f>
        <v/>
      </c>
      <c r="M435" s="1" t="n">
        <f aca="false">IF(LEN(A435&amp;"")=0,0,IF(COUNTIFS(Base!$A$7:$A$1006,A435)&gt;1,1,0))</f>
        <v>0</v>
      </c>
      <c r="N435" s="1" t="n">
        <f aca="false">IF(LEN(A435&amp;"")=0,0,IF(ABS(L435)&gt;0.005,1,0))</f>
        <v>0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customFormat="false" ht="23" hidden="false" customHeight="true" outlineLevel="0" collapsed="false">
      <c r="A436" s="1" t="str">
        <f aca="false">IF(LEN(Base!A436&amp;"")=0,"",Base!A436)</f>
        <v/>
      </c>
      <c r="B436" s="60" t="str">
        <f aca="false">IF(LEN(A436&amp;"")=0,"",Base!D436)</f>
        <v/>
      </c>
      <c r="C436" s="1" t="str">
        <f aca="false">IF(LEN(A436&amp;"")=0,"",Base!C436)</f>
        <v/>
      </c>
      <c r="D436" s="1" t="str">
        <f aca="false">IF(LEN(A436&amp;"")=0,"",Base!G436)</f>
        <v/>
      </c>
      <c r="E436" s="1" t="str">
        <f aca="false">IF(LEN(A436&amp;"")=0,"",Base!E436)</f>
        <v/>
      </c>
      <c r="F436" s="61" t="str">
        <f aca="false">IF(LEN(A436&amp;"")=0,"",IF(Base!I436="-",0,Base!I436))</f>
        <v/>
      </c>
      <c r="G436" s="61" t="str">
        <f aca="false">IF(LEN(A436&amp;"")=0,"",SUM(Base!F436,F436,Base!K436))</f>
        <v/>
      </c>
      <c r="H436" s="61" t="str">
        <f aca="false">IF(LEN(A436&amp;"")=0,"",Base!L436)</f>
        <v/>
      </c>
      <c r="I436" s="61" t="str">
        <f aca="false">IF(LEN(A436&amp;"")=0,"",G436-H436)</f>
        <v/>
      </c>
      <c r="J436" s="61" t="str">
        <f aca="false">IF(LEN(A436&amp;"")=0,"",Base!M436)</f>
        <v/>
      </c>
      <c r="K436" s="1" t="n">
        <f aca="false">IF(OR(LEN(A436&amp;"")=0,$P$3=0),0,IF(AND(B436&gt;=Painel!$B$8,B436&lt;=Painel!$G$8,OR(Painel!$L$8="Todos",C436=Painel!$L$8),OR(Painel!$Q$8="Todos",D436=Painel!$Q$8),OR(Painel!$V$8="Todas",E436=Painel!$V$8)),1,0))</f>
        <v>0</v>
      </c>
      <c r="L436" s="61" t="str">
        <f aca="false">IF(LEN(A436&amp;"")=0,"",J436-I436)</f>
        <v/>
      </c>
      <c r="M436" s="1" t="n">
        <f aca="false">IF(LEN(A436&amp;"")=0,0,IF(COUNTIFS(Base!$A$7:$A$1006,A436)&gt;1,1,0))</f>
        <v>0</v>
      </c>
      <c r="N436" s="1" t="n">
        <f aca="false">IF(LEN(A436&amp;"")=0,0,IF(ABS(L436)&gt;0.005,1,0))</f>
        <v>0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customFormat="false" ht="23" hidden="false" customHeight="true" outlineLevel="0" collapsed="false">
      <c r="A437" s="1" t="str">
        <f aca="false">IF(LEN(Base!A437&amp;"")=0,"",Base!A437)</f>
        <v/>
      </c>
      <c r="B437" s="60" t="str">
        <f aca="false">IF(LEN(A437&amp;"")=0,"",Base!D437)</f>
        <v/>
      </c>
      <c r="C437" s="1" t="str">
        <f aca="false">IF(LEN(A437&amp;"")=0,"",Base!C437)</f>
        <v/>
      </c>
      <c r="D437" s="1" t="str">
        <f aca="false">IF(LEN(A437&amp;"")=0,"",Base!G437)</f>
        <v/>
      </c>
      <c r="E437" s="1" t="str">
        <f aca="false">IF(LEN(A437&amp;"")=0,"",Base!E437)</f>
        <v/>
      </c>
      <c r="F437" s="61" t="str">
        <f aca="false">IF(LEN(A437&amp;"")=0,"",IF(Base!I437="-",0,Base!I437))</f>
        <v/>
      </c>
      <c r="G437" s="61" t="str">
        <f aca="false">IF(LEN(A437&amp;"")=0,"",SUM(Base!F437,F437,Base!K437))</f>
        <v/>
      </c>
      <c r="H437" s="61" t="str">
        <f aca="false">IF(LEN(A437&amp;"")=0,"",Base!L437)</f>
        <v/>
      </c>
      <c r="I437" s="61" t="str">
        <f aca="false">IF(LEN(A437&amp;"")=0,"",G437-H437)</f>
        <v/>
      </c>
      <c r="J437" s="61" t="str">
        <f aca="false">IF(LEN(A437&amp;"")=0,"",Base!M437)</f>
        <v/>
      </c>
      <c r="K437" s="1" t="n">
        <f aca="false">IF(OR(LEN(A437&amp;"")=0,$P$3=0),0,IF(AND(B437&gt;=Painel!$B$8,B437&lt;=Painel!$G$8,OR(Painel!$L$8="Todos",C437=Painel!$L$8),OR(Painel!$Q$8="Todos",D437=Painel!$Q$8),OR(Painel!$V$8="Todas",E437=Painel!$V$8)),1,0))</f>
        <v>0</v>
      </c>
      <c r="L437" s="61" t="str">
        <f aca="false">IF(LEN(A437&amp;"")=0,"",J437-I437)</f>
        <v/>
      </c>
      <c r="M437" s="1" t="n">
        <f aca="false">IF(LEN(A437&amp;"")=0,0,IF(COUNTIFS(Base!$A$7:$A$1006,A437)&gt;1,1,0))</f>
        <v>0</v>
      </c>
      <c r="N437" s="1" t="n">
        <f aca="false">IF(LEN(A437&amp;"")=0,0,IF(ABS(L437)&gt;0.005,1,0))</f>
        <v>0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customFormat="false" ht="23" hidden="false" customHeight="true" outlineLevel="0" collapsed="false">
      <c r="A438" s="1" t="str">
        <f aca="false">IF(LEN(Base!A438&amp;"")=0,"",Base!A438)</f>
        <v/>
      </c>
      <c r="B438" s="60" t="str">
        <f aca="false">IF(LEN(A438&amp;"")=0,"",Base!D438)</f>
        <v/>
      </c>
      <c r="C438" s="1" t="str">
        <f aca="false">IF(LEN(A438&amp;"")=0,"",Base!C438)</f>
        <v/>
      </c>
      <c r="D438" s="1" t="str">
        <f aca="false">IF(LEN(A438&amp;"")=0,"",Base!G438)</f>
        <v/>
      </c>
      <c r="E438" s="1" t="str">
        <f aca="false">IF(LEN(A438&amp;"")=0,"",Base!E438)</f>
        <v/>
      </c>
      <c r="F438" s="61" t="str">
        <f aca="false">IF(LEN(A438&amp;"")=0,"",IF(Base!I438="-",0,Base!I438))</f>
        <v/>
      </c>
      <c r="G438" s="61" t="str">
        <f aca="false">IF(LEN(A438&amp;"")=0,"",SUM(Base!F438,F438,Base!K438))</f>
        <v/>
      </c>
      <c r="H438" s="61" t="str">
        <f aca="false">IF(LEN(A438&amp;"")=0,"",Base!L438)</f>
        <v/>
      </c>
      <c r="I438" s="61" t="str">
        <f aca="false">IF(LEN(A438&amp;"")=0,"",G438-H438)</f>
        <v/>
      </c>
      <c r="J438" s="61" t="str">
        <f aca="false">IF(LEN(A438&amp;"")=0,"",Base!M438)</f>
        <v/>
      </c>
      <c r="K438" s="1" t="n">
        <f aca="false">IF(OR(LEN(A438&amp;"")=0,$P$3=0),0,IF(AND(B438&gt;=Painel!$B$8,B438&lt;=Painel!$G$8,OR(Painel!$L$8="Todos",C438=Painel!$L$8),OR(Painel!$Q$8="Todos",D438=Painel!$Q$8),OR(Painel!$V$8="Todas",E438=Painel!$V$8)),1,0))</f>
        <v>0</v>
      </c>
      <c r="L438" s="61" t="str">
        <f aca="false">IF(LEN(A438&amp;"")=0,"",J438-I438)</f>
        <v/>
      </c>
      <c r="M438" s="1" t="n">
        <f aca="false">IF(LEN(A438&amp;"")=0,0,IF(COUNTIFS(Base!$A$7:$A$1006,A438)&gt;1,1,0))</f>
        <v>0</v>
      </c>
      <c r="N438" s="1" t="n">
        <f aca="false">IF(LEN(A438&amp;"")=0,0,IF(ABS(L438)&gt;0.005,1,0))</f>
        <v>0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customFormat="false" ht="23" hidden="false" customHeight="true" outlineLevel="0" collapsed="false">
      <c r="A439" s="1" t="str">
        <f aca="false">IF(LEN(Base!A439&amp;"")=0,"",Base!A439)</f>
        <v/>
      </c>
      <c r="B439" s="60" t="str">
        <f aca="false">IF(LEN(A439&amp;"")=0,"",Base!D439)</f>
        <v/>
      </c>
      <c r="C439" s="1" t="str">
        <f aca="false">IF(LEN(A439&amp;"")=0,"",Base!C439)</f>
        <v/>
      </c>
      <c r="D439" s="1" t="str">
        <f aca="false">IF(LEN(A439&amp;"")=0,"",Base!G439)</f>
        <v/>
      </c>
      <c r="E439" s="1" t="str">
        <f aca="false">IF(LEN(A439&amp;"")=0,"",Base!E439)</f>
        <v/>
      </c>
      <c r="F439" s="61" t="str">
        <f aca="false">IF(LEN(A439&amp;"")=0,"",IF(Base!I439="-",0,Base!I439))</f>
        <v/>
      </c>
      <c r="G439" s="61" t="str">
        <f aca="false">IF(LEN(A439&amp;"")=0,"",SUM(Base!F439,F439,Base!K439))</f>
        <v/>
      </c>
      <c r="H439" s="61" t="str">
        <f aca="false">IF(LEN(A439&amp;"")=0,"",Base!L439)</f>
        <v/>
      </c>
      <c r="I439" s="61" t="str">
        <f aca="false">IF(LEN(A439&amp;"")=0,"",G439-H439)</f>
        <v/>
      </c>
      <c r="J439" s="61" t="str">
        <f aca="false">IF(LEN(A439&amp;"")=0,"",Base!M439)</f>
        <v/>
      </c>
      <c r="K439" s="1" t="n">
        <f aca="false">IF(OR(LEN(A439&amp;"")=0,$P$3=0),0,IF(AND(B439&gt;=Painel!$B$8,B439&lt;=Painel!$G$8,OR(Painel!$L$8="Todos",C439=Painel!$L$8),OR(Painel!$Q$8="Todos",D439=Painel!$Q$8),OR(Painel!$V$8="Todas",E439=Painel!$V$8)),1,0))</f>
        <v>0</v>
      </c>
      <c r="L439" s="61" t="str">
        <f aca="false">IF(LEN(A439&amp;"")=0,"",J439-I439)</f>
        <v/>
      </c>
      <c r="M439" s="1" t="n">
        <f aca="false">IF(LEN(A439&amp;"")=0,0,IF(COUNTIFS(Base!$A$7:$A$1006,A439)&gt;1,1,0))</f>
        <v>0</v>
      </c>
      <c r="N439" s="1" t="n">
        <f aca="false">IF(LEN(A439&amp;"")=0,0,IF(ABS(L439)&gt;0.005,1,0))</f>
        <v>0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customFormat="false" ht="23" hidden="false" customHeight="true" outlineLevel="0" collapsed="false">
      <c r="A440" s="1" t="str">
        <f aca="false">IF(LEN(Base!A440&amp;"")=0,"",Base!A440)</f>
        <v/>
      </c>
      <c r="B440" s="60" t="str">
        <f aca="false">IF(LEN(A440&amp;"")=0,"",Base!D440)</f>
        <v/>
      </c>
      <c r="C440" s="1" t="str">
        <f aca="false">IF(LEN(A440&amp;"")=0,"",Base!C440)</f>
        <v/>
      </c>
      <c r="D440" s="1" t="str">
        <f aca="false">IF(LEN(A440&amp;"")=0,"",Base!G440)</f>
        <v/>
      </c>
      <c r="E440" s="1" t="str">
        <f aca="false">IF(LEN(A440&amp;"")=0,"",Base!E440)</f>
        <v/>
      </c>
      <c r="F440" s="61" t="str">
        <f aca="false">IF(LEN(A440&amp;"")=0,"",IF(Base!I440="-",0,Base!I440))</f>
        <v/>
      </c>
      <c r="G440" s="61" t="str">
        <f aca="false">IF(LEN(A440&amp;"")=0,"",SUM(Base!F440,F440,Base!K440))</f>
        <v/>
      </c>
      <c r="H440" s="61" t="str">
        <f aca="false">IF(LEN(A440&amp;"")=0,"",Base!L440)</f>
        <v/>
      </c>
      <c r="I440" s="61" t="str">
        <f aca="false">IF(LEN(A440&amp;"")=0,"",G440-H440)</f>
        <v/>
      </c>
      <c r="J440" s="61" t="str">
        <f aca="false">IF(LEN(A440&amp;"")=0,"",Base!M440)</f>
        <v/>
      </c>
      <c r="K440" s="1" t="n">
        <f aca="false">IF(OR(LEN(A440&amp;"")=0,$P$3=0),0,IF(AND(B440&gt;=Painel!$B$8,B440&lt;=Painel!$G$8,OR(Painel!$L$8="Todos",C440=Painel!$L$8),OR(Painel!$Q$8="Todos",D440=Painel!$Q$8),OR(Painel!$V$8="Todas",E440=Painel!$V$8)),1,0))</f>
        <v>0</v>
      </c>
      <c r="L440" s="61" t="str">
        <f aca="false">IF(LEN(A440&amp;"")=0,"",J440-I440)</f>
        <v/>
      </c>
      <c r="M440" s="1" t="n">
        <f aca="false">IF(LEN(A440&amp;"")=0,0,IF(COUNTIFS(Base!$A$7:$A$1006,A440)&gt;1,1,0))</f>
        <v>0</v>
      </c>
      <c r="N440" s="1" t="n">
        <f aca="false">IF(LEN(A440&amp;"")=0,0,IF(ABS(L440)&gt;0.005,1,0))</f>
        <v>0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customFormat="false" ht="23" hidden="false" customHeight="true" outlineLevel="0" collapsed="false">
      <c r="A441" s="1" t="str">
        <f aca="false">IF(LEN(Base!A441&amp;"")=0,"",Base!A441)</f>
        <v/>
      </c>
      <c r="B441" s="60" t="str">
        <f aca="false">IF(LEN(A441&amp;"")=0,"",Base!D441)</f>
        <v/>
      </c>
      <c r="C441" s="1" t="str">
        <f aca="false">IF(LEN(A441&amp;"")=0,"",Base!C441)</f>
        <v/>
      </c>
      <c r="D441" s="1" t="str">
        <f aca="false">IF(LEN(A441&amp;"")=0,"",Base!G441)</f>
        <v/>
      </c>
      <c r="E441" s="1" t="str">
        <f aca="false">IF(LEN(A441&amp;"")=0,"",Base!E441)</f>
        <v/>
      </c>
      <c r="F441" s="61" t="str">
        <f aca="false">IF(LEN(A441&amp;"")=0,"",IF(Base!I441="-",0,Base!I441))</f>
        <v/>
      </c>
      <c r="G441" s="61" t="str">
        <f aca="false">IF(LEN(A441&amp;"")=0,"",SUM(Base!F441,F441,Base!K441))</f>
        <v/>
      </c>
      <c r="H441" s="61" t="str">
        <f aca="false">IF(LEN(A441&amp;"")=0,"",Base!L441)</f>
        <v/>
      </c>
      <c r="I441" s="61" t="str">
        <f aca="false">IF(LEN(A441&amp;"")=0,"",G441-H441)</f>
        <v/>
      </c>
      <c r="J441" s="61" t="str">
        <f aca="false">IF(LEN(A441&amp;"")=0,"",Base!M441)</f>
        <v/>
      </c>
      <c r="K441" s="1" t="n">
        <f aca="false">IF(OR(LEN(A441&amp;"")=0,$P$3=0),0,IF(AND(B441&gt;=Painel!$B$8,B441&lt;=Painel!$G$8,OR(Painel!$L$8="Todos",C441=Painel!$L$8),OR(Painel!$Q$8="Todos",D441=Painel!$Q$8),OR(Painel!$V$8="Todas",E441=Painel!$V$8)),1,0))</f>
        <v>0</v>
      </c>
      <c r="L441" s="61" t="str">
        <f aca="false">IF(LEN(A441&amp;"")=0,"",J441-I441)</f>
        <v/>
      </c>
      <c r="M441" s="1" t="n">
        <f aca="false">IF(LEN(A441&amp;"")=0,0,IF(COUNTIFS(Base!$A$7:$A$1006,A441)&gt;1,1,0))</f>
        <v>0</v>
      </c>
      <c r="N441" s="1" t="n">
        <f aca="false">IF(LEN(A441&amp;"")=0,0,IF(ABS(L441)&gt;0.005,1,0))</f>
        <v>0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customFormat="false" ht="23" hidden="false" customHeight="true" outlineLevel="0" collapsed="false">
      <c r="A442" s="1" t="str">
        <f aca="false">IF(LEN(Base!A442&amp;"")=0,"",Base!A442)</f>
        <v/>
      </c>
      <c r="B442" s="60" t="str">
        <f aca="false">IF(LEN(A442&amp;"")=0,"",Base!D442)</f>
        <v/>
      </c>
      <c r="C442" s="1" t="str">
        <f aca="false">IF(LEN(A442&amp;"")=0,"",Base!C442)</f>
        <v/>
      </c>
      <c r="D442" s="1" t="str">
        <f aca="false">IF(LEN(A442&amp;"")=0,"",Base!G442)</f>
        <v/>
      </c>
      <c r="E442" s="1" t="str">
        <f aca="false">IF(LEN(A442&amp;"")=0,"",Base!E442)</f>
        <v/>
      </c>
      <c r="F442" s="61" t="str">
        <f aca="false">IF(LEN(A442&amp;"")=0,"",IF(Base!I442="-",0,Base!I442))</f>
        <v/>
      </c>
      <c r="G442" s="61" t="str">
        <f aca="false">IF(LEN(A442&amp;"")=0,"",SUM(Base!F442,F442,Base!K442))</f>
        <v/>
      </c>
      <c r="H442" s="61" t="str">
        <f aca="false">IF(LEN(A442&amp;"")=0,"",Base!L442)</f>
        <v/>
      </c>
      <c r="I442" s="61" t="str">
        <f aca="false">IF(LEN(A442&amp;"")=0,"",G442-H442)</f>
        <v/>
      </c>
      <c r="J442" s="61" t="str">
        <f aca="false">IF(LEN(A442&amp;"")=0,"",Base!M442)</f>
        <v/>
      </c>
      <c r="K442" s="1" t="n">
        <f aca="false">IF(OR(LEN(A442&amp;"")=0,$P$3=0),0,IF(AND(B442&gt;=Painel!$B$8,B442&lt;=Painel!$G$8,OR(Painel!$L$8="Todos",C442=Painel!$L$8),OR(Painel!$Q$8="Todos",D442=Painel!$Q$8),OR(Painel!$V$8="Todas",E442=Painel!$V$8)),1,0))</f>
        <v>0</v>
      </c>
      <c r="L442" s="61" t="str">
        <f aca="false">IF(LEN(A442&amp;"")=0,"",J442-I442)</f>
        <v/>
      </c>
      <c r="M442" s="1" t="n">
        <f aca="false">IF(LEN(A442&amp;"")=0,0,IF(COUNTIFS(Base!$A$7:$A$1006,A442)&gt;1,1,0))</f>
        <v>0</v>
      </c>
      <c r="N442" s="1" t="n">
        <f aca="false">IF(LEN(A442&amp;"")=0,0,IF(ABS(L442)&gt;0.005,1,0))</f>
        <v>0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customFormat="false" ht="23" hidden="false" customHeight="true" outlineLevel="0" collapsed="false">
      <c r="A443" s="1" t="str">
        <f aca="false">IF(LEN(Base!A443&amp;"")=0,"",Base!A443)</f>
        <v/>
      </c>
      <c r="B443" s="60" t="str">
        <f aca="false">IF(LEN(A443&amp;"")=0,"",Base!D443)</f>
        <v/>
      </c>
      <c r="C443" s="1" t="str">
        <f aca="false">IF(LEN(A443&amp;"")=0,"",Base!C443)</f>
        <v/>
      </c>
      <c r="D443" s="1" t="str">
        <f aca="false">IF(LEN(A443&amp;"")=0,"",Base!G443)</f>
        <v/>
      </c>
      <c r="E443" s="1" t="str">
        <f aca="false">IF(LEN(A443&amp;"")=0,"",Base!E443)</f>
        <v/>
      </c>
      <c r="F443" s="61" t="str">
        <f aca="false">IF(LEN(A443&amp;"")=0,"",IF(Base!I443="-",0,Base!I443))</f>
        <v/>
      </c>
      <c r="G443" s="61" t="str">
        <f aca="false">IF(LEN(A443&amp;"")=0,"",SUM(Base!F443,F443,Base!K443))</f>
        <v/>
      </c>
      <c r="H443" s="61" t="str">
        <f aca="false">IF(LEN(A443&amp;"")=0,"",Base!L443)</f>
        <v/>
      </c>
      <c r="I443" s="61" t="str">
        <f aca="false">IF(LEN(A443&amp;"")=0,"",G443-H443)</f>
        <v/>
      </c>
      <c r="J443" s="61" t="str">
        <f aca="false">IF(LEN(A443&amp;"")=0,"",Base!M443)</f>
        <v/>
      </c>
      <c r="K443" s="1" t="n">
        <f aca="false">IF(OR(LEN(A443&amp;"")=0,$P$3=0),0,IF(AND(B443&gt;=Painel!$B$8,B443&lt;=Painel!$G$8,OR(Painel!$L$8="Todos",C443=Painel!$L$8),OR(Painel!$Q$8="Todos",D443=Painel!$Q$8),OR(Painel!$V$8="Todas",E443=Painel!$V$8)),1,0))</f>
        <v>0</v>
      </c>
      <c r="L443" s="61" t="str">
        <f aca="false">IF(LEN(A443&amp;"")=0,"",J443-I443)</f>
        <v/>
      </c>
      <c r="M443" s="1" t="n">
        <f aca="false">IF(LEN(A443&amp;"")=0,0,IF(COUNTIFS(Base!$A$7:$A$1006,A443)&gt;1,1,0))</f>
        <v>0</v>
      </c>
      <c r="N443" s="1" t="n">
        <f aca="false">IF(LEN(A443&amp;"")=0,0,IF(ABS(L443)&gt;0.005,1,0))</f>
        <v>0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customFormat="false" ht="23" hidden="false" customHeight="true" outlineLevel="0" collapsed="false">
      <c r="A444" s="1" t="str">
        <f aca="false">IF(LEN(Base!A444&amp;"")=0,"",Base!A444)</f>
        <v/>
      </c>
      <c r="B444" s="60" t="str">
        <f aca="false">IF(LEN(A444&amp;"")=0,"",Base!D444)</f>
        <v/>
      </c>
      <c r="C444" s="1" t="str">
        <f aca="false">IF(LEN(A444&amp;"")=0,"",Base!C444)</f>
        <v/>
      </c>
      <c r="D444" s="1" t="str">
        <f aca="false">IF(LEN(A444&amp;"")=0,"",Base!G444)</f>
        <v/>
      </c>
      <c r="E444" s="1" t="str">
        <f aca="false">IF(LEN(A444&amp;"")=0,"",Base!E444)</f>
        <v/>
      </c>
      <c r="F444" s="61" t="str">
        <f aca="false">IF(LEN(A444&amp;"")=0,"",IF(Base!I444="-",0,Base!I444))</f>
        <v/>
      </c>
      <c r="G444" s="61" t="str">
        <f aca="false">IF(LEN(A444&amp;"")=0,"",SUM(Base!F444,F444,Base!K444))</f>
        <v/>
      </c>
      <c r="H444" s="61" t="str">
        <f aca="false">IF(LEN(A444&amp;"")=0,"",Base!L444)</f>
        <v/>
      </c>
      <c r="I444" s="61" t="str">
        <f aca="false">IF(LEN(A444&amp;"")=0,"",G444-H444)</f>
        <v/>
      </c>
      <c r="J444" s="61" t="str">
        <f aca="false">IF(LEN(A444&amp;"")=0,"",Base!M444)</f>
        <v/>
      </c>
      <c r="K444" s="1" t="n">
        <f aca="false">IF(OR(LEN(A444&amp;"")=0,$P$3=0),0,IF(AND(B444&gt;=Painel!$B$8,B444&lt;=Painel!$G$8,OR(Painel!$L$8="Todos",C444=Painel!$L$8),OR(Painel!$Q$8="Todos",D444=Painel!$Q$8),OR(Painel!$V$8="Todas",E444=Painel!$V$8)),1,0))</f>
        <v>0</v>
      </c>
      <c r="L444" s="61" t="str">
        <f aca="false">IF(LEN(A444&amp;"")=0,"",J444-I444)</f>
        <v/>
      </c>
      <c r="M444" s="1" t="n">
        <f aca="false">IF(LEN(A444&amp;"")=0,0,IF(COUNTIFS(Base!$A$7:$A$1006,A444)&gt;1,1,0))</f>
        <v>0</v>
      </c>
      <c r="N444" s="1" t="n">
        <f aca="false">IF(LEN(A444&amp;"")=0,0,IF(ABS(L444)&gt;0.005,1,0))</f>
        <v>0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customFormat="false" ht="23" hidden="false" customHeight="true" outlineLevel="0" collapsed="false">
      <c r="A445" s="1" t="str">
        <f aca="false">IF(LEN(Base!A445&amp;"")=0,"",Base!A445)</f>
        <v/>
      </c>
      <c r="B445" s="60" t="str">
        <f aca="false">IF(LEN(A445&amp;"")=0,"",Base!D445)</f>
        <v/>
      </c>
      <c r="C445" s="1" t="str">
        <f aca="false">IF(LEN(A445&amp;"")=0,"",Base!C445)</f>
        <v/>
      </c>
      <c r="D445" s="1" t="str">
        <f aca="false">IF(LEN(A445&amp;"")=0,"",Base!G445)</f>
        <v/>
      </c>
      <c r="E445" s="1" t="str">
        <f aca="false">IF(LEN(A445&amp;"")=0,"",Base!E445)</f>
        <v/>
      </c>
      <c r="F445" s="61" t="str">
        <f aca="false">IF(LEN(A445&amp;"")=0,"",IF(Base!I445="-",0,Base!I445))</f>
        <v/>
      </c>
      <c r="G445" s="61" t="str">
        <f aca="false">IF(LEN(A445&amp;"")=0,"",SUM(Base!F445,F445,Base!K445))</f>
        <v/>
      </c>
      <c r="H445" s="61" t="str">
        <f aca="false">IF(LEN(A445&amp;"")=0,"",Base!L445)</f>
        <v/>
      </c>
      <c r="I445" s="61" t="str">
        <f aca="false">IF(LEN(A445&amp;"")=0,"",G445-H445)</f>
        <v/>
      </c>
      <c r="J445" s="61" t="str">
        <f aca="false">IF(LEN(A445&amp;"")=0,"",Base!M445)</f>
        <v/>
      </c>
      <c r="K445" s="1" t="n">
        <f aca="false">IF(OR(LEN(A445&amp;"")=0,$P$3=0),0,IF(AND(B445&gt;=Painel!$B$8,B445&lt;=Painel!$G$8,OR(Painel!$L$8="Todos",C445=Painel!$L$8),OR(Painel!$Q$8="Todos",D445=Painel!$Q$8),OR(Painel!$V$8="Todas",E445=Painel!$V$8)),1,0))</f>
        <v>0</v>
      </c>
      <c r="L445" s="61" t="str">
        <f aca="false">IF(LEN(A445&amp;"")=0,"",J445-I445)</f>
        <v/>
      </c>
      <c r="M445" s="1" t="n">
        <f aca="false">IF(LEN(A445&amp;"")=0,0,IF(COUNTIFS(Base!$A$7:$A$1006,A445)&gt;1,1,0))</f>
        <v>0</v>
      </c>
      <c r="N445" s="1" t="n">
        <f aca="false">IF(LEN(A445&amp;"")=0,0,IF(ABS(L445)&gt;0.005,1,0))</f>
        <v>0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customFormat="false" ht="23" hidden="false" customHeight="true" outlineLevel="0" collapsed="false">
      <c r="A446" s="1" t="str">
        <f aca="false">IF(LEN(Base!A446&amp;"")=0,"",Base!A446)</f>
        <v/>
      </c>
      <c r="B446" s="60" t="str">
        <f aca="false">IF(LEN(A446&amp;"")=0,"",Base!D446)</f>
        <v/>
      </c>
      <c r="C446" s="1" t="str">
        <f aca="false">IF(LEN(A446&amp;"")=0,"",Base!C446)</f>
        <v/>
      </c>
      <c r="D446" s="1" t="str">
        <f aca="false">IF(LEN(A446&amp;"")=0,"",Base!G446)</f>
        <v/>
      </c>
      <c r="E446" s="1" t="str">
        <f aca="false">IF(LEN(A446&amp;"")=0,"",Base!E446)</f>
        <v/>
      </c>
      <c r="F446" s="61" t="str">
        <f aca="false">IF(LEN(A446&amp;"")=0,"",IF(Base!I446="-",0,Base!I446))</f>
        <v/>
      </c>
      <c r="G446" s="61" t="str">
        <f aca="false">IF(LEN(A446&amp;"")=0,"",SUM(Base!F446,F446,Base!K446))</f>
        <v/>
      </c>
      <c r="H446" s="61" t="str">
        <f aca="false">IF(LEN(A446&amp;"")=0,"",Base!L446)</f>
        <v/>
      </c>
      <c r="I446" s="61" t="str">
        <f aca="false">IF(LEN(A446&amp;"")=0,"",G446-H446)</f>
        <v/>
      </c>
      <c r="J446" s="61" t="str">
        <f aca="false">IF(LEN(A446&amp;"")=0,"",Base!M446)</f>
        <v/>
      </c>
      <c r="K446" s="1" t="n">
        <f aca="false">IF(OR(LEN(A446&amp;"")=0,$P$3=0),0,IF(AND(B446&gt;=Painel!$B$8,B446&lt;=Painel!$G$8,OR(Painel!$L$8="Todos",C446=Painel!$L$8),OR(Painel!$Q$8="Todos",D446=Painel!$Q$8),OR(Painel!$V$8="Todas",E446=Painel!$V$8)),1,0))</f>
        <v>0</v>
      </c>
      <c r="L446" s="61" t="str">
        <f aca="false">IF(LEN(A446&amp;"")=0,"",J446-I446)</f>
        <v/>
      </c>
      <c r="M446" s="1" t="n">
        <f aca="false">IF(LEN(A446&amp;"")=0,0,IF(COUNTIFS(Base!$A$7:$A$1006,A446)&gt;1,1,0))</f>
        <v>0</v>
      </c>
      <c r="N446" s="1" t="n">
        <f aca="false">IF(LEN(A446&amp;"")=0,0,IF(ABS(L446)&gt;0.005,1,0))</f>
        <v>0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customFormat="false" ht="23" hidden="false" customHeight="true" outlineLevel="0" collapsed="false">
      <c r="A447" s="1" t="str">
        <f aca="false">IF(LEN(Base!A447&amp;"")=0,"",Base!A447)</f>
        <v/>
      </c>
      <c r="B447" s="60" t="str">
        <f aca="false">IF(LEN(A447&amp;"")=0,"",Base!D447)</f>
        <v/>
      </c>
      <c r="C447" s="1" t="str">
        <f aca="false">IF(LEN(A447&amp;"")=0,"",Base!C447)</f>
        <v/>
      </c>
      <c r="D447" s="1" t="str">
        <f aca="false">IF(LEN(A447&amp;"")=0,"",Base!G447)</f>
        <v/>
      </c>
      <c r="E447" s="1" t="str">
        <f aca="false">IF(LEN(A447&amp;"")=0,"",Base!E447)</f>
        <v/>
      </c>
      <c r="F447" s="61" t="str">
        <f aca="false">IF(LEN(A447&amp;"")=0,"",IF(Base!I447="-",0,Base!I447))</f>
        <v/>
      </c>
      <c r="G447" s="61" t="str">
        <f aca="false">IF(LEN(A447&amp;"")=0,"",SUM(Base!F447,F447,Base!K447))</f>
        <v/>
      </c>
      <c r="H447" s="61" t="str">
        <f aca="false">IF(LEN(A447&amp;"")=0,"",Base!L447)</f>
        <v/>
      </c>
      <c r="I447" s="61" t="str">
        <f aca="false">IF(LEN(A447&amp;"")=0,"",G447-H447)</f>
        <v/>
      </c>
      <c r="J447" s="61" t="str">
        <f aca="false">IF(LEN(A447&amp;"")=0,"",Base!M447)</f>
        <v/>
      </c>
      <c r="K447" s="1" t="n">
        <f aca="false">IF(OR(LEN(A447&amp;"")=0,$P$3=0),0,IF(AND(B447&gt;=Painel!$B$8,B447&lt;=Painel!$G$8,OR(Painel!$L$8="Todos",C447=Painel!$L$8),OR(Painel!$Q$8="Todos",D447=Painel!$Q$8),OR(Painel!$V$8="Todas",E447=Painel!$V$8)),1,0))</f>
        <v>0</v>
      </c>
      <c r="L447" s="61" t="str">
        <f aca="false">IF(LEN(A447&amp;"")=0,"",J447-I447)</f>
        <v/>
      </c>
      <c r="M447" s="1" t="n">
        <f aca="false">IF(LEN(A447&amp;"")=0,0,IF(COUNTIFS(Base!$A$7:$A$1006,A447)&gt;1,1,0))</f>
        <v>0</v>
      </c>
      <c r="N447" s="1" t="n">
        <f aca="false">IF(LEN(A447&amp;"")=0,0,IF(ABS(L447)&gt;0.005,1,0))</f>
        <v>0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customFormat="false" ht="23" hidden="false" customHeight="true" outlineLevel="0" collapsed="false">
      <c r="A448" s="1" t="str">
        <f aca="false">IF(LEN(Base!A448&amp;"")=0,"",Base!A448)</f>
        <v/>
      </c>
      <c r="B448" s="60" t="str">
        <f aca="false">IF(LEN(A448&amp;"")=0,"",Base!D448)</f>
        <v/>
      </c>
      <c r="C448" s="1" t="str">
        <f aca="false">IF(LEN(A448&amp;"")=0,"",Base!C448)</f>
        <v/>
      </c>
      <c r="D448" s="1" t="str">
        <f aca="false">IF(LEN(A448&amp;"")=0,"",Base!G448)</f>
        <v/>
      </c>
      <c r="E448" s="1" t="str">
        <f aca="false">IF(LEN(A448&amp;"")=0,"",Base!E448)</f>
        <v/>
      </c>
      <c r="F448" s="61" t="str">
        <f aca="false">IF(LEN(A448&amp;"")=0,"",IF(Base!I448="-",0,Base!I448))</f>
        <v/>
      </c>
      <c r="G448" s="61" t="str">
        <f aca="false">IF(LEN(A448&amp;"")=0,"",SUM(Base!F448,F448,Base!K448))</f>
        <v/>
      </c>
      <c r="H448" s="61" t="str">
        <f aca="false">IF(LEN(A448&amp;"")=0,"",Base!L448)</f>
        <v/>
      </c>
      <c r="I448" s="61" t="str">
        <f aca="false">IF(LEN(A448&amp;"")=0,"",G448-H448)</f>
        <v/>
      </c>
      <c r="J448" s="61" t="str">
        <f aca="false">IF(LEN(A448&amp;"")=0,"",Base!M448)</f>
        <v/>
      </c>
      <c r="K448" s="1" t="n">
        <f aca="false">IF(OR(LEN(A448&amp;"")=0,$P$3=0),0,IF(AND(B448&gt;=Painel!$B$8,B448&lt;=Painel!$G$8,OR(Painel!$L$8="Todos",C448=Painel!$L$8),OR(Painel!$Q$8="Todos",D448=Painel!$Q$8),OR(Painel!$V$8="Todas",E448=Painel!$V$8)),1,0))</f>
        <v>0</v>
      </c>
      <c r="L448" s="61" t="str">
        <f aca="false">IF(LEN(A448&amp;"")=0,"",J448-I448)</f>
        <v/>
      </c>
      <c r="M448" s="1" t="n">
        <f aca="false">IF(LEN(A448&amp;"")=0,0,IF(COUNTIFS(Base!$A$7:$A$1006,A448)&gt;1,1,0))</f>
        <v>0</v>
      </c>
      <c r="N448" s="1" t="n">
        <f aca="false">IF(LEN(A448&amp;"")=0,0,IF(ABS(L448)&gt;0.005,1,0))</f>
        <v>0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customFormat="false" ht="23" hidden="false" customHeight="true" outlineLevel="0" collapsed="false">
      <c r="A449" s="1" t="str">
        <f aca="false">IF(LEN(Base!A449&amp;"")=0,"",Base!A449)</f>
        <v/>
      </c>
      <c r="B449" s="60" t="str">
        <f aca="false">IF(LEN(A449&amp;"")=0,"",Base!D449)</f>
        <v/>
      </c>
      <c r="C449" s="1" t="str">
        <f aca="false">IF(LEN(A449&amp;"")=0,"",Base!C449)</f>
        <v/>
      </c>
      <c r="D449" s="1" t="str">
        <f aca="false">IF(LEN(A449&amp;"")=0,"",Base!G449)</f>
        <v/>
      </c>
      <c r="E449" s="1" t="str">
        <f aca="false">IF(LEN(A449&amp;"")=0,"",Base!E449)</f>
        <v/>
      </c>
      <c r="F449" s="61" t="str">
        <f aca="false">IF(LEN(A449&amp;"")=0,"",IF(Base!I449="-",0,Base!I449))</f>
        <v/>
      </c>
      <c r="G449" s="61" t="str">
        <f aca="false">IF(LEN(A449&amp;"")=0,"",SUM(Base!F449,F449,Base!K449))</f>
        <v/>
      </c>
      <c r="H449" s="61" t="str">
        <f aca="false">IF(LEN(A449&amp;"")=0,"",Base!L449)</f>
        <v/>
      </c>
      <c r="I449" s="61" t="str">
        <f aca="false">IF(LEN(A449&amp;"")=0,"",G449-H449)</f>
        <v/>
      </c>
      <c r="J449" s="61" t="str">
        <f aca="false">IF(LEN(A449&amp;"")=0,"",Base!M449)</f>
        <v/>
      </c>
      <c r="K449" s="1" t="n">
        <f aca="false">IF(OR(LEN(A449&amp;"")=0,$P$3=0),0,IF(AND(B449&gt;=Painel!$B$8,B449&lt;=Painel!$G$8,OR(Painel!$L$8="Todos",C449=Painel!$L$8),OR(Painel!$Q$8="Todos",D449=Painel!$Q$8),OR(Painel!$V$8="Todas",E449=Painel!$V$8)),1,0))</f>
        <v>0</v>
      </c>
      <c r="L449" s="61" t="str">
        <f aca="false">IF(LEN(A449&amp;"")=0,"",J449-I449)</f>
        <v/>
      </c>
      <c r="M449" s="1" t="n">
        <f aca="false">IF(LEN(A449&amp;"")=0,0,IF(COUNTIFS(Base!$A$7:$A$1006,A449)&gt;1,1,0))</f>
        <v>0</v>
      </c>
      <c r="N449" s="1" t="n">
        <f aca="false">IF(LEN(A449&amp;"")=0,0,IF(ABS(L449)&gt;0.005,1,0))</f>
        <v>0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customFormat="false" ht="23" hidden="false" customHeight="true" outlineLevel="0" collapsed="false">
      <c r="A450" s="1" t="str">
        <f aca="false">IF(LEN(Base!A450&amp;"")=0,"",Base!A450)</f>
        <v/>
      </c>
      <c r="B450" s="60" t="str">
        <f aca="false">IF(LEN(A450&amp;"")=0,"",Base!D450)</f>
        <v/>
      </c>
      <c r="C450" s="1" t="str">
        <f aca="false">IF(LEN(A450&amp;"")=0,"",Base!C450)</f>
        <v/>
      </c>
      <c r="D450" s="1" t="str">
        <f aca="false">IF(LEN(A450&amp;"")=0,"",Base!G450)</f>
        <v/>
      </c>
      <c r="E450" s="1" t="str">
        <f aca="false">IF(LEN(A450&amp;"")=0,"",Base!E450)</f>
        <v/>
      </c>
      <c r="F450" s="61" t="str">
        <f aca="false">IF(LEN(A450&amp;"")=0,"",IF(Base!I450="-",0,Base!I450))</f>
        <v/>
      </c>
      <c r="G450" s="61" t="str">
        <f aca="false">IF(LEN(A450&amp;"")=0,"",SUM(Base!F450,F450,Base!K450))</f>
        <v/>
      </c>
      <c r="H450" s="61" t="str">
        <f aca="false">IF(LEN(A450&amp;"")=0,"",Base!L450)</f>
        <v/>
      </c>
      <c r="I450" s="61" t="str">
        <f aca="false">IF(LEN(A450&amp;"")=0,"",G450-H450)</f>
        <v/>
      </c>
      <c r="J450" s="61" t="str">
        <f aca="false">IF(LEN(A450&amp;"")=0,"",Base!M450)</f>
        <v/>
      </c>
      <c r="K450" s="1" t="n">
        <f aca="false">IF(OR(LEN(A450&amp;"")=0,$P$3=0),0,IF(AND(B450&gt;=Painel!$B$8,B450&lt;=Painel!$G$8,OR(Painel!$L$8="Todos",C450=Painel!$L$8),OR(Painel!$Q$8="Todos",D450=Painel!$Q$8),OR(Painel!$V$8="Todas",E450=Painel!$V$8)),1,0))</f>
        <v>0</v>
      </c>
      <c r="L450" s="61" t="str">
        <f aca="false">IF(LEN(A450&amp;"")=0,"",J450-I450)</f>
        <v/>
      </c>
      <c r="M450" s="1" t="n">
        <f aca="false">IF(LEN(A450&amp;"")=0,0,IF(COUNTIFS(Base!$A$7:$A$1006,A450)&gt;1,1,0))</f>
        <v>0</v>
      </c>
      <c r="N450" s="1" t="n">
        <f aca="false">IF(LEN(A450&amp;"")=0,0,IF(ABS(L450)&gt;0.005,1,0))</f>
        <v>0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customFormat="false" ht="23" hidden="false" customHeight="true" outlineLevel="0" collapsed="false">
      <c r="A451" s="1" t="str">
        <f aca="false">IF(LEN(Base!A451&amp;"")=0,"",Base!A451)</f>
        <v/>
      </c>
      <c r="B451" s="60" t="str">
        <f aca="false">IF(LEN(A451&amp;"")=0,"",Base!D451)</f>
        <v/>
      </c>
      <c r="C451" s="1" t="str">
        <f aca="false">IF(LEN(A451&amp;"")=0,"",Base!C451)</f>
        <v/>
      </c>
      <c r="D451" s="1" t="str">
        <f aca="false">IF(LEN(A451&amp;"")=0,"",Base!G451)</f>
        <v/>
      </c>
      <c r="E451" s="1" t="str">
        <f aca="false">IF(LEN(A451&amp;"")=0,"",Base!E451)</f>
        <v/>
      </c>
      <c r="F451" s="61" t="str">
        <f aca="false">IF(LEN(A451&amp;"")=0,"",IF(Base!I451="-",0,Base!I451))</f>
        <v/>
      </c>
      <c r="G451" s="61" t="str">
        <f aca="false">IF(LEN(A451&amp;"")=0,"",SUM(Base!F451,F451,Base!K451))</f>
        <v/>
      </c>
      <c r="H451" s="61" t="str">
        <f aca="false">IF(LEN(A451&amp;"")=0,"",Base!L451)</f>
        <v/>
      </c>
      <c r="I451" s="61" t="str">
        <f aca="false">IF(LEN(A451&amp;"")=0,"",G451-H451)</f>
        <v/>
      </c>
      <c r="J451" s="61" t="str">
        <f aca="false">IF(LEN(A451&amp;"")=0,"",Base!M451)</f>
        <v/>
      </c>
      <c r="K451" s="1" t="n">
        <f aca="false">IF(OR(LEN(A451&amp;"")=0,$P$3=0),0,IF(AND(B451&gt;=Painel!$B$8,B451&lt;=Painel!$G$8,OR(Painel!$L$8="Todos",C451=Painel!$L$8),OR(Painel!$Q$8="Todos",D451=Painel!$Q$8),OR(Painel!$V$8="Todas",E451=Painel!$V$8)),1,0))</f>
        <v>0</v>
      </c>
      <c r="L451" s="61" t="str">
        <f aca="false">IF(LEN(A451&amp;"")=0,"",J451-I451)</f>
        <v/>
      </c>
      <c r="M451" s="1" t="n">
        <f aca="false">IF(LEN(A451&amp;"")=0,0,IF(COUNTIFS(Base!$A$7:$A$1006,A451)&gt;1,1,0))</f>
        <v>0</v>
      </c>
      <c r="N451" s="1" t="n">
        <f aca="false">IF(LEN(A451&amp;"")=0,0,IF(ABS(L451)&gt;0.005,1,0))</f>
        <v>0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customFormat="false" ht="23" hidden="false" customHeight="true" outlineLevel="0" collapsed="false">
      <c r="A452" s="1" t="str">
        <f aca="false">IF(LEN(Base!A452&amp;"")=0,"",Base!A452)</f>
        <v/>
      </c>
      <c r="B452" s="60" t="str">
        <f aca="false">IF(LEN(A452&amp;"")=0,"",Base!D452)</f>
        <v/>
      </c>
      <c r="C452" s="1" t="str">
        <f aca="false">IF(LEN(A452&amp;"")=0,"",Base!C452)</f>
        <v/>
      </c>
      <c r="D452" s="1" t="str">
        <f aca="false">IF(LEN(A452&amp;"")=0,"",Base!G452)</f>
        <v/>
      </c>
      <c r="E452" s="1" t="str">
        <f aca="false">IF(LEN(A452&amp;"")=0,"",Base!E452)</f>
        <v/>
      </c>
      <c r="F452" s="61" t="str">
        <f aca="false">IF(LEN(A452&amp;"")=0,"",IF(Base!I452="-",0,Base!I452))</f>
        <v/>
      </c>
      <c r="G452" s="61" t="str">
        <f aca="false">IF(LEN(A452&amp;"")=0,"",SUM(Base!F452,F452,Base!K452))</f>
        <v/>
      </c>
      <c r="H452" s="61" t="str">
        <f aca="false">IF(LEN(A452&amp;"")=0,"",Base!L452)</f>
        <v/>
      </c>
      <c r="I452" s="61" t="str">
        <f aca="false">IF(LEN(A452&amp;"")=0,"",G452-H452)</f>
        <v/>
      </c>
      <c r="J452" s="61" t="str">
        <f aca="false">IF(LEN(A452&amp;"")=0,"",Base!M452)</f>
        <v/>
      </c>
      <c r="K452" s="1" t="n">
        <f aca="false">IF(OR(LEN(A452&amp;"")=0,$P$3=0),0,IF(AND(B452&gt;=Painel!$B$8,B452&lt;=Painel!$G$8,OR(Painel!$L$8="Todos",C452=Painel!$L$8),OR(Painel!$Q$8="Todos",D452=Painel!$Q$8),OR(Painel!$V$8="Todas",E452=Painel!$V$8)),1,0))</f>
        <v>0</v>
      </c>
      <c r="L452" s="61" t="str">
        <f aca="false">IF(LEN(A452&amp;"")=0,"",J452-I452)</f>
        <v/>
      </c>
      <c r="M452" s="1" t="n">
        <f aca="false">IF(LEN(A452&amp;"")=0,0,IF(COUNTIFS(Base!$A$7:$A$1006,A452)&gt;1,1,0))</f>
        <v>0</v>
      </c>
      <c r="N452" s="1" t="n">
        <f aca="false">IF(LEN(A452&amp;"")=0,0,IF(ABS(L452)&gt;0.005,1,0))</f>
        <v>0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customFormat="false" ht="23" hidden="false" customHeight="true" outlineLevel="0" collapsed="false">
      <c r="A453" s="1" t="str">
        <f aca="false">IF(LEN(Base!A453&amp;"")=0,"",Base!A453)</f>
        <v/>
      </c>
      <c r="B453" s="60" t="str">
        <f aca="false">IF(LEN(A453&amp;"")=0,"",Base!D453)</f>
        <v/>
      </c>
      <c r="C453" s="1" t="str">
        <f aca="false">IF(LEN(A453&amp;"")=0,"",Base!C453)</f>
        <v/>
      </c>
      <c r="D453" s="1" t="str">
        <f aca="false">IF(LEN(A453&amp;"")=0,"",Base!G453)</f>
        <v/>
      </c>
      <c r="E453" s="1" t="str">
        <f aca="false">IF(LEN(A453&amp;"")=0,"",Base!E453)</f>
        <v/>
      </c>
      <c r="F453" s="61" t="str">
        <f aca="false">IF(LEN(A453&amp;"")=0,"",IF(Base!I453="-",0,Base!I453))</f>
        <v/>
      </c>
      <c r="G453" s="61" t="str">
        <f aca="false">IF(LEN(A453&amp;"")=0,"",SUM(Base!F453,F453,Base!K453))</f>
        <v/>
      </c>
      <c r="H453" s="61" t="str">
        <f aca="false">IF(LEN(A453&amp;"")=0,"",Base!L453)</f>
        <v/>
      </c>
      <c r="I453" s="61" t="str">
        <f aca="false">IF(LEN(A453&amp;"")=0,"",G453-H453)</f>
        <v/>
      </c>
      <c r="J453" s="61" t="str">
        <f aca="false">IF(LEN(A453&amp;"")=0,"",Base!M453)</f>
        <v/>
      </c>
      <c r="K453" s="1" t="n">
        <f aca="false">IF(OR(LEN(A453&amp;"")=0,$P$3=0),0,IF(AND(B453&gt;=Painel!$B$8,B453&lt;=Painel!$G$8,OR(Painel!$L$8="Todos",C453=Painel!$L$8),OR(Painel!$Q$8="Todos",D453=Painel!$Q$8),OR(Painel!$V$8="Todas",E453=Painel!$V$8)),1,0))</f>
        <v>0</v>
      </c>
      <c r="L453" s="61" t="str">
        <f aca="false">IF(LEN(A453&amp;"")=0,"",J453-I453)</f>
        <v/>
      </c>
      <c r="M453" s="1" t="n">
        <f aca="false">IF(LEN(A453&amp;"")=0,0,IF(COUNTIFS(Base!$A$7:$A$1006,A453)&gt;1,1,0))</f>
        <v>0</v>
      </c>
      <c r="N453" s="1" t="n">
        <f aca="false">IF(LEN(A453&amp;"")=0,0,IF(ABS(L453)&gt;0.005,1,0))</f>
        <v>0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customFormat="false" ht="23" hidden="false" customHeight="true" outlineLevel="0" collapsed="false">
      <c r="A454" s="1" t="str">
        <f aca="false">IF(LEN(Base!A454&amp;"")=0,"",Base!A454)</f>
        <v/>
      </c>
      <c r="B454" s="60" t="str">
        <f aca="false">IF(LEN(A454&amp;"")=0,"",Base!D454)</f>
        <v/>
      </c>
      <c r="C454" s="1" t="str">
        <f aca="false">IF(LEN(A454&amp;"")=0,"",Base!C454)</f>
        <v/>
      </c>
      <c r="D454" s="1" t="str">
        <f aca="false">IF(LEN(A454&amp;"")=0,"",Base!G454)</f>
        <v/>
      </c>
      <c r="E454" s="1" t="str">
        <f aca="false">IF(LEN(A454&amp;"")=0,"",Base!E454)</f>
        <v/>
      </c>
      <c r="F454" s="61" t="str">
        <f aca="false">IF(LEN(A454&amp;"")=0,"",IF(Base!I454="-",0,Base!I454))</f>
        <v/>
      </c>
      <c r="G454" s="61" t="str">
        <f aca="false">IF(LEN(A454&amp;"")=0,"",SUM(Base!F454,F454,Base!K454))</f>
        <v/>
      </c>
      <c r="H454" s="61" t="str">
        <f aca="false">IF(LEN(A454&amp;"")=0,"",Base!L454)</f>
        <v/>
      </c>
      <c r="I454" s="61" t="str">
        <f aca="false">IF(LEN(A454&amp;"")=0,"",G454-H454)</f>
        <v/>
      </c>
      <c r="J454" s="61" t="str">
        <f aca="false">IF(LEN(A454&amp;"")=0,"",Base!M454)</f>
        <v/>
      </c>
      <c r="K454" s="1" t="n">
        <f aca="false">IF(OR(LEN(A454&amp;"")=0,$P$3=0),0,IF(AND(B454&gt;=Painel!$B$8,B454&lt;=Painel!$G$8,OR(Painel!$L$8="Todos",C454=Painel!$L$8),OR(Painel!$Q$8="Todos",D454=Painel!$Q$8),OR(Painel!$V$8="Todas",E454=Painel!$V$8)),1,0))</f>
        <v>0</v>
      </c>
      <c r="L454" s="61" t="str">
        <f aca="false">IF(LEN(A454&amp;"")=0,"",J454-I454)</f>
        <v/>
      </c>
      <c r="M454" s="1" t="n">
        <f aca="false">IF(LEN(A454&amp;"")=0,0,IF(COUNTIFS(Base!$A$7:$A$1006,A454)&gt;1,1,0))</f>
        <v>0</v>
      </c>
      <c r="N454" s="1" t="n">
        <f aca="false">IF(LEN(A454&amp;"")=0,0,IF(ABS(L454)&gt;0.005,1,0))</f>
        <v>0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customFormat="false" ht="23" hidden="false" customHeight="true" outlineLevel="0" collapsed="false">
      <c r="A455" s="1" t="str">
        <f aca="false">IF(LEN(Base!A455&amp;"")=0,"",Base!A455)</f>
        <v/>
      </c>
      <c r="B455" s="60" t="str">
        <f aca="false">IF(LEN(A455&amp;"")=0,"",Base!D455)</f>
        <v/>
      </c>
      <c r="C455" s="1" t="str">
        <f aca="false">IF(LEN(A455&amp;"")=0,"",Base!C455)</f>
        <v/>
      </c>
      <c r="D455" s="1" t="str">
        <f aca="false">IF(LEN(A455&amp;"")=0,"",Base!G455)</f>
        <v/>
      </c>
      <c r="E455" s="1" t="str">
        <f aca="false">IF(LEN(A455&amp;"")=0,"",Base!E455)</f>
        <v/>
      </c>
      <c r="F455" s="61" t="str">
        <f aca="false">IF(LEN(A455&amp;"")=0,"",IF(Base!I455="-",0,Base!I455))</f>
        <v/>
      </c>
      <c r="G455" s="61" t="str">
        <f aca="false">IF(LEN(A455&amp;"")=0,"",SUM(Base!F455,F455,Base!K455))</f>
        <v/>
      </c>
      <c r="H455" s="61" t="str">
        <f aca="false">IF(LEN(A455&amp;"")=0,"",Base!L455)</f>
        <v/>
      </c>
      <c r="I455" s="61" t="str">
        <f aca="false">IF(LEN(A455&amp;"")=0,"",G455-H455)</f>
        <v/>
      </c>
      <c r="J455" s="61" t="str">
        <f aca="false">IF(LEN(A455&amp;"")=0,"",Base!M455)</f>
        <v/>
      </c>
      <c r="K455" s="1" t="n">
        <f aca="false">IF(OR(LEN(A455&amp;"")=0,$P$3=0),0,IF(AND(B455&gt;=Painel!$B$8,B455&lt;=Painel!$G$8,OR(Painel!$L$8="Todos",C455=Painel!$L$8),OR(Painel!$Q$8="Todos",D455=Painel!$Q$8),OR(Painel!$V$8="Todas",E455=Painel!$V$8)),1,0))</f>
        <v>0</v>
      </c>
      <c r="L455" s="61" t="str">
        <f aca="false">IF(LEN(A455&amp;"")=0,"",J455-I455)</f>
        <v/>
      </c>
      <c r="M455" s="1" t="n">
        <f aca="false">IF(LEN(A455&amp;"")=0,0,IF(COUNTIFS(Base!$A$7:$A$1006,A455)&gt;1,1,0))</f>
        <v>0</v>
      </c>
      <c r="N455" s="1" t="n">
        <f aca="false">IF(LEN(A455&amp;"")=0,0,IF(ABS(L455)&gt;0.005,1,0))</f>
        <v>0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customFormat="false" ht="23" hidden="false" customHeight="true" outlineLevel="0" collapsed="false">
      <c r="A456" s="1" t="str">
        <f aca="false">IF(LEN(Base!A456&amp;"")=0,"",Base!A456)</f>
        <v/>
      </c>
      <c r="B456" s="60" t="str">
        <f aca="false">IF(LEN(A456&amp;"")=0,"",Base!D456)</f>
        <v/>
      </c>
      <c r="C456" s="1" t="str">
        <f aca="false">IF(LEN(A456&amp;"")=0,"",Base!C456)</f>
        <v/>
      </c>
      <c r="D456" s="1" t="str">
        <f aca="false">IF(LEN(A456&amp;"")=0,"",Base!G456)</f>
        <v/>
      </c>
      <c r="E456" s="1" t="str">
        <f aca="false">IF(LEN(A456&amp;"")=0,"",Base!E456)</f>
        <v/>
      </c>
      <c r="F456" s="61" t="str">
        <f aca="false">IF(LEN(A456&amp;"")=0,"",IF(Base!I456="-",0,Base!I456))</f>
        <v/>
      </c>
      <c r="G456" s="61" t="str">
        <f aca="false">IF(LEN(A456&amp;"")=0,"",SUM(Base!F456,F456,Base!K456))</f>
        <v/>
      </c>
      <c r="H456" s="61" t="str">
        <f aca="false">IF(LEN(A456&amp;"")=0,"",Base!L456)</f>
        <v/>
      </c>
      <c r="I456" s="61" t="str">
        <f aca="false">IF(LEN(A456&amp;"")=0,"",G456-H456)</f>
        <v/>
      </c>
      <c r="J456" s="61" t="str">
        <f aca="false">IF(LEN(A456&amp;"")=0,"",Base!M456)</f>
        <v/>
      </c>
      <c r="K456" s="1" t="n">
        <f aca="false">IF(OR(LEN(A456&amp;"")=0,$P$3=0),0,IF(AND(B456&gt;=Painel!$B$8,B456&lt;=Painel!$G$8,OR(Painel!$L$8="Todos",C456=Painel!$L$8),OR(Painel!$Q$8="Todos",D456=Painel!$Q$8),OR(Painel!$V$8="Todas",E456=Painel!$V$8)),1,0))</f>
        <v>0</v>
      </c>
      <c r="L456" s="61" t="str">
        <f aca="false">IF(LEN(A456&amp;"")=0,"",J456-I456)</f>
        <v/>
      </c>
      <c r="M456" s="1" t="n">
        <f aca="false">IF(LEN(A456&amp;"")=0,0,IF(COUNTIFS(Base!$A$7:$A$1006,A456)&gt;1,1,0))</f>
        <v>0</v>
      </c>
      <c r="N456" s="1" t="n">
        <f aca="false">IF(LEN(A456&amp;"")=0,0,IF(ABS(L456)&gt;0.005,1,0))</f>
        <v>0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customFormat="false" ht="23" hidden="false" customHeight="true" outlineLevel="0" collapsed="false">
      <c r="A457" s="1" t="str">
        <f aca="false">IF(LEN(Base!A457&amp;"")=0,"",Base!A457)</f>
        <v/>
      </c>
      <c r="B457" s="60" t="str">
        <f aca="false">IF(LEN(A457&amp;"")=0,"",Base!D457)</f>
        <v/>
      </c>
      <c r="C457" s="1" t="str">
        <f aca="false">IF(LEN(A457&amp;"")=0,"",Base!C457)</f>
        <v/>
      </c>
      <c r="D457" s="1" t="str">
        <f aca="false">IF(LEN(A457&amp;"")=0,"",Base!G457)</f>
        <v/>
      </c>
      <c r="E457" s="1" t="str">
        <f aca="false">IF(LEN(A457&amp;"")=0,"",Base!E457)</f>
        <v/>
      </c>
      <c r="F457" s="61" t="str">
        <f aca="false">IF(LEN(A457&amp;"")=0,"",IF(Base!I457="-",0,Base!I457))</f>
        <v/>
      </c>
      <c r="G457" s="61" t="str">
        <f aca="false">IF(LEN(A457&amp;"")=0,"",SUM(Base!F457,F457,Base!K457))</f>
        <v/>
      </c>
      <c r="H457" s="61" t="str">
        <f aca="false">IF(LEN(A457&amp;"")=0,"",Base!L457)</f>
        <v/>
      </c>
      <c r="I457" s="61" t="str">
        <f aca="false">IF(LEN(A457&amp;"")=0,"",G457-H457)</f>
        <v/>
      </c>
      <c r="J457" s="61" t="str">
        <f aca="false">IF(LEN(A457&amp;"")=0,"",Base!M457)</f>
        <v/>
      </c>
      <c r="K457" s="1" t="n">
        <f aca="false">IF(OR(LEN(A457&amp;"")=0,$P$3=0),0,IF(AND(B457&gt;=Painel!$B$8,B457&lt;=Painel!$G$8,OR(Painel!$L$8="Todos",C457=Painel!$L$8),OR(Painel!$Q$8="Todos",D457=Painel!$Q$8),OR(Painel!$V$8="Todas",E457=Painel!$V$8)),1,0))</f>
        <v>0</v>
      </c>
      <c r="L457" s="61" t="str">
        <f aca="false">IF(LEN(A457&amp;"")=0,"",J457-I457)</f>
        <v/>
      </c>
      <c r="M457" s="1" t="n">
        <f aca="false">IF(LEN(A457&amp;"")=0,0,IF(COUNTIFS(Base!$A$7:$A$1006,A457)&gt;1,1,0))</f>
        <v>0</v>
      </c>
      <c r="N457" s="1" t="n">
        <f aca="false">IF(LEN(A457&amp;"")=0,0,IF(ABS(L457)&gt;0.005,1,0))</f>
        <v>0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customFormat="false" ht="23" hidden="false" customHeight="true" outlineLevel="0" collapsed="false">
      <c r="A458" s="1" t="str">
        <f aca="false">IF(LEN(Base!A458&amp;"")=0,"",Base!A458)</f>
        <v/>
      </c>
      <c r="B458" s="60" t="str">
        <f aca="false">IF(LEN(A458&amp;"")=0,"",Base!D458)</f>
        <v/>
      </c>
      <c r="C458" s="1" t="str">
        <f aca="false">IF(LEN(A458&amp;"")=0,"",Base!C458)</f>
        <v/>
      </c>
      <c r="D458" s="1" t="str">
        <f aca="false">IF(LEN(A458&amp;"")=0,"",Base!G458)</f>
        <v/>
      </c>
      <c r="E458" s="1" t="str">
        <f aca="false">IF(LEN(A458&amp;"")=0,"",Base!E458)</f>
        <v/>
      </c>
      <c r="F458" s="61" t="str">
        <f aca="false">IF(LEN(A458&amp;"")=0,"",IF(Base!I458="-",0,Base!I458))</f>
        <v/>
      </c>
      <c r="G458" s="61" t="str">
        <f aca="false">IF(LEN(A458&amp;"")=0,"",SUM(Base!F458,F458,Base!K458))</f>
        <v/>
      </c>
      <c r="H458" s="61" t="str">
        <f aca="false">IF(LEN(A458&amp;"")=0,"",Base!L458)</f>
        <v/>
      </c>
      <c r="I458" s="61" t="str">
        <f aca="false">IF(LEN(A458&amp;"")=0,"",G458-H458)</f>
        <v/>
      </c>
      <c r="J458" s="61" t="str">
        <f aca="false">IF(LEN(A458&amp;"")=0,"",Base!M458)</f>
        <v/>
      </c>
      <c r="K458" s="1" t="n">
        <f aca="false">IF(OR(LEN(A458&amp;"")=0,$P$3=0),0,IF(AND(B458&gt;=Painel!$B$8,B458&lt;=Painel!$G$8,OR(Painel!$L$8="Todos",C458=Painel!$L$8),OR(Painel!$Q$8="Todos",D458=Painel!$Q$8),OR(Painel!$V$8="Todas",E458=Painel!$V$8)),1,0))</f>
        <v>0</v>
      </c>
      <c r="L458" s="61" t="str">
        <f aca="false">IF(LEN(A458&amp;"")=0,"",J458-I458)</f>
        <v/>
      </c>
      <c r="M458" s="1" t="n">
        <f aca="false">IF(LEN(A458&amp;"")=0,0,IF(COUNTIFS(Base!$A$7:$A$1006,A458)&gt;1,1,0))</f>
        <v>0</v>
      </c>
      <c r="N458" s="1" t="n">
        <f aca="false">IF(LEN(A458&amp;"")=0,0,IF(ABS(L458)&gt;0.005,1,0))</f>
        <v>0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customFormat="false" ht="23" hidden="false" customHeight="true" outlineLevel="0" collapsed="false">
      <c r="A459" s="1" t="str">
        <f aca="false">IF(LEN(Base!A459&amp;"")=0,"",Base!A459)</f>
        <v/>
      </c>
      <c r="B459" s="60" t="str">
        <f aca="false">IF(LEN(A459&amp;"")=0,"",Base!D459)</f>
        <v/>
      </c>
      <c r="C459" s="1" t="str">
        <f aca="false">IF(LEN(A459&amp;"")=0,"",Base!C459)</f>
        <v/>
      </c>
      <c r="D459" s="1" t="str">
        <f aca="false">IF(LEN(A459&amp;"")=0,"",Base!G459)</f>
        <v/>
      </c>
      <c r="E459" s="1" t="str">
        <f aca="false">IF(LEN(A459&amp;"")=0,"",Base!E459)</f>
        <v/>
      </c>
      <c r="F459" s="61" t="str">
        <f aca="false">IF(LEN(A459&amp;"")=0,"",IF(Base!I459="-",0,Base!I459))</f>
        <v/>
      </c>
      <c r="G459" s="61" t="str">
        <f aca="false">IF(LEN(A459&amp;"")=0,"",SUM(Base!F459,F459,Base!K459))</f>
        <v/>
      </c>
      <c r="H459" s="61" t="str">
        <f aca="false">IF(LEN(A459&amp;"")=0,"",Base!L459)</f>
        <v/>
      </c>
      <c r="I459" s="61" t="str">
        <f aca="false">IF(LEN(A459&amp;"")=0,"",G459-H459)</f>
        <v/>
      </c>
      <c r="J459" s="61" t="str">
        <f aca="false">IF(LEN(A459&amp;"")=0,"",Base!M459)</f>
        <v/>
      </c>
      <c r="K459" s="1" t="n">
        <f aca="false">IF(OR(LEN(A459&amp;"")=0,$P$3=0),0,IF(AND(B459&gt;=Painel!$B$8,B459&lt;=Painel!$G$8,OR(Painel!$L$8="Todos",C459=Painel!$L$8),OR(Painel!$Q$8="Todos",D459=Painel!$Q$8),OR(Painel!$V$8="Todas",E459=Painel!$V$8)),1,0))</f>
        <v>0</v>
      </c>
      <c r="L459" s="61" t="str">
        <f aca="false">IF(LEN(A459&amp;"")=0,"",J459-I459)</f>
        <v/>
      </c>
      <c r="M459" s="1" t="n">
        <f aca="false">IF(LEN(A459&amp;"")=0,0,IF(COUNTIFS(Base!$A$7:$A$1006,A459)&gt;1,1,0))</f>
        <v>0</v>
      </c>
      <c r="N459" s="1" t="n">
        <f aca="false">IF(LEN(A459&amp;"")=0,0,IF(ABS(L459)&gt;0.005,1,0))</f>
        <v>0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customFormat="false" ht="23" hidden="false" customHeight="true" outlineLevel="0" collapsed="false">
      <c r="A460" s="1" t="str">
        <f aca="false">IF(LEN(Base!A460&amp;"")=0,"",Base!A460)</f>
        <v/>
      </c>
      <c r="B460" s="60" t="str">
        <f aca="false">IF(LEN(A460&amp;"")=0,"",Base!D460)</f>
        <v/>
      </c>
      <c r="C460" s="1" t="str">
        <f aca="false">IF(LEN(A460&amp;"")=0,"",Base!C460)</f>
        <v/>
      </c>
      <c r="D460" s="1" t="str">
        <f aca="false">IF(LEN(A460&amp;"")=0,"",Base!G460)</f>
        <v/>
      </c>
      <c r="E460" s="1" t="str">
        <f aca="false">IF(LEN(A460&amp;"")=0,"",Base!E460)</f>
        <v/>
      </c>
      <c r="F460" s="61" t="str">
        <f aca="false">IF(LEN(A460&amp;"")=0,"",IF(Base!I460="-",0,Base!I460))</f>
        <v/>
      </c>
      <c r="G460" s="61" t="str">
        <f aca="false">IF(LEN(A460&amp;"")=0,"",SUM(Base!F460,F460,Base!K460))</f>
        <v/>
      </c>
      <c r="H460" s="61" t="str">
        <f aca="false">IF(LEN(A460&amp;"")=0,"",Base!L460)</f>
        <v/>
      </c>
      <c r="I460" s="61" t="str">
        <f aca="false">IF(LEN(A460&amp;"")=0,"",G460-H460)</f>
        <v/>
      </c>
      <c r="J460" s="61" t="str">
        <f aca="false">IF(LEN(A460&amp;"")=0,"",Base!M460)</f>
        <v/>
      </c>
      <c r="K460" s="1" t="n">
        <f aca="false">IF(OR(LEN(A460&amp;"")=0,$P$3=0),0,IF(AND(B460&gt;=Painel!$B$8,B460&lt;=Painel!$G$8,OR(Painel!$L$8="Todos",C460=Painel!$L$8),OR(Painel!$Q$8="Todos",D460=Painel!$Q$8),OR(Painel!$V$8="Todas",E460=Painel!$V$8)),1,0))</f>
        <v>0</v>
      </c>
      <c r="L460" s="61" t="str">
        <f aca="false">IF(LEN(A460&amp;"")=0,"",J460-I460)</f>
        <v/>
      </c>
      <c r="M460" s="1" t="n">
        <f aca="false">IF(LEN(A460&amp;"")=0,0,IF(COUNTIFS(Base!$A$7:$A$1006,A460)&gt;1,1,0))</f>
        <v>0</v>
      </c>
      <c r="N460" s="1" t="n">
        <f aca="false">IF(LEN(A460&amp;"")=0,0,IF(ABS(L460)&gt;0.005,1,0))</f>
        <v>0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customFormat="false" ht="23" hidden="false" customHeight="true" outlineLevel="0" collapsed="false">
      <c r="A461" s="1" t="str">
        <f aca="false">IF(LEN(Base!A461&amp;"")=0,"",Base!A461)</f>
        <v/>
      </c>
      <c r="B461" s="60" t="str">
        <f aca="false">IF(LEN(A461&amp;"")=0,"",Base!D461)</f>
        <v/>
      </c>
      <c r="C461" s="1" t="str">
        <f aca="false">IF(LEN(A461&amp;"")=0,"",Base!C461)</f>
        <v/>
      </c>
      <c r="D461" s="1" t="str">
        <f aca="false">IF(LEN(A461&amp;"")=0,"",Base!G461)</f>
        <v/>
      </c>
      <c r="E461" s="1" t="str">
        <f aca="false">IF(LEN(A461&amp;"")=0,"",Base!E461)</f>
        <v/>
      </c>
      <c r="F461" s="61" t="str">
        <f aca="false">IF(LEN(A461&amp;"")=0,"",IF(Base!I461="-",0,Base!I461))</f>
        <v/>
      </c>
      <c r="G461" s="61" t="str">
        <f aca="false">IF(LEN(A461&amp;"")=0,"",SUM(Base!F461,F461,Base!K461))</f>
        <v/>
      </c>
      <c r="H461" s="61" t="str">
        <f aca="false">IF(LEN(A461&amp;"")=0,"",Base!L461)</f>
        <v/>
      </c>
      <c r="I461" s="61" t="str">
        <f aca="false">IF(LEN(A461&amp;"")=0,"",G461-H461)</f>
        <v/>
      </c>
      <c r="J461" s="61" t="str">
        <f aca="false">IF(LEN(A461&amp;"")=0,"",Base!M461)</f>
        <v/>
      </c>
      <c r="K461" s="1" t="n">
        <f aca="false">IF(OR(LEN(A461&amp;"")=0,$P$3=0),0,IF(AND(B461&gt;=Painel!$B$8,B461&lt;=Painel!$G$8,OR(Painel!$L$8="Todos",C461=Painel!$L$8),OR(Painel!$Q$8="Todos",D461=Painel!$Q$8),OR(Painel!$V$8="Todas",E461=Painel!$V$8)),1,0))</f>
        <v>0</v>
      </c>
      <c r="L461" s="61" t="str">
        <f aca="false">IF(LEN(A461&amp;"")=0,"",J461-I461)</f>
        <v/>
      </c>
      <c r="M461" s="1" t="n">
        <f aca="false">IF(LEN(A461&amp;"")=0,0,IF(COUNTIFS(Base!$A$7:$A$1006,A461)&gt;1,1,0))</f>
        <v>0</v>
      </c>
      <c r="N461" s="1" t="n">
        <f aca="false">IF(LEN(A461&amp;"")=0,0,IF(ABS(L461)&gt;0.005,1,0))</f>
        <v>0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customFormat="false" ht="23" hidden="false" customHeight="true" outlineLevel="0" collapsed="false">
      <c r="A462" s="1" t="str">
        <f aca="false">IF(LEN(Base!A462&amp;"")=0,"",Base!A462)</f>
        <v/>
      </c>
      <c r="B462" s="60" t="str">
        <f aca="false">IF(LEN(A462&amp;"")=0,"",Base!D462)</f>
        <v/>
      </c>
      <c r="C462" s="1" t="str">
        <f aca="false">IF(LEN(A462&amp;"")=0,"",Base!C462)</f>
        <v/>
      </c>
      <c r="D462" s="1" t="str">
        <f aca="false">IF(LEN(A462&amp;"")=0,"",Base!G462)</f>
        <v/>
      </c>
      <c r="E462" s="1" t="str">
        <f aca="false">IF(LEN(A462&amp;"")=0,"",Base!E462)</f>
        <v/>
      </c>
      <c r="F462" s="61" t="str">
        <f aca="false">IF(LEN(A462&amp;"")=0,"",IF(Base!I462="-",0,Base!I462))</f>
        <v/>
      </c>
      <c r="G462" s="61" t="str">
        <f aca="false">IF(LEN(A462&amp;"")=0,"",SUM(Base!F462,F462,Base!K462))</f>
        <v/>
      </c>
      <c r="H462" s="61" t="str">
        <f aca="false">IF(LEN(A462&amp;"")=0,"",Base!L462)</f>
        <v/>
      </c>
      <c r="I462" s="61" t="str">
        <f aca="false">IF(LEN(A462&amp;"")=0,"",G462-H462)</f>
        <v/>
      </c>
      <c r="J462" s="61" t="str">
        <f aca="false">IF(LEN(A462&amp;"")=0,"",Base!M462)</f>
        <v/>
      </c>
      <c r="K462" s="1" t="n">
        <f aca="false">IF(OR(LEN(A462&amp;"")=0,$P$3=0),0,IF(AND(B462&gt;=Painel!$B$8,B462&lt;=Painel!$G$8,OR(Painel!$L$8="Todos",C462=Painel!$L$8),OR(Painel!$Q$8="Todos",D462=Painel!$Q$8),OR(Painel!$V$8="Todas",E462=Painel!$V$8)),1,0))</f>
        <v>0</v>
      </c>
      <c r="L462" s="61" t="str">
        <f aca="false">IF(LEN(A462&amp;"")=0,"",J462-I462)</f>
        <v/>
      </c>
      <c r="M462" s="1" t="n">
        <f aca="false">IF(LEN(A462&amp;"")=0,0,IF(COUNTIFS(Base!$A$7:$A$1006,A462)&gt;1,1,0))</f>
        <v>0</v>
      </c>
      <c r="N462" s="1" t="n">
        <f aca="false">IF(LEN(A462&amp;"")=0,0,IF(ABS(L462)&gt;0.005,1,0))</f>
        <v>0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customFormat="false" ht="23" hidden="false" customHeight="true" outlineLevel="0" collapsed="false">
      <c r="A463" s="1" t="str">
        <f aca="false">IF(LEN(Base!A463&amp;"")=0,"",Base!A463)</f>
        <v/>
      </c>
      <c r="B463" s="60" t="str">
        <f aca="false">IF(LEN(A463&amp;"")=0,"",Base!D463)</f>
        <v/>
      </c>
      <c r="C463" s="1" t="str">
        <f aca="false">IF(LEN(A463&amp;"")=0,"",Base!C463)</f>
        <v/>
      </c>
      <c r="D463" s="1" t="str">
        <f aca="false">IF(LEN(A463&amp;"")=0,"",Base!G463)</f>
        <v/>
      </c>
      <c r="E463" s="1" t="str">
        <f aca="false">IF(LEN(A463&amp;"")=0,"",Base!E463)</f>
        <v/>
      </c>
      <c r="F463" s="61" t="str">
        <f aca="false">IF(LEN(A463&amp;"")=0,"",IF(Base!I463="-",0,Base!I463))</f>
        <v/>
      </c>
      <c r="G463" s="61" t="str">
        <f aca="false">IF(LEN(A463&amp;"")=0,"",SUM(Base!F463,F463,Base!K463))</f>
        <v/>
      </c>
      <c r="H463" s="61" t="str">
        <f aca="false">IF(LEN(A463&amp;"")=0,"",Base!L463)</f>
        <v/>
      </c>
      <c r="I463" s="61" t="str">
        <f aca="false">IF(LEN(A463&amp;"")=0,"",G463-H463)</f>
        <v/>
      </c>
      <c r="J463" s="61" t="str">
        <f aca="false">IF(LEN(A463&amp;"")=0,"",Base!M463)</f>
        <v/>
      </c>
      <c r="K463" s="1" t="n">
        <f aca="false">IF(OR(LEN(A463&amp;"")=0,$P$3=0),0,IF(AND(B463&gt;=Painel!$B$8,B463&lt;=Painel!$G$8,OR(Painel!$L$8="Todos",C463=Painel!$L$8),OR(Painel!$Q$8="Todos",D463=Painel!$Q$8),OR(Painel!$V$8="Todas",E463=Painel!$V$8)),1,0))</f>
        <v>0</v>
      </c>
      <c r="L463" s="61" t="str">
        <f aca="false">IF(LEN(A463&amp;"")=0,"",J463-I463)</f>
        <v/>
      </c>
      <c r="M463" s="1" t="n">
        <f aca="false">IF(LEN(A463&amp;"")=0,0,IF(COUNTIFS(Base!$A$7:$A$1006,A463)&gt;1,1,0))</f>
        <v>0</v>
      </c>
      <c r="N463" s="1" t="n">
        <f aca="false">IF(LEN(A463&amp;"")=0,0,IF(ABS(L463)&gt;0.005,1,0))</f>
        <v>0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customFormat="false" ht="23" hidden="false" customHeight="true" outlineLevel="0" collapsed="false">
      <c r="A464" s="1" t="str">
        <f aca="false">IF(LEN(Base!A464&amp;"")=0,"",Base!A464)</f>
        <v/>
      </c>
      <c r="B464" s="60" t="str">
        <f aca="false">IF(LEN(A464&amp;"")=0,"",Base!D464)</f>
        <v/>
      </c>
      <c r="C464" s="1" t="str">
        <f aca="false">IF(LEN(A464&amp;"")=0,"",Base!C464)</f>
        <v/>
      </c>
      <c r="D464" s="1" t="str">
        <f aca="false">IF(LEN(A464&amp;"")=0,"",Base!G464)</f>
        <v/>
      </c>
      <c r="E464" s="1" t="str">
        <f aca="false">IF(LEN(A464&amp;"")=0,"",Base!E464)</f>
        <v/>
      </c>
      <c r="F464" s="61" t="str">
        <f aca="false">IF(LEN(A464&amp;"")=0,"",IF(Base!I464="-",0,Base!I464))</f>
        <v/>
      </c>
      <c r="G464" s="61" t="str">
        <f aca="false">IF(LEN(A464&amp;"")=0,"",SUM(Base!F464,F464,Base!K464))</f>
        <v/>
      </c>
      <c r="H464" s="61" t="str">
        <f aca="false">IF(LEN(A464&amp;"")=0,"",Base!L464)</f>
        <v/>
      </c>
      <c r="I464" s="61" t="str">
        <f aca="false">IF(LEN(A464&amp;"")=0,"",G464-H464)</f>
        <v/>
      </c>
      <c r="J464" s="61" t="str">
        <f aca="false">IF(LEN(A464&amp;"")=0,"",Base!M464)</f>
        <v/>
      </c>
      <c r="K464" s="1" t="n">
        <f aca="false">IF(OR(LEN(A464&amp;"")=0,$P$3=0),0,IF(AND(B464&gt;=Painel!$B$8,B464&lt;=Painel!$G$8,OR(Painel!$L$8="Todos",C464=Painel!$L$8),OR(Painel!$Q$8="Todos",D464=Painel!$Q$8),OR(Painel!$V$8="Todas",E464=Painel!$V$8)),1,0))</f>
        <v>0</v>
      </c>
      <c r="L464" s="61" t="str">
        <f aca="false">IF(LEN(A464&amp;"")=0,"",J464-I464)</f>
        <v/>
      </c>
      <c r="M464" s="1" t="n">
        <f aca="false">IF(LEN(A464&amp;"")=0,0,IF(COUNTIFS(Base!$A$7:$A$1006,A464)&gt;1,1,0))</f>
        <v>0</v>
      </c>
      <c r="N464" s="1" t="n">
        <f aca="false">IF(LEN(A464&amp;"")=0,0,IF(ABS(L464)&gt;0.005,1,0))</f>
        <v>0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customFormat="false" ht="23" hidden="false" customHeight="true" outlineLevel="0" collapsed="false">
      <c r="A465" s="1" t="str">
        <f aca="false">IF(LEN(Base!A465&amp;"")=0,"",Base!A465)</f>
        <v/>
      </c>
      <c r="B465" s="60" t="str">
        <f aca="false">IF(LEN(A465&amp;"")=0,"",Base!D465)</f>
        <v/>
      </c>
      <c r="C465" s="1" t="str">
        <f aca="false">IF(LEN(A465&amp;"")=0,"",Base!C465)</f>
        <v/>
      </c>
      <c r="D465" s="1" t="str">
        <f aca="false">IF(LEN(A465&amp;"")=0,"",Base!G465)</f>
        <v/>
      </c>
      <c r="E465" s="1" t="str">
        <f aca="false">IF(LEN(A465&amp;"")=0,"",Base!E465)</f>
        <v/>
      </c>
      <c r="F465" s="61" t="str">
        <f aca="false">IF(LEN(A465&amp;"")=0,"",IF(Base!I465="-",0,Base!I465))</f>
        <v/>
      </c>
      <c r="G465" s="61" t="str">
        <f aca="false">IF(LEN(A465&amp;"")=0,"",SUM(Base!F465,F465,Base!K465))</f>
        <v/>
      </c>
      <c r="H465" s="61" t="str">
        <f aca="false">IF(LEN(A465&amp;"")=0,"",Base!L465)</f>
        <v/>
      </c>
      <c r="I465" s="61" t="str">
        <f aca="false">IF(LEN(A465&amp;"")=0,"",G465-H465)</f>
        <v/>
      </c>
      <c r="J465" s="61" t="str">
        <f aca="false">IF(LEN(A465&amp;"")=0,"",Base!M465)</f>
        <v/>
      </c>
      <c r="K465" s="1" t="n">
        <f aca="false">IF(OR(LEN(A465&amp;"")=0,$P$3=0),0,IF(AND(B465&gt;=Painel!$B$8,B465&lt;=Painel!$G$8,OR(Painel!$L$8="Todos",C465=Painel!$L$8),OR(Painel!$Q$8="Todos",D465=Painel!$Q$8),OR(Painel!$V$8="Todas",E465=Painel!$V$8)),1,0))</f>
        <v>0</v>
      </c>
      <c r="L465" s="61" t="str">
        <f aca="false">IF(LEN(A465&amp;"")=0,"",J465-I465)</f>
        <v/>
      </c>
      <c r="M465" s="1" t="n">
        <f aca="false">IF(LEN(A465&amp;"")=0,0,IF(COUNTIFS(Base!$A$7:$A$1006,A465)&gt;1,1,0))</f>
        <v>0</v>
      </c>
      <c r="N465" s="1" t="n">
        <f aca="false">IF(LEN(A465&amp;"")=0,0,IF(ABS(L465)&gt;0.005,1,0))</f>
        <v>0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customFormat="false" ht="23" hidden="false" customHeight="true" outlineLevel="0" collapsed="false">
      <c r="A466" s="1" t="str">
        <f aca="false">IF(LEN(Base!A466&amp;"")=0,"",Base!A466)</f>
        <v/>
      </c>
      <c r="B466" s="60" t="str">
        <f aca="false">IF(LEN(A466&amp;"")=0,"",Base!D466)</f>
        <v/>
      </c>
      <c r="C466" s="1" t="str">
        <f aca="false">IF(LEN(A466&amp;"")=0,"",Base!C466)</f>
        <v/>
      </c>
      <c r="D466" s="1" t="str">
        <f aca="false">IF(LEN(A466&amp;"")=0,"",Base!G466)</f>
        <v/>
      </c>
      <c r="E466" s="1" t="str">
        <f aca="false">IF(LEN(A466&amp;"")=0,"",Base!E466)</f>
        <v/>
      </c>
      <c r="F466" s="61" t="str">
        <f aca="false">IF(LEN(A466&amp;"")=0,"",IF(Base!I466="-",0,Base!I466))</f>
        <v/>
      </c>
      <c r="G466" s="61" t="str">
        <f aca="false">IF(LEN(A466&amp;"")=0,"",SUM(Base!F466,F466,Base!K466))</f>
        <v/>
      </c>
      <c r="H466" s="61" t="str">
        <f aca="false">IF(LEN(A466&amp;"")=0,"",Base!L466)</f>
        <v/>
      </c>
      <c r="I466" s="61" t="str">
        <f aca="false">IF(LEN(A466&amp;"")=0,"",G466-H466)</f>
        <v/>
      </c>
      <c r="J466" s="61" t="str">
        <f aca="false">IF(LEN(A466&amp;"")=0,"",Base!M466)</f>
        <v/>
      </c>
      <c r="K466" s="1" t="n">
        <f aca="false">IF(OR(LEN(A466&amp;"")=0,$P$3=0),0,IF(AND(B466&gt;=Painel!$B$8,B466&lt;=Painel!$G$8,OR(Painel!$L$8="Todos",C466=Painel!$L$8),OR(Painel!$Q$8="Todos",D466=Painel!$Q$8),OR(Painel!$V$8="Todas",E466=Painel!$V$8)),1,0))</f>
        <v>0</v>
      </c>
      <c r="L466" s="61" t="str">
        <f aca="false">IF(LEN(A466&amp;"")=0,"",J466-I466)</f>
        <v/>
      </c>
      <c r="M466" s="1" t="n">
        <f aca="false">IF(LEN(A466&amp;"")=0,0,IF(COUNTIFS(Base!$A$7:$A$1006,A466)&gt;1,1,0))</f>
        <v>0</v>
      </c>
      <c r="N466" s="1" t="n">
        <f aca="false">IF(LEN(A466&amp;"")=0,0,IF(ABS(L466)&gt;0.005,1,0))</f>
        <v>0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customFormat="false" ht="23" hidden="false" customHeight="true" outlineLevel="0" collapsed="false">
      <c r="A467" s="1" t="str">
        <f aca="false">IF(LEN(Base!A467&amp;"")=0,"",Base!A467)</f>
        <v/>
      </c>
      <c r="B467" s="60" t="str">
        <f aca="false">IF(LEN(A467&amp;"")=0,"",Base!D467)</f>
        <v/>
      </c>
      <c r="C467" s="1" t="str">
        <f aca="false">IF(LEN(A467&amp;"")=0,"",Base!C467)</f>
        <v/>
      </c>
      <c r="D467" s="1" t="str">
        <f aca="false">IF(LEN(A467&amp;"")=0,"",Base!G467)</f>
        <v/>
      </c>
      <c r="E467" s="1" t="str">
        <f aca="false">IF(LEN(A467&amp;"")=0,"",Base!E467)</f>
        <v/>
      </c>
      <c r="F467" s="61" t="str">
        <f aca="false">IF(LEN(A467&amp;"")=0,"",IF(Base!I467="-",0,Base!I467))</f>
        <v/>
      </c>
      <c r="G467" s="61" t="str">
        <f aca="false">IF(LEN(A467&amp;"")=0,"",SUM(Base!F467,F467,Base!K467))</f>
        <v/>
      </c>
      <c r="H467" s="61" t="str">
        <f aca="false">IF(LEN(A467&amp;"")=0,"",Base!L467)</f>
        <v/>
      </c>
      <c r="I467" s="61" t="str">
        <f aca="false">IF(LEN(A467&amp;"")=0,"",G467-H467)</f>
        <v/>
      </c>
      <c r="J467" s="61" t="str">
        <f aca="false">IF(LEN(A467&amp;"")=0,"",Base!M467)</f>
        <v/>
      </c>
      <c r="K467" s="1" t="n">
        <f aca="false">IF(OR(LEN(A467&amp;"")=0,$P$3=0),0,IF(AND(B467&gt;=Painel!$B$8,B467&lt;=Painel!$G$8,OR(Painel!$L$8="Todos",C467=Painel!$L$8),OR(Painel!$Q$8="Todos",D467=Painel!$Q$8),OR(Painel!$V$8="Todas",E467=Painel!$V$8)),1,0))</f>
        <v>0</v>
      </c>
      <c r="L467" s="61" t="str">
        <f aca="false">IF(LEN(A467&amp;"")=0,"",J467-I467)</f>
        <v/>
      </c>
      <c r="M467" s="1" t="n">
        <f aca="false">IF(LEN(A467&amp;"")=0,0,IF(COUNTIFS(Base!$A$7:$A$1006,A467)&gt;1,1,0))</f>
        <v>0</v>
      </c>
      <c r="N467" s="1" t="n">
        <f aca="false">IF(LEN(A467&amp;"")=0,0,IF(ABS(L467)&gt;0.005,1,0))</f>
        <v>0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customFormat="false" ht="23" hidden="false" customHeight="true" outlineLevel="0" collapsed="false">
      <c r="A468" s="1" t="str">
        <f aca="false">IF(LEN(Base!A468&amp;"")=0,"",Base!A468)</f>
        <v/>
      </c>
      <c r="B468" s="60" t="str">
        <f aca="false">IF(LEN(A468&amp;"")=0,"",Base!D468)</f>
        <v/>
      </c>
      <c r="C468" s="1" t="str">
        <f aca="false">IF(LEN(A468&amp;"")=0,"",Base!C468)</f>
        <v/>
      </c>
      <c r="D468" s="1" t="str">
        <f aca="false">IF(LEN(A468&amp;"")=0,"",Base!G468)</f>
        <v/>
      </c>
      <c r="E468" s="1" t="str">
        <f aca="false">IF(LEN(A468&amp;"")=0,"",Base!E468)</f>
        <v/>
      </c>
      <c r="F468" s="61" t="str">
        <f aca="false">IF(LEN(A468&amp;"")=0,"",IF(Base!I468="-",0,Base!I468))</f>
        <v/>
      </c>
      <c r="G468" s="61" t="str">
        <f aca="false">IF(LEN(A468&amp;"")=0,"",SUM(Base!F468,F468,Base!K468))</f>
        <v/>
      </c>
      <c r="H468" s="61" t="str">
        <f aca="false">IF(LEN(A468&amp;"")=0,"",Base!L468)</f>
        <v/>
      </c>
      <c r="I468" s="61" t="str">
        <f aca="false">IF(LEN(A468&amp;"")=0,"",G468-H468)</f>
        <v/>
      </c>
      <c r="J468" s="61" t="str">
        <f aca="false">IF(LEN(A468&amp;"")=0,"",Base!M468)</f>
        <v/>
      </c>
      <c r="K468" s="1" t="n">
        <f aca="false">IF(OR(LEN(A468&amp;"")=0,$P$3=0),0,IF(AND(B468&gt;=Painel!$B$8,B468&lt;=Painel!$G$8,OR(Painel!$L$8="Todos",C468=Painel!$L$8),OR(Painel!$Q$8="Todos",D468=Painel!$Q$8),OR(Painel!$V$8="Todas",E468=Painel!$V$8)),1,0))</f>
        <v>0</v>
      </c>
      <c r="L468" s="61" t="str">
        <f aca="false">IF(LEN(A468&amp;"")=0,"",J468-I468)</f>
        <v/>
      </c>
      <c r="M468" s="1" t="n">
        <f aca="false">IF(LEN(A468&amp;"")=0,0,IF(COUNTIFS(Base!$A$7:$A$1006,A468)&gt;1,1,0))</f>
        <v>0</v>
      </c>
      <c r="N468" s="1" t="n">
        <f aca="false">IF(LEN(A468&amp;"")=0,0,IF(ABS(L468)&gt;0.005,1,0))</f>
        <v>0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customFormat="false" ht="23" hidden="false" customHeight="true" outlineLevel="0" collapsed="false">
      <c r="A469" s="1" t="str">
        <f aca="false">IF(LEN(Base!A469&amp;"")=0,"",Base!A469)</f>
        <v/>
      </c>
      <c r="B469" s="60" t="str">
        <f aca="false">IF(LEN(A469&amp;"")=0,"",Base!D469)</f>
        <v/>
      </c>
      <c r="C469" s="1" t="str">
        <f aca="false">IF(LEN(A469&amp;"")=0,"",Base!C469)</f>
        <v/>
      </c>
      <c r="D469" s="1" t="str">
        <f aca="false">IF(LEN(A469&amp;"")=0,"",Base!G469)</f>
        <v/>
      </c>
      <c r="E469" s="1" t="str">
        <f aca="false">IF(LEN(A469&amp;"")=0,"",Base!E469)</f>
        <v/>
      </c>
      <c r="F469" s="61" t="str">
        <f aca="false">IF(LEN(A469&amp;"")=0,"",IF(Base!I469="-",0,Base!I469))</f>
        <v/>
      </c>
      <c r="G469" s="61" t="str">
        <f aca="false">IF(LEN(A469&amp;"")=0,"",SUM(Base!F469,F469,Base!K469))</f>
        <v/>
      </c>
      <c r="H469" s="61" t="str">
        <f aca="false">IF(LEN(A469&amp;"")=0,"",Base!L469)</f>
        <v/>
      </c>
      <c r="I469" s="61" t="str">
        <f aca="false">IF(LEN(A469&amp;"")=0,"",G469-H469)</f>
        <v/>
      </c>
      <c r="J469" s="61" t="str">
        <f aca="false">IF(LEN(A469&amp;"")=0,"",Base!M469)</f>
        <v/>
      </c>
      <c r="K469" s="1" t="n">
        <f aca="false">IF(OR(LEN(A469&amp;"")=0,$P$3=0),0,IF(AND(B469&gt;=Painel!$B$8,B469&lt;=Painel!$G$8,OR(Painel!$L$8="Todos",C469=Painel!$L$8),OR(Painel!$Q$8="Todos",D469=Painel!$Q$8),OR(Painel!$V$8="Todas",E469=Painel!$V$8)),1,0))</f>
        <v>0</v>
      </c>
      <c r="L469" s="61" t="str">
        <f aca="false">IF(LEN(A469&amp;"")=0,"",J469-I469)</f>
        <v/>
      </c>
      <c r="M469" s="1" t="n">
        <f aca="false">IF(LEN(A469&amp;"")=0,0,IF(COUNTIFS(Base!$A$7:$A$1006,A469)&gt;1,1,0))</f>
        <v>0</v>
      </c>
      <c r="N469" s="1" t="n">
        <f aca="false">IF(LEN(A469&amp;"")=0,0,IF(ABS(L469)&gt;0.005,1,0))</f>
        <v>0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customFormat="false" ht="23" hidden="false" customHeight="true" outlineLevel="0" collapsed="false">
      <c r="A470" s="1" t="str">
        <f aca="false">IF(LEN(Base!A470&amp;"")=0,"",Base!A470)</f>
        <v/>
      </c>
      <c r="B470" s="60" t="str">
        <f aca="false">IF(LEN(A470&amp;"")=0,"",Base!D470)</f>
        <v/>
      </c>
      <c r="C470" s="1" t="str">
        <f aca="false">IF(LEN(A470&amp;"")=0,"",Base!C470)</f>
        <v/>
      </c>
      <c r="D470" s="1" t="str">
        <f aca="false">IF(LEN(A470&amp;"")=0,"",Base!G470)</f>
        <v/>
      </c>
      <c r="E470" s="1" t="str">
        <f aca="false">IF(LEN(A470&amp;"")=0,"",Base!E470)</f>
        <v/>
      </c>
      <c r="F470" s="61" t="str">
        <f aca="false">IF(LEN(A470&amp;"")=0,"",IF(Base!I470="-",0,Base!I470))</f>
        <v/>
      </c>
      <c r="G470" s="61" t="str">
        <f aca="false">IF(LEN(A470&amp;"")=0,"",SUM(Base!F470,F470,Base!K470))</f>
        <v/>
      </c>
      <c r="H470" s="61" t="str">
        <f aca="false">IF(LEN(A470&amp;"")=0,"",Base!L470)</f>
        <v/>
      </c>
      <c r="I470" s="61" t="str">
        <f aca="false">IF(LEN(A470&amp;"")=0,"",G470-H470)</f>
        <v/>
      </c>
      <c r="J470" s="61" t="str">
        <f aca="false">IF(LEN(A470&amp;"")=0,"",Base!M470)</f>
        <v/>
      </c>
      <c r="K470" s="1" t="n">
        <f aca="false">IF(OR(LEN(A470&amp;"")=0,$P$3=0),0,IF(AND(B470&gt;=Painel!$B$8,B470&lt;=Painel!$G$8,OR(Painel!$L$8="Todos",C470=Painel!$L$8),OR(Painel!$Q$8="Todos",D470=Painel!$Q$8),OR(Painel!$V$8="Todas",E470=Painel!$V$8)),1,0))</f>
        <v>0</v>
      </c>
      <c r="L470" s="61" t="str">
        <f aca="false">IF(LEN(A470&amp;"")=0,"",J470-I470)</f>
        <v/>
      </c>
      <c r="M470" s="1" t="n">
        <f aca="false">IF(LEN(A470&amp;"")=0,0,IF(COUNTIFS(Base!$A$7:$A$1006,A470)&gt;1,1,0))</f>
        <v>0</v>
      </c>
      <c r="N470" s="1" t="n">
        <f aca="false">IF(LEN(A470&amp;"")=0,0,IF(ABS(L470)&gt;0.005,1,0))</f>
        <v>0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customFormat="false" ht="23" hidden="false" customHeight="true" outlineLevel="0" collapsed="false">
      <c r="A471" s="1" t="str">
        <f aca="false">IF(LEN(Base!A471&amp;"")=0,"",Base!A471)</f>
        <v/>
      </c>
      <c r="B471" s="60" t="str">
        <f aca="false">IF(LEN(A471&amp;"")=0,"",Base!D471)</f>
        <v/>
      </c>
      <c r="C471" s="1" t="str">
        <f aca="false">IF(LEN(A471&amp;"")=0,"",Base!C471)</f>
        <v/>
      </c>
      <c r="D471" s="1" t="str">
        <f aca="false">IF(LEN(A471&amp;"")=0,"",Base!G471)</f>
        <v/>
      </c>
      <c r="E471" s="1" t="str">
        <f aca="false">IF(LEN(A471&amp;"")=0,"",Base!E471)</f>
        <v/>
      </c>
      <c r="F471" s="61" t="str">
        <f aca="false">IF(LEN(A471&amp;"")=0,"",IF(Base!I471="-",0,Base!I471))</f>
        <v/>
      </c>
      <c r="G471" s="61" t="str">
        <f aca="false">IF(LEN(A471&amp;"")=0,"",SUM(Base!F471,F471,Base!K471))</f>
        <v/>
      </c>
      <c r="H471" s="61" t="str">
        <f aca="false">IF(LEN(A471&amp;"")=0,"",Base!L471)</f>
        <v/>
      </c>
      <c r="I471" s="61" t="str">
        <f aca="false">IF(LEN(A471&amp;"")=0,"",G471-H471)</f>
        <v/>
      </c>
      <c r="J471" s="61" t="str">
        <f aca="false">IF(LEN(A471&amp;"")=0,"",Base!M471)</f>
        <v/>
      </c>
      <c r="K471" s="1" t="n">
        <f aca="false">IF(OR(LEN(A471&amp;"")=0,$P$3=0),0,IF(AND(B471&gt;=Painel!$B$8,B471&lt;=Painel!$G$8,OR(Painel!$L$8="Todos",C471=Painel!$L$8),OR(Painel!$Q$8="Todos",D471=Painel!$Q$8),OR(Painel!$V$8="Todas",E471=Painel!$V$8)),1,0))</f>
        <v>0</v>
      </c>
      <c r="L471" s="61" t="str">
        <f aca="false">IF(LEN(A471&amp;"")=0,"",J471-I471)</f>
        <v/>
      </c>
      <c r="M471" s="1" t="n">
        <f aca="false">IF(LEN(A471&amp;"")=0,0,IF(COUNTIFS(Base!$A$7:$A$1006,A471)&gt;1,1,0))</f>
        <v>0</v>
      </c>
      <c r="N471" s="1" t="n">
        <f aca="false">IF(LEN(A471&amp;"")=0,0,IF(ABS(L471)&gt;0.005,1,0))</f>
        <v>0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customFormat="false" ht="23" hidden="false" customHeight="true" outlineLevel="0" collapsed="false">
      <c r="A472" s="1" t="str">
        <f aca="false">IF(LEN(Base!A472&amp;"")=0,"",Base!A472)</f>
        <v/>
      </c>
      <c r="B472" s="60" t="str">
        <f aca="false">IF(LEN(A472&amp;"")=0,"",Base!D472)</f>
        <v/>
      </c>
      <c r="C472" s="1" t="str">
        <f aca="false">IF(LEN(A472&amp;"")=0,"",Base!C472)</f>
        <v/>
      </c>
      <c r="D472" s="1" t="str">
        <f aca="false">IF(LEN(A472&amp;"")=0,"",Base!G472)</f>
        <v/>
      </c>
      <c r="E472" s="1" t="str">
        <f aca="false">IF(LEN(A472&amp;"")=0,"",Base!E472)</f>
        <v/>
      </c>
      <c r="F472" s="61" t="str">
        <f aca="false">IF(LEN(A472&amp;"")=0,"",IF(Base!I472="-",0,Base!I472))</f>
        <v/>
      </c>
      <c r="G472" s="61" t="str">
        <f aca="false">IF(LEN(A472&amp;"")=0,"",SUM(Base!F472,F472,Base!K472))</f>
        <v/>
      </c>
      <c r="H472" s="61" t="str">
        <f aca="false">IF(LEN(A472&amp;"")=0,"",Base!L472)</f>
        <v/>
      </c>
      <c r="I472" s="61" t="str">
        <f aca="false">IF(LEN(A472&amp;"")=0,"",G472-H472)</f>
        <v/>
      </c>
      <c r="J472" s="61" t="str">
        <f aca="false">IF(LEN(A472&amp;"")=0,"",Base!M472)</f>
        <v/>
      </c>
      <c r="K472" s="1" t="n">
        <f aca="false">IF(OR(LEN(A472&amp;"")=0,$P$3=0),0,IF(AND(B472&gt;=Painel!$B$8,B472&lt;=Painel!$G$8,OR(Painel!$L$8="Todos",C472=Painel!$L$8),OR(Painel!$Q$8="Todos",D472=Painel!$Q$8),OR(Painel!$V$8="Todas",E472=Painel!$V$8)),1,0))</f>
        <v>0</v>
      </c>
      <c r="L472" s="61" t="str">
        <f aca="false">IF(LEN(A472&amp;"")=0,"",J472-I472)</f>
        <v/>
      </c>
      <c r="M472" s="1" t="n">
        <f aca="false">IF(LEN(A472&amp;"")=0,0,IF(COUNTIFS(Base!$A$7:$A$1006,A472)&gt;1,1,0))</f>
        <v>0</v>
      </c>
      <c r="N472" s="1" t="n">
        <f aca="false">IF(LEN(A472&amp;"")=0,0,IF(ABS(L472)&gt;0.005,1,0))</f>
        <v>0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customFormat="false" ht="23" hidden="false" customHeight="true" outlineLevel="0" collapsed="false">
      <c r="A473" s="1" t="str">
        <f aca="false">IF(LEN(Base!A473&amp;"")=0,"",Base!A473)</f>
        <v/>
      </c>
      <c r="B473" s="60" t="str">
        <f aca="false">IF(LEN(A473&amp;"")=0,"",Base!D473)</f>
        <v/>
      </c>
      <c r="C473" s="1" t="str">
        <f aca="false">IF(LEN(A473&amp;"")=0,"",Base!C473)</f>
        <v/>
      </c>
      <c r="D473" s="1" t="str">
        <f aca="false">IF(LEN(A473&amp;"")=0,"",Base!G473)</f>
        <v/>
      </c>
      <c r="E473" s="1" t="str">
        <f aca="false">IF(LEN(A473&amp;"")=0,"",Base!E473)</f>
        <v/>
      </c>
      <c r="F473" s="61" t="str">
        <f aca="false">IF(LEN(A473&amp;"")=0,"",IF(Base!I473="-",0,Base!I473))</f>
        <v/>
      </c>
      <c r="G473" s="61" t="str">
        <f aca="false">IF(LEN(A473&amp;"")=0,"",SUM(Base!F473,F473,Base!K473))</f>
        <v/>
      </c>
      <c r="H473" s="61" t="str">
        <f aca="false">IF(LEN(A473&amp;"")=0,"",Base!L473)</f>
        <v/>
      </c>
      <c r="I473" s="61" t="str">
        <f aca="false">IF(LEN(A473&amp;"")=0,"",G473-H473)</f>
        <v/>
      </c>
      <c r="J473" s="61" t="str">
        <f aca="false">IF(LEN(A473&amp;"")=0,"",Base!M473)</f>
        <v/>
      </c>
      <c r="K473" s="1" t="n">
        <f aca="false">IF(OR(LEN(A473&amp;"")=0,$P$3=0),0,IF(AND(B473&gt;=Painel!$B$8,B473&lt;=Painel!$G$8,OR(Painel!$L$8="Todos",C473=Painel!$L$8),OR(Painel!$Q$8="Todos",D473=Painel!$Q$8),OR(Painel!$V$8="Todas",E473=Painel!$V$8)),1,0))</f>
        <v>0</v>
      </c>
      <c r="L473" s="61" t="str">
        <f aca="false">IF(LEN(A473&amp;"")=0,"",J473-I473)</f>
        <v/>
      </c>
      <c r="M473" s="1" t="n">
        <f aca="false">IF(LEN(A473&amp;"")=0,0,IF(COUNTIFS(Base!$A$7:$A$1006,A473)&gt;1,1,0))</f>
        <v>0</v>
      </c>
      <c r="N473" s="1" t="n">
        <f aca="false">IF(LEN(A473&amp;"")=0,0,IF(ABS(L473)&gt;0.005,1,0))</f>
        <v>0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customFormat="false" ht="23" hidden="false" customHeight="true" outlineLevel="0" collapsed="false">
      <c r="A474" s="1" t="str">
        <f aca="false">IF(LEN(Base!A474&amp;"")=0,"",Base!A474)</f>
        <v/>
      </c>
      <c r="B474" s="60" t="str">
        <f aca="false">IF(LEN(A474&amp;"")=0,"",Base!D474)</f>
        <v/>
      </c>
      <c r="C474" s="1" t="str">
        <f aca="false">IF(LEN(A474&amp;"")=0,"",Base!C474)</f>
        <v/>
      </c>
      <c r="D474" s="1" t="str">
        <f aca="false">IF(LEN(A474&amp;"")=0,"",Base!G474)</f>
        <v/>
      </c>
      <c r="E474" s="1" t="str">
        <f aca="false">IF(LEN(A474&amp;"")=0,"",Base!E474)</f>
        <v/>
      </c>
      <c r="F474" s="61" t="str">
        <f aca="false">IF(LEN(A474&amp;"")=0,"",IF(Base!I474="-",0,Base!I474))</f>
        <v/>
      </c>
      <c r="G474" s="61" t="str">
        <f aca="false">IF(LEN(A474&amp;"")=0,"",SUM(Base!F474,F474,Base!K474))</f>
        <v/>
      </c>
      <c r="H474" s="61" t="str">
        <f aca="false">IF(LEN(A474&amp;"")=0,"",Base!L474)</f>
        <v/>
      </c>
      <c r="I474" s="61" t="str">
        <f aca="false">IF(LEN(A474&amp;"")=0,"",G474-H474)</f>
        <v/>
      </c>
      <c r="J474" s="61" t="str">
        <f aca="false">IF(LEN(A474&amp;"")=0,"",Base!M474)</f>
        <v/>
      </c>
      <c r="K474" s="1" t="n">
        <f aca="false">IF(OR(LEN(A474&amp;"")=0,$P$3=0),0,IF(AND(B474&gt;=Painel!$B$8,B474&lt;=Painel!$G$8,OR(Painel!$L$8="Todos",C474=Painel!$L$8),OR(Painel!$Q$8="Todos",D474=Painel!$Q$8),OR(Painel!$V$8="Todas",E474=Painel!$V$8)),1,0))</f>
        <v>0</v>
      </c>
      <c r="L474" s="61" t="str">
        <f aca="false">IF(LEN(A474&amp;"")=0,"",J474-I474)</f>
        <v/>
      </c>
      <c r="M474" s="1" t="n">
        <f aca="false">IF(LEN(A474&amp;"")=0,0,IF(COUNTIFS(Base!$A$7:$A$1006,A474)&gt;1,1,0))</f>
        <v>0</v>
      </c>
      <c r="N474" s="1" t="n">
        <f aca="false">IF(LEN(A474&amp;"")=0,0,IF(ABS(L474)&gt;0.005,1,0))</f>
        <v>0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customFormat="false" ht="23" hidden="false" customHeight="true" outlineLevel="0" collapsed="false">
      <c r="A475" s="1" t="str">
        <f aca="false">IF(LEN(Base!A475&amp;"")=0,"",Base!A475)</f>
        <v/>
      </c>
      <c r="B475" s="60" t="str">
        <f aca="false">IF(LEN(A475&amp;"")=0,"",Base!D475)</f>
        <v/>
      </c>
      <c r="C475" s="1" t="str">
        <f aca="false">IF(LEN(A475&amp;"")=0,"",Base!C475)</f>
        <v/>
      </c>
      <c r="D475" s="1" t="str">
        <f aca="false">IF(LEN(A475&amp;"")=0,"",Base!G475)</f>
        <v/>
      </c>
      <c r="E475" s="1" t="str">
        <f aca="false">IF(LEN(A475&amp;"")=0,"",Base!E475)</f>
        <v/>
      </c>
      <c r="F475" s="61" t="str">
        <f aca="false">IF(LEN(A475&amp;"")=0,"",IF(Base!I475="-",0,Base!I475))</f>
        <v/>
      </c>
      <c r="G475" s="61" t="str">
        <f aca="false">IF(LEN(A475&amp;"")=0,"",SUM(Base!F475,F475,Base!K475))</f>
        <v/>
      </c>
      <c r="H475" s="61" t="str">
        <f aca="false">IF(LEN(A475&amp;"")=0,"",Base!L475)</f>
        <v/>
      </c>
      <c r="I475" s="61" t="str">
        <f aca="false">IF(LEN(A475&amp;"")=0,"",G475-H475)</f>
        <v/>
      </c>
      <c r="J475" s="61" t="str">
        <f aca="false">IF(LEN(A475&amp;"")=0,"",Base!M475)</f>
        <v/>
      </c>
      <c r="K475" s="1" t="n">
        <f aca="false">IF(OR(LEN(A475&amp;"")=0,$P$3=0),0,IF(AND(B475&gt;=Painel!$B$8,B475&lt;=Painel!$G$8,OR(Painel!$L$8="Todos",C475=Painel!$L$8),OR(Painel!$Q$8="Todos",D475=Painel!$Q$8),OR(Painel!$V$8="Todas",E475=Painel!$V$8)),1,0))</f>
        <v>0</v>
      </c>
      <c r="L475" s="61" t="str">
        <f aca="false">IF(LEN(A475&amp;"")=0,"",J475-I475)</f>
        <v/>
      </c>
      <c r="M475" s="1" t="n">
        <f aca="false">IF(LEN(A475&amp;"")=0,0,IF(COUNTIFS(Base!$A$7:$A$1006,A475)&gt;1,1,0))</f>
        <v>0</v>
      </c>
      <c r="N475" s="1" t="n">
        <f aca="false">IF(LEN(A475&amp;"")=0,0,IF(ABS(L475)&gt;0.005,1,0))</f>
        <v>0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customFormat="false" ht="23" hidden="false" customHeight="true" outlineLevel="0" collapsed="false">
      <c r="A476" s="1" t="str">
        <f aca="false">IF(LEN(Base!A476&amp;"")=0,"",Base!A476)</f>
        <v/>
      </c>
      <c r="B476" s="60" t="str">
        <f aca="false">IF(LEN(A476&amp;"")=0,"",Base!D476)</f>
        <v/>
      </c>
      <c r="C476" s="1" t="str">
        <f aca="false">IF(LEN(A476&amp;"")=0,"",Base!C476)</f>
        <v/>
      </c>
      <c r="D476" s="1" t="str">
        <f aca="false">IF(LEN(A476&amp;"")=0,"",Base!G476)</f>
        <v/>
      </c>
      <c r="E476" s="1" t="str">
        <f aca="false">IF(LEN(A476&amp;"")=0,"",Base!E476)</f>
        <v/>
      </c>
      <c r="F476" s="61" t="str">
        <f aca="false">IF(LEN(A476&amp;"")=0,"",IF(Base!I476="-",0,Base!I476))</f>
        <v/>
      </c>
      <c r="G476" s="61" t="str">
        <f aca="false">IF(LEN(A476&amp;"")=0,"",SUM(Base!F476,F476,Base!K476))</f>
        <v/>
      </c>
      <c r="H476" s="61" t="str">
        <f aca="false">IF(LEN(A476&amp;"")=0,"",Base!L476)</f>
        <v/>
      </c>
      <c r="I476" s="61" t="str">
        <f aca="false">IF(LEN(A476&amp;"")=0,"",G476-H476)</f>
        <v/>
      </c>
      <c r="J476" s="61" t="str">
        <f aca="false">IF(LEN(A476&amp;"")=0,"",Base!M476)</f>
        <v/>
      </c>
      <c r="K476" s="1" t="n">
        <f aca="false">IF(OR(LEN(A476&amp;"")=0,$P$3=0),0,IF(AND(B476&gt;=Painel!$B$8,B476&lt;=Painel!$G$8,OR(Painel!$L$8="Todos",C476=Painel!$L$8),OR(Painel!$Q$8="Todos",D476=Painel!$Q$8),OR(Painel!$V$8="Todas",E476=Painel!$V$8)),1,0))</f>
        <v>0</v>
      </c>
      <c r="L476" s="61" t="str">
        <f aca="false">IF(LEN(A476&amp;"")=0,"",J476-I476)</f>
        <v/>
      </c>
      <c r="M476" s="1" t="n">
        <f aca="false">IF(LEN(A476&amp;"")=0,0,IF(COUNTIFS(Base!$A$7:$A$1006,A476)&gt;1,1,0))</f>
        <v>0</v>
      </c>
      <c r="N476" s="1" t="n">
        <f aca="false">IF(LEN(A476&amp;"")=0,0,IF(ABS(L476)&gt;0.005,1,0))</f>
        <v>0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customFormat="false" ht="23" hidden="false" customHeight="true" outlineLevel="0" collapsed="false">
      <c r="A477" s="1" t="str">
        <f aca="false">IF(LEN(Base!A477&amp;"")=0,"",Base!A477)</f>
        <v/>
      </c>
      <c r="B477" s="60" t="str">
        <f aca="false">IF(LEN(A477&amp;"")=0,"",Base!D477)</f>
        <v/>
      </c>
      <c r="C477" s="1" t="str">
        <f aca="false">IF(LEN(A477&amp;"")=0,"",Base!C477)</f>
        <v/>
      </c>
      <c r="D477" s="1" t="str">
        <f aca="false">IF(LEN(A477&amp;"")=0,"",Base!G477)</f>
        <v/>
      </c>
      <c r="E477" s="1" t="str">
        <f aca="false">IF(LEN(A477&amp;"")=0,"",Base!E477)</f>
        <v/>
      </c>
      <c r="F477" s="61" t="str">
        <f aca="false">IF(LEN(A477&amp;"")=0,"",IF(Base!I477="-",0,Base!I477))</f>
        <v/>
      </c>
      <c r="G477" s="61" t="str">
        <f aca="false">IF(LEN(A477&amp;"")=0,"",SUM(Base!F477,F477,Base!K477))</f>
        <v/>
      </c>
      <c r="H477" s="61" t="str">
        <f aca="false">IF(LEN(A477&amp;"")=0,"",Base!L477)</f>
        <v/>
      </c>
      <c r="I477" s="61" t="str">
        <f aca="false">IF(LEN(A477&amp;"")=0,"",G477-H477)</f>
        <v/>
      </c>
      <c r="J477" s="61" t="str">
        <f aca="false">IF(LEN(A477&amp;"")=0,"",Base!M477)</f>
        <v/>
      </c>
      <c r="K477" s="1" t="n">
        <f aca="false">IF(OR(LEN(A477&amp;"")=0,$P$3=0),0,IF(AND(B477&gt;=Painel!$B$8,B477&lt;=Painel!$G$8,OR(Painel!$L$8="Todos",C477=Painel!$L$8),OR(Painel!$Q$8="Todos",D477=Painel!$Q$8),OR(Painel!$V$8="Todas",E477=Painel!$V$8)),1,0))</f>
        <v>0</v>
      </c>
      <c r="L477" s="61" t="str">
        <f aca="false">IF(LEN(A477&amp;"")=0,"",J477-I477)</f>
        <v/>
      </c>
      <c r="M477" s="1" t="n">
        <f aca="false">IF(LEN(A477&amp;"")=0,0,IF(COUNTIFS(Base!$A$7:$A$1006,A477)&gt;1,1,0))</f>
        <v>0</v>
      </c>
      <c r="N477" s="1" t="n">
        <f aca="false">IF(LEN(A477&amp;"")=0,0,IF(ABS(L477)&gt;0.005,1,0))</f>
        <v>0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customFormat="false" ht="23" hidden="false" customHeight="true" outlineLevel="0" collapsed="false">
      <c r="A478" s="1" t="str">
        <f aca="false">IF(LEN(Base!A478&amp;"")=0,"",Base!A478)</f>
        <v/>
      </c>
      <c r="B478" s="60" t="str">
        <f aca="false">IF(LEN(A478&amp;"")=0,"",Base!D478)</f>
        <v/>
      </c>
      <c r="C478" s="1" t="str">
        <f aca="false">IF(LEN(A478&amp;"")=0,"",Base!C478)</f>
        <v/>
      </c>
      <c r="D478" s="1" t="str">
        <f aca="false">IF(LEN(A478&amp;"")=0,"",Base!G478)</f>
        <v/>
      </c>
      <c r="E478" s="1" t="str">
        <f aca="false">IF(LEN(A478&amp;"")=0,"",Base!E478)</f>
        <v/>
      </c>
      <c r="F478" s="61" t="str">
        <f aca="false">IF(LEN(A478&amp;"")=0,"",IF(Base!I478="-",0,Base!I478))</f>
        <v/>
      </c>
      <c r="G478" s="61" t="str">
        <f aca="false">IF(LEN(A478&amp;"")=0,"",SUM(Base!F478,F478,Base!K478))</f>
        <v/>
      </c>
      <c r="H478" s="61" t="str">
        <f aca="false">IF(LEN(A478&amp;"")=0,"",Base!L478)</f>
        <v/>
      </c>
      <c r="I478" s="61" t="str">
        <f aca="false">IF(LEN(A478&amp;"")=0,"",G478-H478)</f>
        <v/>
      </c>
      <c r="J478" s="61" t="str">
        <f aca="false">IF(LEN(A478&amp;"")=0,"",Base!M478)</f>
        <v/>
      </c>
      <c r="K478" s="1" t="n">
        <f aca="false">IF(OR(LEN(A478&amp;"")=0,$P$3=0),0,IF(AND(B478&gt;=Painel!$B$8,B478&lt;=Painel!$G$8,OR(Painel!$L$8="Todos",C478=Painel!$L$8),OR(Painel!$Q$8="Todos",D478=Painel!$Q$8),OR(Painel!$V$8="Todas",E478=Painel!$V$8)),1,0))</f>
        <v>0</v>
      </c>
      <c r="L478" s="61" t="str">
        <f aca="false">IF(LEN(A478&amp;"")=0,"",J478-I478)</f>
        <v/>
      </c>
      <c r="M478" s="1" t="n">
        <f aca="false">IF(LEN(A478&amp;"")=0,0,IF(COUNTIFS(Base!$A$7:$A$1006,A478)&gt;1,1,0))</f>
        <v>0</v>
      </c>
      <c r="N478" s="1" t="n">
        <f aca="false">IF(LEN(A478&amp;"")=0,0,IF(ABS(L478)&gt;0.005,1,0))</f>
        <v>0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customFormat="false" ht="23" hidden="false" customHeight="true" outlineLevel="0" collapsed="false">
      <c r="A479" s="1" t="str">
        <f aca="false">IF(LEN(Base!A479&amp;"")=0,"",Base!A479)</f>
        <v/>
      </c>
      <c r="B479" s="60" t="str">
        <f aca="false">IF(LEN(A479&amp;"")=0,"",Base!D479)</f>
        <v/>
      </c>
      <c r="C479" s="1" t="str">
        <f aca="false">IF(LEN(A479&amp;"")=0,"",Base!C479)</f>
        <v/>
      </c>
      <c r="D479" s="1" t="str">
        <f aca="false">IF(LEN(A479&amp;"")=0,"",Base!G479)</f>
        <v/>
      </c>
      <c r="E479" s="1" t="str">
        <f aca="false">IF(LEN(A479&amp;"")=0,"",Base!E479)</f>
        <v/>
      </c>
      <c r="F479" s="61" t="str">
        <f aca="false">IF(LEN(A479&amp;"")=0,"",IF(Base!I479="-",0,Base!I479))</f>
        <v/>
      </c>
      <c r="G479" s="61" t="str">
        <f aca="false">IF(LEN(A479&amp;"")=0,"",SUM(Base!F479,F479,Base!K479))</f>
        <v/>
      </c>
      <c r="H479" s="61" t="str">
        <f aca="false">IF(LEN(A479&amp;"")=0,"",Base!L479)</f>
        <v/>
      </c>
      <c r="I479" s="61" t="str">
        <f aca="false">IF(LEN(A479&amp;"")=0,"",G479-H479)</f>
        <v/>
      </c>
      <c r="J479" s="61" t="str">
        <f aca="false">IF(LEN(A479&amp;"")=0,"",Base!M479)</f>
        <v/>
      </c>
      <c r="K479" s="1" t="n">
        <f aca="false">IF(OR(LEN(A479&amp;"")=0,$P$3=0),0,IF(AND(B479&gt;=Painel!$B$8,B479&lt;=Painel!$G$8,OR(Painel!$L$8="Todos",C479=Painel!$L$8),OR(Painel!$Q$8="Todos",D479=Painel!$Q$8),OR(Painel!$V$8="Todas",E479=Painel!$V$8)),1,0))</f>
        <v>0</v>
      </c>
      <c r="L479" s="61" t="str">
        <f aca="false">IF(LEN(A479&amp;"")=0,"",J479-I479)</f>
        <v/>
      </c>
      <c r="M479" s="1" t="n">
        <f aca="false">IF(LEN(A479&amp;"")=0,0,IF(COUNTIFS(Base!$A$7:$A$1006,A479)&gt;1,1,0))</f>
        <v>0</v>
      </c>
      <c r="N479" s="1" t="n">
        <f aca="false">IF(LEN(A479&amp;"")=0,0,IF(ABS(L479)&gt;0.005,1,0))</f>
        <v>0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customFormat="false" ht="23" hidden="false" customHeight="true" outlineLevel="0" collapsed="false">
      <c r="A480" s="1" t="str">
        <f aca="false">IF(LEN(Base!A480&amp;"")=0,"",Base!A480)</f>
        <v/>
      </c>
      <c r="B480" s="60" t="str">
        <f aca="false">IF(LEN(A480&amp;"")=0,"",Base!D480)</f>
        <v/>
      </c>
      <c r="C480" s="1" t="str">
        <f aca="false">IF(LEN(A480&amp;"")=0,"",Base!C480)</f>
        <v/>
      </c>
      <c r="D480" s="1" t="str">
        <f aca="false">IF(LEN(A480&amp;"")=0,"",Base!G480)</f>
        <v/>
      </c>
      <c r="E480" s="1" t="str">
        <f aca="false">IF(LEN(A480&amp;"")=0,"",Base!E480)</f>
        <v/>
      </c>
      <c r="F480" s="61" t="str">
        <f aca="false">IF(LEN(A480&amp;"")=0,"",IF(Base!I480="-",0,Base!I480))</f>
        <v/>
      </c>
      <c r="G480" s="61" t="str">
        <f aca="false">IF(LEN(A480&amp;"")=0,"",SUM(Base!F480,F480,Base!K480))</f>
        <v/>
      </c>
      <c r="H480" s="61" t="str">
        <f aca="false">IF(LEN(A480&amp;"")=0,"",Base!L480)</f>
        <v/>
      </c>
      <c r="I480" s="61" t="str">
        <f aca="false">IF(LEN(A480&amp;"")=0,"",G480-H480)</f>
        <v/>
      </c>
      <c r="J480" s="61" t="str">
        <f aca="false">IF(LEN(A480&amp;"")=0,"",Base!M480)</f>
        <v/>
      </c>
      <c r="K480" s="1" t="n">
        <f aca="false">IF(OR(LEN(A480&amp;"")=0,$P$3=0),0,IF(AND(B480&gt;=Painel!$B$8,B480&lt;=Painel!$G$8,OR(Painel!$L$8="Todos",C480=Painel!$L$8),OR(Painel!$Q$8="Todos",D480=Painel!$Q$8),OR(Painel!$V$8="Todas",E480=Painel!$V$8)),1,0))</f>
        <v>0</v>
      </c>
      <c r="L480" s="61" t="str">
        <f aca="false">IF(LEN(A480&amp;"")=0,"",J480-I480)</f>
        <v/>
      </c>
      <c r="M480" s="1" t="n">
        <f aca="false">IF(LEN(A480&amp;"")=0,0,IF(COUNTIFS(Base!$A$7:$A$1006,A480)&gt;1,1,0))</f>
        <v>0</v>
      </c>
      <c r="N480" s="1" t="n">
        <f aca="false">IF(LEN(A480&amp;"")=0,0,IF(ABS(L480)&gt;0.005,1,0))</f>
        <v>0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customFormat="false" ht="23" hidden="false" customHeight="true" outlineLevel="0" collapsed="false">
      <c r="A481" s="1" t="str">
        <f aca="false">IF(LEN(Base!A481&amp;"")=0,"",Base!A481)</f>
        <v/>
      </c>
      <c r="B481" s="60" t="str">
        <f aca="false">IF(LEN(A481&amp;"")=0,"",Base!D481)</f>
        <v/>
      </c>
      <c r="C481" s="1" t="str">
        <f aca="false">IF(LEN(A481&amp;"")=0,"",Base!C481)</f>
        <v/>
      </c>
      <c r="D481" s="1" t="str">
        <f aca="false">IF(LEN(A481&amp;"")=0,"",Base!G481)</f>
        <v/>
      </c>
      <c r="E481" s="1" t="str">
        <f aca="false">IF(LEN(A481&amp;"")=0,"",Base!E481)</f>
        <v/>
      </c>
      <c r="F481" s="61" t="str">
        <f aca="false">IF(LEN(A481&amp;"")=0,"",IF(Base!I481="-",0,Base!I481))</f>
        <v/>
      </c>
      <c r="G481" s="61" t="str">
        <f aca="false">IF(LEN(A481&amp;"")=0,"",SUM(Base!F481,F481,Base!K481))</f>
        <v/>
      </c>
      <c r="H481" s="61" t="str">
        <f aca="false">IF(LEN(A481&amp;"")=0,"",Base!L481)</f>
        <v/>
      </c>
      <c r="I481" s="61" t="str">
        <f aca="false">IF(LEN(A481&amp;"")=0,"",G481-H481)</f>
        <v/>
      </c>
      <c r="J481" s="61" t="str">
        <f aca="false">IF(LEN(A481&amp;"")=0,"",Base!M481)</f>
        <v/>
      </c>
      <c r="K481" s="1" t="n">
        <f aca="false">IF(OR(LEN(A481&amp;"")=0,$P$3=0),0,IF(AND(B481&gt;=Painel!$B$8,B481&lt;=Painel!$G$8,OR(Painel!$L$8="Todos",C481=Painel!$L$8),OR(Painel!$Q$8="Todos",D481=Painel!$Q$8),OR(Painel!$V$8="Todas",E481=Painel!$V$8)),1,0))</f>
        <v>0</v>
      </c>
      <c r="L481" s="61" t="str">
        <f aca="false">IF(LEN(A481&amp;"")=0,"",J481-I481)</f>
        <v/>
      </c>
      <c r="M481" s="1" t="n">
        <f aca="false">IF(LEN(A481&amp;"")=0,0,IF(COUNTIFS(Base!$A$7:$A$1006,A481)&gt;1,1,0))</f>
        <v>0</v>
      </c>
      <c r="N481" s="1" t="n">
        <f aca="false">IF(LEN(A481&amp;"")=0,0,IF(ABS(L481)&gt;0.005,1,0))</f>
        <v>0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customFormat="false" ht="23" hidden="false" customHeight="true" outlineLevel="0" collapsed="false">
      <c r="A482" s="1" t="str">
        <f aca="false">IF(LEN(Base!A482&amp;"")=0,"",Base!A482)</f>
        <v/>
      </c>
      <c r="B482" s="60" t="str">
        <f aca="false">IF(LEN(A482&amp;"")=0,"",Base!D482)</f>
        <v/>
      </c>
      <c r="C482" s="1" t="str">
        <f aca="false">IF(LEN(A482&amp;"")=0,"",Base!C482)</f>
        <v/>
      </c>
      <c r="D482" s="1" t="str">
        <f aca="false">IF(LEN(A482&amp;"")=0,"",Base!G482)</f>
        <v/>
      </c>
      <c r="E482" s="1" t="str">
        <f aca="false">IF(LEN(A482&amp;"")=0,"",Base!E482)</f>
        <v/>
      </c>
      <c r="F482" s="61" t="str">
        <f aca="false">IF(LEN(A482&amp;"")=0,"",IF(Base!I482="-",0,Base!I482))</f>
        <v/>
      </c>
      <c r="G482" s="61" t="str">
        <f aca="false">IF(LEN(A482&amp;"")=0,"",SUM(Base!F482,F482,Base!K482))</f>
        <v/>
      </c>
      <c r="H482" s="61" t="str">
        <f aca="false">IF(LEN(A482&amp;"")=0,"",Base!L482)</f>
        <v/>
      </c>
      <c r="I482" s="61" t="str">
        <f aca="false">IF(LEN(A482&amp;"")=0,"",G482-H482)</f>
        <v/>
      </c>
      <c r="J482" s="61" t="str">
        <f aca="false">IF(LEN(A482&amp;"")=0,"",Base!M482)</f>
        <v/>
      </c>
      <c r="K482" s="1" t="n">
        <f aca="false">IF(OR(LEN(A482&amp;"")=0,$P$3=0),0,IF(AND(B482&gt;=Painel!$B$8,B482&lt;=Painel!$G$8,OR(Painel!$L$8="Todos",C482=Painel!$L$8),OR(Painel!$Q$8="Todos",D482=Painel!$Q$8),OR(Painel!$V$8="Todas",E482=Painel!$V$8)),1,0))</f>
        <v>0</v>
      </c>
      <c r="L482" s="61" t="str">
        <f aca="false">IF(LEN(A482&amp;"")=0,"",J482-I482)</f>
        <v/>
      </c>
      <c r="M482" s="1" t="n">
        <f aca="false">IF(LEN(A482&amp;"")=0,0,IF(COUNTIFS(Base!$A$7:$A$1006,A482)&gt;1,1,0))</f>
        <v>0</v>
      </c>
      <c r="N482" s="1" t="n">
        <f aca="false">IF(LEN(A482&amp;"")=0,0,IF(ABS(L482)&gt;0.005,1,0))</f>
        <v>0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customFormat="false" ht="23" hidden="false" customHeight="true" outlineLevel="0" collapsed="false">
      <c r="A483" s="1" t="str">
        <f aca="false">IF(LEN(Base!A483&amp;"")=0,"",Base!A483)</f>
        <v/>
      </c>
      <c r="B483" s="60" t="str">
        <f aca="false">IF(LEN(A483&amp;"")=0,"",Base!D483)</f>
        <v/>
      </c>
      <c r="C483" s="1" t="str">
        <f aca="false">IF(LEN(A483&amp;"")=0,"",Base!C483)</f>
        <v/>
      </c>
      <c r="D483" s="1" t="str">
        <f aca="false">IF(LEN(A483&amp;"")=0,"",Base!G483)</f>
        <v/>
      </c>
      <c r="E483" s="1" t="str">
        <f aca="false">IF(LEN(A483&amp;"")=0,"",Base!E483)</f>
        <v/>
      </c>
      <c r="F483" s="61" t="str">
        <f aca="false">IF(LEN(A483&amp;"")=0,"",IF(Base!I483="-",0,Base!I483))</f>
        <v/>
      </c>
      <c r="G483" s="61" t="str">
        <f aca="false">IF(LEN(A483&amp;"")=0,"",SUM(Base!F483,F483,Base!K483))</f>
        <v/>
      </c>
      <c r="H483" s="61" t="str">
        <f aca="false">IF(LEN(A483&amp;"")=0,"",Base!L483)</f>
        <v/>
      </c>
      <c r="I483" s="61" t="str">
        <f aca="false">IF(LEN(A483&amp;"")=0,"",G483-H483)</f>
        <v/>
      </c>
      <c r="J483" s="61" t="str">
        <f aca="false">IF(LEN(A483&amp;"")=0,"",Base!M483)</f>
        <v/>
      </c>
      <c r="K483" s="1" t="n">
        <f aca="false">IF(OR(LEN(A483&amp;"")=0,$P$3=0),0,IF(AND(B483&gt;=Painel!$B$8,B483&lt;=Painel!$G$8,OR(Painel!$L$8="Todos",C483=Painel!$L$8),OR(Painel!$Q$8="Todos",D483=Painel!$Q$8),OR(Painel!$V$8="Todas",E483=Painel!$V$8)),1,0))</f>
        <v>0</v>
      </c>
      <c r="L483" s="61" t="str">
        <f aca="false">IF(LEN(A483&amp;"")=0,"",J483-I483)</f>
        <v/>
      </c>
      <c r="M483" s="1" t="n">
        <f aca="false">IF(LEN(A483&amp;"")=0,0,IF(COUNTIFS(Base!$A$7:$A$1006,A483)&gt;1,1,0))</f>
        <v>0</v>
      </c>
      <c r="N483" s="1" t="n">
        <f aca="false">IF(LEN(A483&amp;"")=0,0,IF(ABS(L483)&gt;0.005,1,0))</f>
        <v>0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customFormat="false" ht="23" hidden="false" customHeight="true" outlineLevel="0" collapsed="false">
      <c r="A484" s="1" t="str">
        <f aca="false">IF(LEN(Base!A484&amp;"")=0,"",Base!A484)</f>
        <v/>
      </c>
      <c r="B484" s="60" t="str">
        <f aca="false">IF(LEN(A484&amp;"")=0,"",Base!D484)</f>
        <v/>
      </c>
      <c r="C484" s="1" t="str">
        <f aca="false">IF(LEN(A484&amp;"")=0,"",Base!C484)</f>
        <v/>
      </c>
      <c r="D484" s="1" t="str">
        <f aca="false">IF(LEN(A484&amp;"")=0,"",Base!G484)</f>
        <v/>
      </c>
      <c r="E484" s="1" t="str">
        <f aca="false">IF(LEN(A484&amp;"")=0,"",Base!E484)</f>
        <v/>
      </c>
      <c r="F484" s="61" t="str">
        <f aca="false">IF(LEN(A484&amp;"")=0,"",IF(Base!I484="-",0,Base!I484))</f>
        <v/>
      </c>
      <c r="G484" s="61" t="str">
        <f aca="false">IF(LEN(A484&amp;"")=0,"",SUM(Base!F484,F484,Base!K484))</f>
        <v/>
      </c>
      <c r="H484" s="61" t="str">
        <f aca="false">IF(LEN(A484&amp;"")=0,"",Base!L484)</f>
        <v/>
      </c>
      <c r="I484" s="61" t="str">
        <f aca="false">IF(LEN(A484&amp;"")=0,"",G484-H484)</f>
        <v/>
      </c>
      <c r="J484" s="61" t="str">
        <f aca="false">IF(LEN(A484&amp;"")=0,"",Base!M484)</f>
        <v/>
      </c>
      <c r="K484" s="1" t="n">
        <f aca="false">IF(OR(LEN(A484&amp;"")=0,$P$3=0),0,IF(AND(B484&gt;=Painel!$B$8,B484&lt;=Painel!$G$8,OR(Painel!$L$8="Todos",C484=Painel!$L$8),OR(Painel!$Q$8="Todos",D484=Painel!$Q$8),OR(Painel!$V$8="Todas",E484=Painel!$V$8)),1,0))</f>
        <v>0</v>
      </c>
      <c r="L484" s="61" t="str">
        <f aca="false">IF(LEN(A484&amp;"")=0,"",J484-I484)</f>
        <v/>
      </c>
      <c r="M484" s="1" t="n">
        <f aca="false">IF(LEN(A484&amp;"")=0,0,IF(COUNTIFS(Base!$A$7:$A$1006,A484)&gt;1,1,0))</f>
        <v>0</v>
      </c>
      <c r="N484" s="1" t="n">
        <f aca="false">IF(LEN(A484&amp;"")=0,0,IF(ABS(L484)&gt;0.005,1,0))</f>
        <v>0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customFormat="false" ht="23" hidden="false" customHeight="true" outlineLevel="0" collapsed="false">
      <c r="A485" s="1" t="str">
        <f aca="false">IF(LEN(Base!A485&amp;"")=0,"",Base!A485)</f>
        <v/>
      </c>
      <c r="B485" s="60" t="str">
        <f aca="false">IF(LEN(A485&amp;"")=0,"",Base!D485)</f>
        <v/>
      </c>
      <c r="C485" s="1" t="str">
        <f aca="false">IF(LEN(A485&amp;"")=0,"",Base!C485)</f>
        <v/>
      </c>
      <c r="D485" s="1" t="str">
        <f aca="false">IF(LEN(A485&amp;"")=0,"",Base!G485)</f>
        <v/>
      </c>
      <c r="E485" s="1" t="str">
        <f aca="false">IF(LEN(A485&amp;"")=0,"",Base!E485)</f>
        <v/>
      </c>
      <c r="F485" s="61" t="str">
        <f aca="false">IF(LEN(A485&amp;"")=0,"",IF(Base!I485="-",0,Base!I485))</f>
        <v/>
      </c>
      <c r="G485" s="61" t="str">
        <f aca="false">IF(LEN(A485&amp;"")=0,"",SUM(Base!F485,F485,Base!K485))</f>
        <v/>
      </c>
      <c r="H485" s="61" t="str">
        <f aca="false">IF(LEN(A485&amp;"")=0,"",Base!L485)</f>
        <v/>
      </c>
      <c r="I485" s="61" t="str">
        <f aca="false">IF(LEN(A485&amp;"")=0,"",G485-H485)</f>
        <v/>
      </c>
      <c r="J485" s="61" t="str">
        <f aca="false">IF(LEN(A485&amp;"")=0,"",Base!M485)</f>
        <v/>
      </c>
      <c r="K485" s="1" t="n">
        <f aca="false">IF(OR(LEN(A485&amp;"")=0,$P$3=0),0,IF(AND(B485&gt;=Painel!$B$8,B485&lt;=Painel!$G$8,OR(Painel!$L$8="Todos",C485=Painel!$L$8),OR(Painel!$Q$8="Todos",D485=Painel!$Q$8),OR(Painel!$V$8="Todas",E485=Painel!$V$8)),1,0))</f>
        <v>0</v>
      </c>
      <c r="L485" s="61" t="str">
        <f aca="false">IF(LEN(A485&amp;"")=0,"",J485-I485)</f>
        <v/>
      </c>
      <c r="M485" s="1" t="n">
        <f aca="false">IF(LEN(A485&amp;"")=0,0,IF(COUNTIFS(Base!$A$7:$A$1006,A485)&gt;1,1,0))</f>
        <v>0</v>
      </c>
      <c r="N485" s="1" t="n">
        <f aca="false">IF(LEN(A485&amp;"")=0,0,IF(ABS(L485)&gt;0.005,1,0))</f>
        <v>0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customFormat="false" ht="23" hidden="false" customHeight="true" outlineLevel="0" collapsed="false">
      <c r="A486" s="1" t="str">
        <f aca="false">IF(LEN(Base!A486&amp;"")=0,"",Base!A486)</f>
        <v/>
      </c>
      <c r="B486" s="60" t="str">
        <f aca="false">IF(LEN(A486&amp;"")=0,"",Base!D486)</f>
        <v/>
      </c>
      <c r="C486" s="1" t="str">
        <f aca="false">IF(LEN(A486&amp;"")=0,"",Base!C486)</f>
        <v/>
      </c>
      <c r="D486" s="1" t="str">
        <f aca="false">IF(LEN(A486&amp;"")=0,"",Base!G486)</f>
        <v/>
      </c>
      <c r="E486" s="1" t="str">
        <f aca="false">IF(LEN(A486&amp;"")=0,"",Base!E486)</f>
        <v/>
      </c>
      <c r="F486" s="61" t="str">
        <f aca="false">IF(LEN(A486&amp;"")=0,"",IF(Base!I486="-",0,Base!I486))</f>
        <v/>
      </c>
      <c r="G486" s="61" t="str">
        <f aca="false">IF(LEN(A486&amp;"")=0,"",SUM(Base!F486,F486,Base!K486))</f>
        <v/>
      </c>
      <c r="H486" s="61" t="str">
        <f aca="false">IF(LEN(A486&amp;"")=0,"",Base!L486)</f>
        <v/>
      </c>
      <c r="I486" s="61" t="str">
        <f aca="false">IF(LEN(A486&amp;"")=0,"",G486-H486)</f>
        <v/>
      </c>
      <c r="J486" s="61" t="str">
        <f aca="false">IF(LEN(A486&amp;"")=0,"",Base!M486)</f>
        <v/>
      </c>
      <c r="K486" s="1" t="n">
        <f aca="false">IF(OR(LEN(A486&amp;"")=0,$P$3=0),0,IF(AND(B486&gt;=Painel!$B$8,B486&lt;=Painel!$G$8,OR(Painel!$L$8="Todos",C486=Painel!$L$8),OR(Painel!$Q$8="Todos",D486=Painel!$Q$8),OR(Painel!$V$8="Todas",E486=Painel!$V$8)),1,0))</f>
        <v>0</v>
      </c>
      <c r="L486" s="61" t="str">
        <f aca="false">IF(LEN(A486&amp;"")=0,"",J486-I486)</f>
        <v/>
      </c>
      <c r="M486" s="1" t="n">
        <f aca="false">IF(LEN(A486&amp;"")=0,0,IF(COUNTIFS(Base!$A$7:$A$1006,A486)&gt;1,1,0))</f>
        <v>0</v>
      </c>
      <c r="N486" s="1" t="n">
        <f aca="false">IF(LEN(A486&amp;"")=0,0,IF(ABS(L486)&gt;0.005,1,0))</f>
        <v>0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customFormat="false" ht="23" hidden="false" customHeight="true" outlineLevel="0" collapsed="false">
      <c r="A487" s="1" t="str">
        <f aca="false">IF(LEN(Base!A487&amp;"")=0,"",Base!A487)</f>
        <v/>
      </c>
      <c r="B487" s="60" t="str">
        <f aca="false">IF(LEN(A487&amp;"")=0,"",Base!D487)</f>
        <v/>
      </c>
      <c r="C487" s="1" t="str">
        <f aca="false">IF(LEN(A487&amp;"")=0,"",Base!C487)</f>
        <v/>
      </c>
      <c r="D487" s="1" t="str">
        <f aca="false">IF(LEN(A487&amp;"")=0,"",Base!G487)</f>
        <v/>
      </c>
      <c r="E487" s="1" t="str">
        <f aca="false">IF(LEN(A487&amp;"")=0,"",Base!E487)</f>
        <v/>
      </c>
      <c r="F487" s="61" t="str">
        <f aca="false">IF(LEN(A487&amp;"")=0,"",IF(Base!I487="-",0,Base!I487))</f>
        <v/>
      </c>
      <c r="G487" s="61" t="str">
        <f aca="false">IF(LEN(A487&amp;"")=0,"",SUM(Base!F487,F487,Base!K487))</f>
        <v/>
      </c>
      <c r="H487" s="61" t="str">
        <f aca="false">IF(LEN(A487&amp;"")=0,"",Base!L487)</f>
        <v/>
      </c>
      <c r="I487" s="61" t="str">
        <f aca="false">IF(LEN(A487&amp;"")=0,"",G487-H487)</f>
        <v/>
      </c>
      <c r="J487" s="61" t="str">
        <f aca="false">IF(LEN(A487&amp;"")=0,"",Base!M487)</f>
        <v/>
      </c>
      <c r="K487" s="1" t="n">
        <f aca="false">IF(OR(LEN(A487&amp;"")=0,$P$3=0),0,IF(AND(B487&gt;=Painel!$B$8,B487&lt;=Painel!$G$8,OR(Painel!$L$8="Todos",C487=Painel!$L$8),OR(Painel!$Q$8="Todos",D487=Painel!$Q$8),OR(Painel!$V$8="Todas",E487=Painel!$V$8)),1,0))</f>
        <v>0</v>
      </c>
      <c r="L487" s="61" t="str">
        <f aca="false">IF(LEN(A487&amp;"")=0,"",J487-I487)</f>
        <v/>
      </c>
      <c r="M487" s="1" t="n">
        <f aca="false">IF(LEN(A487&amp;"")=0,0,IF(COUNTIFS(Base!$A$7:$A$1006,A487)&gt;1,1,0))</f>
        <v>0</v>
      </c>
      <c r="N487" s="1" t="n">
        <f aca="false">IF(LEN(A487&amp;"")=0,0,IF(ABS(L487)&gt;0.005,1,0))</f>
        <v>0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customFormat="false" ht="23" hidden="false" customHeight="true" outlineLevel="0" collapsed="false">
      <c r="A488" s="1" t="str">
        <f aca="false">IF(LEN(Base!A488&amp;"")=0,"",Base!A488)</f>
        <v/>
      </c>
      <c r="B488" s="60" t="str">
        <f aca="false">IF(LEN(A488&amp;"")=0,"",Base!D488)</f>
        <v/>
      </c>
      <c r="C488" s="1" t="str">
        <f aca="false">IF(LEN(A488&amp;"")=0,"",Base!C488)</f>
        <v/>
      </c>
      <c r="D488" s="1" t="str">
        <f aca="false">IF(LEN(A488&amp;"")=0,"",Base!G488)</f>
        <v/>
      </c>
      <c r="E488" s="1" t="str">
        <f aca="false">IF(LEN(A488&amp;"")=0,"",Base!E488)</f>
        <v/>
      </c>
      <c r="F488" s="61" t="str">
        <f aca="false">IF(LEN(A488&amp;"")=0,"",IF(Base!I488="-",0,Base!I488))</f>
        <v/>
      </c>
      <c r="G488" s="61" t="str">
        <f aca="false">IF(LEN(A488&amp;"")=0,"",SUM(Base!F488,F488,Base!K488))</f>
        <v/>
      </c>
      <c r="H488" s="61" t="str">
        <f aca="false">IF(LEN(A488&amp;"")=0,"",Base!L488)</f>
        <v/>
      </c>
      <c r="I488" s="61" t="str">
        <f aca="false">IF(LEN(A488&amp;"")=0,"",G488-H488)</f>
        <v/>
      </c>
      <c r="J488" s="61" t="str">
        <f aca="false">IF(LEN(A488&amp;"")=0,"",Base!M488)</f>
        <v/>
      </c>
      <c r="K488" s="1" t="n">
        <f aca="false">IF(OR(LEN(A488&amp;"")=0,$P$3=0),0,IF(AND(B488&gt;=Painel!$B$8,B488&lt;=Painel!$G$8,OR(Painel!$L$8="Todos",C488=Painel!$L$8),OR(Painel!$Q$8="Todos",D488=Painel!$Q$8),OR(Painel!$V$8="Todas",E488=Painel!$V$8)),1,0))</f>
        <v>0</v>
      </c>
      <c r="L488" s="61" t="str">
        <f aca="false">IF(LEN(A488&amp;"")=0,"",J488-I488)</f>
        <v/>
      </c>
      <c r="M488" s="1" t="n">
        <f aca="false">IF(LEN(A488&amp;"")=0,0,IF(COUNTIFS(Base!$A$7:$A$1006,A488)&gt;1,1,0))</f>
        <v>0</v>
      </c>
      <c r="N488" s="1" t="n">
        <f aca="false">IF(LEN(A488&amp;"")=0,0,IF(ABS(L488)&gt;0.005,1,0))</f>
        <v>0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customFormat="false" ht="23" hidden="false" customHeight="true" outlineLevel="0" collapsed="false">
      <c r="A489" s="1" t="str">
        <f aca="false">IF(LEN(Base!A489&amp;"")=0,"",Base!A489)</f>
        <v/>
      </c>
      <c r="B489" s="60" t="str">
        <f aca="false">IF(LEN(A489&amp;"")=0,"",Base!D489)</f>
        <v/>
      </c>
      <c r="C489" s="1" t="str">
        <f aca="false">IF(LEN(A489&amp;"")=0,"",Base!C489)</f>
        <v/>
      </c>
      <c r="D489" s="1" t="str">
        <f aca="false">IF(LEN(A489&amp;"")=0,"",Base!G489)</f>
        <v/>
      </c>
      <c r="E489" s="1" t="str">
        <f aca="false">IF(LEN(A489&amp;"")=0,"",Base!E489)</f>
        <v/>
      </c>
      <c r="F489" s="61" t="str">
        <f aca="false">IF(LEN(A489&amp;"")=0,"",IF(Base!I489="-",0,Base!I489))</f>
        <v/>
      </c>
      <c r="G489" s="61" t="str">
        <f aca="false">IF(LEN(A489&amp;"")=0,"",SUM(Base!F489,F489,Base!K489))</f>
        <v/>
      </c>
      <c r="H489" s="61" t="str">
        <f aca="false">IF(LEN(A489&amp;"")=0,"",Base!L489)</f>
        <v/>
      </c>
      <c r="I489" s="61" t="str">
        <f aca="false">IF(LEN(A489&amp;"")=0,"",G489-H489)</f>
        <v/>
      </c>
      <c r="J489" s="61" t="str">
        <f aca="false">IF(LEN(A489&amp;"")=0,"",Base!M489)</f>
        <v/>
      </c>
      <c r="K489" s="1" t="n">
        <f aca="false">IF(OR(LEN(A489&amp;"")=0,$P$3=0),0,IF(AND(B489&gt;=Painel!$B$8,B489&lt;=Painel!$G$8,OR(Painel!$L$8="Todos",C489=Painel!$L$8),OR(Painel!$Q$8="Todos",D489=Painel!$Q$8),OR(Painel!$V$8="Todas",E489=Painel!$V$8)),1,0))</f>
        <v>0</v>
      </c>
      <c r="L489" s="61" t="str">
        <f aca="false">IF(LEN(A489&amp;"")=0,"",J489-I489)</f>
        <v/>
      </c>
      <c r="M489" s="1" t="n">
        <f aca="false">IF(LEN(A489&amp;"")=0,0,IF(COUNTIFS(Base!$A$7:$A$1006,A489)&gt;1,1,0))</f>
        <v>0</v>
      </c>
      <c r="N489" s="1" t="n">
        <f aca="false">IF(LEN(A489&amp;"")=0,0,IF(ABS(L489)&gt;0.005,1,0))</f>
        <v>0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customFormat="false" ht="23" hidden="false" customHeight="true" outlineLevel="0" collapsed="false">
      <c r="A490" s="1" t="str">
        <f aca="false">IF(LEN(Base!A490&amp;"")=0,"",Base!A490)</f>
        <v/>
      </c>
      <c r="B490" s="60" t="str">
        <f aca="false">IF(LEN(A490&amp;"")=0,"",Base!D490)</f>
        <v/>
      </c>
      <c r="C490" s="1" t="str">
        <f aca="false">IF(LEN(A490&amp;"")=0,"",Base!C490)</f>
        <v/>
      </c>
      <c r="D490" s="1" t="str">
        <f aca="false">IF(LEN(A490&amp;"")=0,"",Base!G490)</f>
        <v/>
      </c>
      <c r="E490" s="1" t="str">
        <f aca="false">IF(LEN(A490&amp;"")=0,"",Base!E490)</f>
        <v/>
      </c>
      <c r="F490" s="61" t="str">
        <f aca="false">IF(LEN(A490&amp;"")=0,"",IF(Base!I490="-",0,Base!I490))</f>
        <v/>
      </c>
      <c r="G490" s="61" t="str">
        <f aca="false">IF(LEN(A490&amp;"")=0,"",SUM(Base!F490,F490,Base!K490))</f>
        <v/>
      </c>
      <c r="H490" s="61" t="str">
        <f aca="false">IF(LEN(A490&amp;"")=0,"",Base!L490)</f>
        <v/>
      </c>
      <c r="I490" s="61" t="str">
        <f aca="false">IF(LEN(A490&amp;"")=0,"",G490-H490)</f>
        <v/>
      </c>
      <c r="J490" s="61" t="str">
        <f aca="false">IF(LEN(A490&amp;"")=0,"",Base!M490)</f>
        <v/>
      </c>
      <c r="K490" s="1" t="n">
        <f aca="false">IF(OR(LEN(A490&amp;"")=0,$P$3=0),0,IF(AND(B490&gt;=Painel!$B$8,B490&lt;=Painel!$G$8,OR(Painel!$L$8="Todos",C490=Painel!$L$8),OR(Painel!$Q$8="Todos",D490=Painel!$Q$8),OR(Painel!$V$8="Todas",E490=Painel!$V$8)),1,0))</f>
        <v>0</v>
      </c>
      <c r="L490" s="61" t="str">
        <f aca="false">IF(LEN(A490&amp;"")=0,"",J490-I490)</f>
        <v/>
      </c>
      <c r="M490" s="1" t="n">
        <f aca="false">IF(LEN(A490&amp;"")=0,0,IF(COUNTIFS(Base!$A$7:$A$1006,A490)&gt;1,1,0))</f>
        <v>0</v>
      </c>
      <c r="N490" s="1" t="n">
        <f aca="false">IF(LEN(A490&amp;"")=0,0,IF(ABS(L490)&gt;0.005,1,0))</f>
        <v>0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customFormat="false" ht="23" hidden="false" customHeight="true" outlineLevel="0" collapsed="false">
      <c r="A491" s="1" t="str">
        <f aca="false">IF(LEN(Base!A491&amp;"")=0,"",Base!A491)</f>
        <v/>
      </c>
      <c r="B491" s="60" t="str">
        <f aca="false">IF(LEN(A491&amp;"")=0,"",Base!D491)</f>
        <v/>
      </c>
      <c r="C491" s="1" t="str">
        <f aca="false">IF(LEN(A491&amp;"")=0,"",Base!C491)</f>
        <v/>
      </c>
      <c r="D491" s="1" t="str">
        <f aca="false">IF(LEN(A491&amp;"")=0,"",Base!G491)</f>
        <v/>
      </c>
      <c r="E491" s="1" t="str">
        <f aca="false">IF(LEN(A491&amp;"")=0,"",Base!E491)</f>
        <v/>
      </c>
      <c r="F491" s="61" t="str">
        <f aca="false">IF(LEN(A491&amp;"")=0,"",IF(Base!I491="-",0,Base!I491))</f>
        <v/>
      </c>
      <c r="G491" s="61" t="str">
        <f aca="false">IF(LEN(A491&amp;"")=0,"",SUM(Base!F491,F491,Base!K491))</f>
        <v/>
      </c>
      <c r="H491" s="61" t="str">
        <f aca="false">IF(LEN(A491&amp;"")=0,"",Base!L491)</f>
        <v/>
      </c>
      <c r="I491" s="61" t="str">
        <f aca="false">IF(LEN(A491&amp;"")=0,"",G491-H491)</f>
        <v/>
      </c>
      <c r="J491" s="61" t="str">
        <f aca="false">IF(LEN(A491&amp;"")=0,"",Base!M491)</f>
        <v/>
      </c>
      <c r="K491" s="1" t="n">
        <f aca="false">IF(OR(LEN(A491&amp;"")=0,$P$3=0),0,IF(AND(B491&gt;=Painel!$B$8,B491&lt;=Painel!$G$8,OR(Painel!$L$8="Todos",C491=Painel!$L$8),OR(Painel!$Q$8="Todos",D491=Painel!$Q$8),OR(Painel!$V$8="Todas",E491=Painel!$V$8)),1,0))</f>
        <v>0</v>
      </c>
      <c r="L491" s="61" t="str">
        <f aca="false">IF(LEN(A491&amp;"")=0,"",J491-I491)</f>
        <v/>
      </c>
      <c r="M491" s="1" t="n">
        <f aca="false">IF(LEN(A491&amp;"")=0,0,IF(COUNTIFS(Base!$A$7:$A$1006,A491)&gt;1,1,0))</f>
        <v>0</v>
      </c>
      <c r="N491" s="1" t="n">
        <f aca="false">IF(LEN(A491&amp;"")=0,0,IF(ABS(L491)&gt;0.005,1,0))</f>
        <v>0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customFormat="false" ht="23" hidden="false" customHeight="true" outlineLevel="0" collapsed="false">
      <c r="A492" s="1" t="str">
        <f aca="false">IF(LEN(Base!A492&amp;"")=0,"",Base!A492)</f>
        <v/>
      </c>
      <c r="B492" s="60" t="str">
        <f aca="false">IF(LEN(A492&amp;"")=0,"",Base!D492)</f>
        <v/>
      </c>
      <c r="C492" s="1" t="str">
        <f aca="false">IF(LEN(A492&amp;"")=0,"",Base!C492)</f>
        <v/>
      </c>
      <c r="D492" s="1" t="str">
        <f aca="false">IF(LEN(A492&amp;"")=0,"",Base!G492)</f>
        <v/>
      </c>
      <c r="E492" s="1" t="str">
        <f aca="false">IF(LEN(A492&amp;"")=0,"",Base!E492)</f>
        <v/>
      </c>
      <c r="F492" s="61" t="str">
        <f aca="false">IF(LEN(A492&amp;"")=0,"",IF(Base!I492="-",0,Base!I492))</f>
        <v/>
      </c>
      <c r="G492" s="61" t="str">
        <f aca="false">IF(LEN(A492&amp;"")=0,"",SUM(Base!F492,F492,Base!K492))</f>
        <v/>
      </c>
      <c r="H492" s="61" t="str">
        <f aca="false">IF(LEN(A492&amp;"")=0,"",Base!L492)</f>
        <v/>
      </c>
      <c r="I492" s="61" t="str">
        <f aca="false">IF(LEN(A492&amp;"")=0,"",G492-H492)</f>
        <v/>
      </c>
      <c r="J492" s="61" t="str">
        <f aca="false">IF(LEN(A492&amp;"")=0,"",Base!M492)</f>
        <v/>
      </c>
      <c r="K492" s="1" t="n">
        <f aca="false">IF(OR(LEN(A492&amp;"")=0,$P$3=0),0,IF(AND(B492&gt;=Painel!$B$8,B492&lt;=Painel!$G$8,OR(Painel!$L$8="Todos",C492=Painel!$L$8),OR(Painel!$Q$8="Todos",D492=Painel!$Q$8),OR(Painel!$V$8="Todas",E492=Painel!$V$8)),1,0))</f>
        <v>0</v>
      </c>
      <c r="L492" s="61" t="str">
        <f aca="false">IF(LEN(A492&amp;"")=0,"",J492-I492)</f>
        <v/>
      </c>
      <c r="M492" s="1" t="n">
        <f aca="false">IF(LEN(A492&amp;"")=0,0,IF(COUNTIFS(Base!$A$7:$A$1006,A492)&gt;1,1,0))</f>
        <v>0</v>
      </c>
      <c r="N492" s="1" t="n">
        <f aca="false">IF(LEN(A492&amp;"")=0,0,IF(ABS(L492)&gt;0.005,1,0))</f>
        <v>0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customFormat="false" ht="23" hidden="false" customHeight="true" outlineLevel="0" collapsed="false">
      <c r="A493" s="1" t="str">
        <f aca="false">IF(LEN(Base!A493&amp;"")=0,"",Base!A493)</f>
        <v/>
      </c>
      <c r="B493" s="60" t="str">
        <f aca="false">IF(LEN(A493&amp;"")=0,"",Base!D493)</f>
        <v/>
      </c>
      <c r="C493" s="1" t="str">
        <f aca="false">IF(LEN(A493&amp;"")=0,"",Base!C493)</f>
        <v/>
      </c>
      <c r="D493" s="1" t="str">
        <f aca="false">IF(LEN(A493&amp;"")=0,"",Base!G493)</f>
        <v/>
      </c>
      <c r="E493" s="1" t="str">
        <f aca="false">IF(LEN(A493&amp;"")=0,"",Base!E493)</f>
        <v/>
      </c>
      <c r="F493" s="61" t="str">
        <f aca="false">IF(LEN(A493&amp;"")=0,"",IF(Base!I493="-",0,Base!I493))</f>
        <v/>
      </c>
      <c r="G493" s="61" t="str">
        <f aca="false">IF(LEN(A493&amp;"")=0,"",SUM(Base!F493,F493,Base!K493))</f>
        <v/>
      </c>
      <c r="H493" s="61" t="str">
        <f aca="false">IF(LEN(A493&amp;"")=0,"",Base!L493)</f>
        <v/>
      </c>
      <c r="I493" s="61" t="str">
        <f aca="false">IF(LEN(A493&amp;"")=0,"",G493-H493)</f>
        <v/>
      </c>
      <c r="J493" s="61" t="str">
        <f aca="false">IF(LEN(A493&amp;"")=0,"",Base!M493)</f>
        <v/>
      </c>
      <c r="K493" s="1" t="n">
        <f aca="false">IF(OR(LEN(A493&amp;"")=0,$P$3=0),0,IF(AND(B493&gt;=Painel!$B$8,B493&lt;=Painel!$G$8,OR(Painel!$L$8="Todos",C493=Painel!$L$8),OR(Painel!$Q$8="Todos",D493=Painel!$Q$8),OR(Painel!$V$8="Todas",E493=Painel!$V$8)),1,0))</f>
        <v>0</v>
      </c>
      <c r="L493" s="61" t="str">
        <f aca="false">IF(LEN(A493&amp;"")=0,"",J493-I493)</f>
        <v/>
      </c>
      <c r="M493" s="1" t="n">
        <f aca="false">IF(LEN(A493&amp;"")=0,0,IF(COUNTIFS(Base!$A$7:$A$1006,A493)&gt;1,1,0))</f>
        <v>0</v>
      </c>
      <c r="N493" s="1" t="n">
        <f aca="false">IF(LEN(A493&amp;"")=0,0,IF(ABS(L493)&gt;0.005,1,0))</f>
        <v>0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customFormat="false" ht="23" hidden="false" customHeight="true" outlineLevel="0" collapsed="false">
      <c r="A494" s="1" t="str">
        <f aca="false">IF(LEN(Base!A494&amp;"")=0,"",Base!A494)</f>
        <v/>
      </c>
      <c r="B494" s="60" t="str">
        <f aca="false">IF(LEN(A494&amp;"")=0,"",Base!D494)</f>
        <v/>
      </c>
      <c r="C494" s="1" t="str">
        <f aca="false">IF(LEN(A494&amp;"")=0,"",Base!C494)</f>
        <v/>
      </c>
      <c r="D494" s="1" t="str">
        <f aca="false">IF(LEN(A494&amp;"")=0,"",Base!G494)</f>
        <v/>
      </c>
      <c r="E494" s="1" t="str">
        <f aca="false">IF(LEN(A494&amp;"")=0,"",Base!E494)</f>
        <v/>
      </c>
      <c r="F494" s="61" t="str">
        <f aca="false">IF(LEN(A494&amp;"")=0,"",IF(Base!I494="-",0,Base!I494))</f>
        <v/>
      </c>
      <c r="G494" s="61" t="str">
        <f aca="false">IF(LEN(A494&amp;"")=0,"",SUM(Base!F494,F494,Base!K494))</f>
        <v/>
      </c>
      <c r="H494" s="61" t="str">
        <f aca="false">IF(LEN(A494&amp;"")=0,"",Base!L494)</f>
        <v/>
      </c>
      <c r="I494" s="61" t="str">
        <f aca="false">IF(LEN(A494&amp;"")=0,"",G494-H494)</f>
        <v/>
      </c>
      <c r="J494" s="61" t="str">
        <f aca="false">IF(LEN(A494&amp;"")=0,"",Base!M494)</f>
        <v/>
      </c>
      <c r="K494" s="1" t="n">
        <f aca="false">IF(OR(LEN(A494&amp;"")=0,$P$3=0),0,IF(AND(B494&gt;=Painel!$B$8,B494&lt;=Painel!$G$8,OR(Painel!$L$8="Todos",C494=Painel!$L$8),OR(Painel!$Q$8="Todos",D494=Painel!$Q$8),OR(Painel!$V$8="Todas",E494=Painel!$V$8)),1,0))</f>
        <v>0</v>
      </c>
      <c r="L494" s="61" t="str">
        <f aca="false">IF(LEN(A494&amp;"")=0,"",J494-I494)</f>
        <v/>
      </c>
      <c r="M494" s="1" t="n">
        <f aca="false">IF(LEN(A494&amp;"")=0,0,IF(COUNTIFS(Base!$A$7:$A$1006,A494)&gt;1,1,0))</f>
        <v>0</v>
      </c>
      <c r="N494" s="1" t="n">
        <f aca="false">IF(LEN(A494&amp;"")=0,0,IF(ABS(L494)&gt;0.005,1,0))</f>
        <v>0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customFormat="false" ht="23" hidden="false" customHeight="true" outlineLevel="0" collapsed="false">
      <c r="A495" s="1" t="str">
        <f aca="false">IF(LEN(Base!A495&amp;"")=0,"",Base!A495)</f>
        <v/>
      </c>
      <c r="B495" s="60" t="str">
        <f aca="false">IF(LEN(A495&amp;"")=0,"",Base!D495)</f>
        <v/>
      </c>
      <c r="C495" s="1" t="str">
        <f aca="false">IF(LEN(A495&amp;"")=0,"",Base!C495)</f>
        <v/>
      </c>
      <c r="D495" s="1" t="str">
        <f aca="false">IF(LEN(A495&amp;"")=0,"",Base!G495)</f>
        <v/>
      </c>
      <c r="E495" s="1" t="str">
        <f aca="false">IF(LEN(A495&amp;"")=0,"",Base!E495)</f>
        <v/>
      </c>
      <c r="F495" s="61" t="str">
        <f aca="false">IF(LEN(A495&amp;"")=0,"",IF(Base!I495="-",0,Base!I495))</f>
        <v/>
      </c>
      <c r="G495" s="61" t="str">
        <f aca="false">IF(LEN(A495&amp;"")=0,"",SUM(Base!F495,F495,Base!K495))</f>
        <v/>
      </c>
      <c r="H495" s="61" t="str">
        <f aca="false">IF(LEN(A495&amp;"")=0,"",Base!L495)</f>
        <v/>
      </c>
      <c r="I495" s="61" t="str">
        <f aca="false">IF(LEN(A495&amp;"")=0,"",G495-H495)</f>
        <v/>
      </c>
      <c r="J495" s="61" t="str">
        <f aca="false">IF(LEN(A495&amp;"")=0,"",Base!M495)</f>
        <v/>
      </c>
      <c r="K495" s="1" t="n">
        <f aca="false">IF(OR(LEN(A495&amp;"")=0,$P$3=0),0,IF(AND(B495&gt;=Painel!$B$8,B495&lt;=Painel!$G$8,OR(Painel!$L$8="Todos",C495=Painel!$L$8),OR(Painel!$Q$8="Todos",D495=Painel!$Q$8),OR(Painel!$V$8="Todas",E495=Painel!$V$8)),1,0))</f>
        <v>0</v>
      </c>
      <c r="L495" s="61" t="str">
        <f aca="false">IF(LEN(A495&amp;"")=0,"",J495-I495)</f>
        <v/>
      </c>
      <c r="M495" s="1" t="n">
        <f aca="false">IF(LEN(A495&amp;"")=0,0,IF(COUNTIFS(Base!$A$7:$A$1006,A495)&gt;1,1,0))</f>
        <v>0</v>
      </c>
      <c r="N495" s="1" t="n">
        <f aca="false">IF(LEN(A495&amp;"")=0,0,IF(ABS(L495)&gt;0.005,1,0))</f>
        <v>0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customFormat="false" ht="23" hidden="false" customHeight="true" outlineLevel="0" collapsed="false">
      <c r="A496" s="1" t="str">
        <f aca="false">IF(LEN(Base!A496&amp;"")=0,"",Base!A496)</f>
        <v/>
      </c>
      <c r="B496" s="60" t="str">
        <f aca="false">IF(LEN(A496&amp;"")=0,"",Base!D496)</f>
        <v/>
      </c>
      <c r="C496" s="1" t="str">
        <f aca="false">IF(LEN(A496&amp;"")=0,"",Base!C496)</f>
        <v/>
      </c>
      <c r="D496" s="1" t="str">
        <f aca="false">IF(LEN(A496&amp;"")=0,"",Base!G496)</f>
        <v/>
      </c>
      <c r="E496" s="1" t="str">
        <f aca="false">IF(LEN(A496&amp;"")=0,"",Base!E496)</f>
        <v/>
      </c>
      <c r="F496" s="61" t="str">
        <f aca="false">IF(LEN(A496&amp;"")=0,"",IF(Base!I496="-",0,Base!I496))</f>
        <v/>
      </c>
      <c r="G496" s="61" t="str">
        <f aca="false">IF(LEN(A496&amp;"")=0,"",SUM(Base!F496,F496,Base!K496))</f>
        <v/>
      </c>
      <c r="H496" s="61" t="str">
        <f aca="false">IF(LEN(A496&amp;"")=0,"",Base!L496)</f>
        <v/>
      </c>
      <c r="I496" s="61" t="str">
        <f aca="false">IF(LEN(A496&amp;"")=0,"",G496-H496)</f>
        <v/>
      </c>
      <c r="J496" s="61" t="str">
        <f aca="false">IF(LEN(A496&amp;"")=0,"",Base!M496)</f>
        <v/>
      </c>
      <c r="K496" s="1" t="n">
        <f aca="false">IF(OR(LEN(A496&amp;"")=0,$P$3=0),0,IF(AND(B496&gt;=Painel!$B$8,B496&lt;=Painel!$G$8,OR(Painel!$L$8="Todos",C496=Painel!$L$8),OR(Painel!$Q$8="Todos",D496=Painel!$Q$8),OR(Painel!$V$8="Todas",E496=Painel!$V$8)),1,0))</f>
        <v>0</v>
      </c>
      <c r="L496" s="61" t="str">
        <f aca="false">IF(LEN(A496&amp;"")=0,"",J496-I496)</f>
        <v/>
      </c>
      <c r="M496" s="1" t="n">
        <f aca="false">IF(LEN(A496&amp;"")=0,0,IF(COUNTIFS(Base!$A$7:$A$1006,A496)&gt;1,1,0))</f>
        <v>0</v>
      </c>
      <c r="N496" s="1" t="n">
        <f aca="false">IF(LEN(A496&amp;"")=0,0,IF(ABS(L496)&gt;0.005,1,0))</f>
        <v>0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customFormat="false" ht="23" hidden="false" customHeight="true" outlineLevel="0" collapsed="false">
      <c r="A497" s="1" t="str">
        <f aca="false">IF(LEN(Base!A497&amp;"")=0,"",Base!A497)</f>
        <v/>
      </c>
      <c r="B497" s="60" t="str">
        <f aca="false">IF(LEN(A497&amp;"")=0,"",Base!D497)</f>
        <v/>
      </c>
      <c r="C497" s="1" t="str">
        <f aca="false">IF(LEN(A497&amp;"")=0,"",Base!C497)</f>
        <v/>
      </c>
      <c r="D497" s="1" t="str">
        <f aca="false">IF(LEN(A497&amp;"")=0,"",Base!G497)</f>
        <v/>
      </c>
      <c r="E497" s="1" t="str">
        <f aca="false">IF(LEN(A497&amp;"")=0,"",Base!E497)</f>
        <v/>
      </c>
      <c r="F497" s="61" t="str">
        <f aca="false">IF(LEN(A497&amp;"")=0,"",IF(Base!I497="-",0,Base!I497))</f>
        <v/>
      </c>
      <c r="G497" s="61" t="str">
        <f aca="false">IF(LEN(A497&amp;"")=0,"",SUM(Base!F497,F497,Base!K497))</f>
        <v/>
      </c>
      <c r="H497" s="61" t="str">
        <f aca="false">IF(LEN(A497&amp;"")=0,"",Base!L497)</f>
        <v/>
      </c>
      <c r="I497" s="61" t="str">
        <f aca="false">IF(LEN(A497&amp;"")=0,"",G497-H497)</f>
        <v/>
      </c>
      <c r="J497" s="61" t="str">
        <f aca="false">IF(LEN(A497&amp;"")=0,"",Base!M497)</f>
        <v/>
      </c>
      <c r="K497" s="1" t="n">
        <f aca="false">IF(OR(LEN(A497&amp;"")=0,$P$3=0),0,IF(AND(B497&gt;=Painel!$B$8,B497&lt;=Painel!$G$8,OR(Painel!$L$8="Todos",C497=Painel!$L$8),OR(Painel!$Q$8="Todos",D497=Painel!$Q$8),OR(Painel!$V$8="Todas",E497=Painel!$V$8)),1,0))</f>
        <v>0</v>
      </c>
      <c r="L497" s="61" t="str">
        <f aca="false">IF(LEN(A497&amp;"")=0,"",J497-I497)</f>
        <v/>
      </c>
      <c r="M497" s="1" t="n">
        <f aca="false">IF(LEN(A497&amp;"")=0,0,IF(COUNTIFS(Base!$A$7:$A$1006,A497)&gt;1,1,0))</f>
        <v>0</v>
      </c>
      <c r="N497" s="1" t="n">
        <f aca="false">IF(LEN(A497&amp;"")=0,0,IF(ABS(L497)&gt;0.005,1,0))</f>
        <v>0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customFormat="false" ht="23" hidden="false" customHeight="true" outlineLevel="0" collapsed="false">
      <c r="A498" s="1" t="str">
        <f aca="false">IF(LEN(Base!A498&amp;"")=0,"",Base!A498)</f>
        <v/>
      </c>
      <c r="B498" s="60" t="str">
        <f aca="false">IF(LEN(A498&amp;"")=0,"",Base!D498)</f>
        <v/>
      </c>
      <c r="C498" s="1" t="str">
        <f aca="false">IF(LEN(A498&amp;"")=0,"",Base!C498)</f>
        <v/>
      </c>
      <c r="D498" s="1" t="str">
        <f aca="false">IF(LEN(A498&amp;"")=0,"",Base!G498)</f>
        <v/>
      </c>
      <c r="E498" s="1" t="str">
        <f aca="false">IF(LEN(A498&amp;"")=0,"",Base!E498)</f>
        <v/>
      </c>
      <c r="F498" s="61" t="str">
        <f aca="false">IF(LEN(A498&amp;"")=0,"",IF(Base!I498="-",0,Base!I498))</f>
        <v/>
      </c>
      <c r="G498" s="61" t="str">
        <f aca="false">IF(LEN(A498&amp;"")=0,"",SUM(Base!F498,F498,Base!K498))</f>
        <v/>
      </c>
      <c r="H498" s="61" t="str">
        <f aca="false">IF(LEN(A498&amp;"")=0,"",Base!L498)</f>
        <v/>
      </c>
      <c r="I498" s="61" t="str">
        <f aca="false">IF(LEN(A498&amp;"")=0,"",G498-H498)</f>
        <v/>
      </c>
      <c r="J498" s="61" t="str">
        <f aca="false">IF(LEN(A498&amp;"")=0,"",Base!M498)</f>
        <v/>
      </c>
      <c r="K498" s="1" t="n">
        <f aca="false">IF(OR(LEN(A498&amp;"")=0,$P$3=0),0,IF(AND(B498&gt;=Painel!$B$8,B498&lt;=Painel!$G$8,OR(Painel!$L$8="Todos",C498=Painel!$L$8),OR(Painel!$Q$8="Todos",D498=Painel!$Q$8),OR(Painel!$V$8="Todas",E498=Painel!$V$8)),1,0))</f>
        <v>0</v>
      </c>
      <c r="L498" s="61" t="str">
        <f aca="false">IF(LEN(A498&amp;"")=0,"",J498-I498)</f>
        <v/>
      </c>
      <c r="M498" s="1" t="n">
        <f aca="false">IF(LEN(A498&amp;"")=0,0,IF(COUNTIFS(Base!$A$7:$A$1006,A498)&gt;1,1,0))</f>
        <v>0</v>
      </c>
      <c r="N498" s="1" t="n">
        <f aca="false">IF(LEN(A498&amp;"")=0,0,IF(ABS(L498)&gt;0.005,1,0))</f>
        <v>0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customFormat="false" ht="23" hidden="false" customHeight="true" outlineLevel="0" collapsed="false">
      <c r="A499" s="1" t="str">
        <f aca="false">IF(LEN(Base!A499&amp;"")=0,"",Base!A499)</f>
        <v/>
      </c>
      <c r="B499" s="60" t="str">
        <f aca="false">IF(LEN(A499&amp;"")=0,"",Base!D499)</f>
        <v/>
      </c>
      <c r="C499" s="1" t="str">
        <f aca="false">IF(LEN(A499&amp;"")=0,"",Base!C499)</f>
        <v/>
      </c>
      <c r="D499" s="1" t="str">
        <f aca="false">IF(LEN(A499&amp;"")=0,"",Base!G499)</f>
        <v/>
      </c>
      <c r="E499" s="1" t="str">
        <f aca="false">IF(LEN(A499&amp;"")=0,"",Base!E499)</f>
        <v/>
      </c>
      <c r="F499" s="61" t="str">
        <f aca="false">IF(LEN(A499&amp;"")=0,"",IF(Base!I499="-",0,Base!I499))</f>
        <v/>
      </c>
      <c r="G499" s="61" t="str">
        <f aca="false">IF(LEN(A499&amp;"")=0,"",SUM(Base!F499,F499,Base!K499))</f>
        <v/>
      </c>
      <c r="H499" s="61" t="str">
        <f aca="false">IF(LEN(A499&amp;"")=0,"",Base!L499)</f>
        <v/>
      </c>
      <c r="I499" s="61" t="str">
        <f aca="false">IF(LEN(A499&amp;"")=0,"",G499-H499)</f>
        <v/>
      </c>
      <c r="J499" s="61" t="str">
        <f aca="false">IF(LEN(A499&amp;"")=0,"",Base!M499)</f>
        <v/>
      </c>
      <c r="K499" s="1" t="n">
        <f aca="false">IF(OR(LEN(A499&amp;"")=0,$P$3=0),0,IF(AND(B499&gt;=Painel!$B$8,B499&lt;=Painel!$G$8,OR(Painel!$L$8="Todos",C499=Painel!$L$8),OR(Painel!$Q$8="Todos",D499=Painel!$Q$8),OR(Painel!$V$8="Todas",E499=Painel!$V$8)),1,0))</f>
        <v>0</v>
      </c>
      <c r="L499" s="61" t="str">
        <f aca="false">IF(LEN(A499&amp;"")=0,"",J499-I499)</f>
        <v/>
      </c>
      <c r="M499" s="1" t="n">
        <f aca="false">IF(LEN(A499&amp;"")=0,0,IF(COUNTIFS(Base!$A$7:$A$1006,A499)&gt;1,1,0))</f>
        <v>0</v>
      </c>
      <c r="N499" s="1" t="n">
        <f aca="false">IF(LEN(A499&amp;"")=0,0,IF(ABS(L499)&gt;0.005,1,0))</f>
        <v>0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customFormat="false" ht="23" hidden="false" customHeight="true" outlineLevel="0" collapsed="false">
      <c r="A500" s="1" t="str">
        <f aca="false">IF(LEN(Base!A500&amp;"")=0,"",Base!A500)</f>
        <v/>
      </c>
      <c r="B500" s="60" t="str">
        <f aca="false">IF(LEN(A500&amp;"")=0,"",Base!D500)</f>
        <v/>
      </c>
      <c r="C500" s="1" t="str">
        <f aca="false">IF(LEN(A500&amp;"")=0,"",Base!C500)</f>
        <v/>
      </c>
      <c r="D500" s="1" t="str">
        <f aca="false">IF(LEN(A500&amp;"")=0,"",Base!G500)</f>
        <v/>
      </c>
      <c r="E500" s="1" t="str">
        <f aca="false">IF(LEN(A500&amp;"")=0,"",Base!E500)</f>
        <v/>
      </c>
      <c r="F500" s="61" t="str">
        <f aca="false">IF(LEN(A500&amp;"")=0,"",IF(Base!I500="-",0,Base!I500))</f>
        <v/>
      </c>
      <c r="G500" s="61" t="str">
        <f aca="false">IF(LEN(A500&amp;"")=0,"",SUM(Base!F500,F500,Base!K500))</f>
        <v/>
      </c>
      <c r="H500" s="61" t="str">
        <f aca="false">IF(LEN(A500&amp;"")=0,"",Base!L500)</f>
        <v/>
      </c>
      <c r="I500" s="61" t="str">
        <f aca="false">IF(LEN(A500&amp;"")=0,"",G500-H500)</f>
        <v/>
      </c>
      <c r="J500" s="61" t="str">
        <f aca="false">IF(LEN(A500&amp;"")=0,"",Base!M500)</f>
        <v/>
      </c>
      <c r="K500" s="1" t="n">
        <f aca="false">IF(OR(LEN(A500&amp;"")=0,$P$3=0),0,IF(AND(B500&gt;=Painel!$B$8,B500&lt;=Painel!$G$8,OR(Painel!$L$8="Todos",C500=Painel!$L$8),OR(Painel!$Q$8="Todos",D500=Painel!$Q$8),OR(Painel!$V$8="Todas",E500=Painel!$V$8)),1,0))</f>
        <v>0</v>
      </c>
      <c r="L500" s="61" t="str">
        <f aca="false">IF(LEN(A500&amp;"")=0,"",J500-I500)</f>
        <v/>
      </c>
      <c r="M500" s="1" t="n">
        <f aca="false">IF(LEN(A500&amp;"")=0,0,IF(COUNTIFS(Base!$A$7:$A$1006,A500)&gt;1,1,0))</f>
        <v>0</v>
      </c>
      <c r="N500" s="1" t="n">
        <f aca="false">IF(LEN(A500&amp;"")=0,0,IF(ABS(L500)&gt;0.005,1,0))</f>
        <v>0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customFormat="false" ht="23" hidden="false" customHeight="true" outlineLevel="0" collapsed="false">
      <c r="A501" s="1" t="str">
        <f aca="false">IF(LEN(Base!A501&amp;"")=0,"",Base!A501)</f>
        <v/>
      </c>
      <c r="B501" s="60" t="str">
        <f aca="false">IF(LEN(A501&amp;"")=0,"",Base!D501)</f>
        <v/>
      </c>
      <c r="C501" s="1" t="str">
        <f aca="false">IF(LEN(A501&amp;"")=0,"",Base!C501)</f>
        <v/>
      </c>
      <c r="D501" s="1" t="str">
        <f aca="false">IF(LEN(A501&amp;"")=0,"",Base!G501)</f>
        <v/>
      </c>
      <c r="E501" s="1" t="str">
        <f aca="false">IF(LEN(A501&amp;"")=0,"",Base!E501)</f>
        <v/>
      </c>
      <c r="F501" s="61" t="str">
        <f aca="false">IF(LEN(A501&amp;"")=0,"",IF(Base!I501="-",0,Base!I501))</f>
        <v/>
      </c>
      <c r="G501" s="61" t="str">
        <f aca="false">IF(LEN(A501&amp;"")=0,"",SUM(Base!F501,F501,Base!K501))</f>
        <v/>
      </c>
      <c r="H501" s="61" t="str">
        <f aca="false">IF(LEN(A501&amp;"")=0,"",Base!L501)</f>
        <v/>
      </c>
      <c r="I501" s="61" t="str">
        <f aca="false">IF(LEN(A501&amp;"")=0,"",G501-H501)</f>
        <v/>
      </c>
      <c r="J501" s="61" t="str">
        <f aca="false">IF(LEN(A501&amp;"")=0,"",Base!M501)</f>
        <v/>
      </c>
      <c r="K501" s="1" t="n">
        <f aca="false">IF(OR(LEN(A501&amp;"")=0,$P$3=0),0,IF(AND(B501&gt;=Painel!$B$8,B501&lt;=Painel!$G$8,OR(Painel!$L$8="Todos",C501=Painel!$L$8),OR(Painel!$Q$8="Todos",D501=Painel!$Q$8),OR(Painel!$V$8="Todas",E501=Painel!$V$8)),1,0))</f>
        <v>0</v>
      </c>
      <c r="L501" s="61" t="str">
        <f aca="false">IF(LEN(A501&amp;"")=0,"",J501-I501)</f>
        <v/>
      </c>
      <c r="M501" s="1" t="n">
        <f aca="false">IF(LEN(A501&amp;"")=0,0,IF(COUNTIFS(Base!$A$7:$A$1006,A501)&gt;1,1,0))</f>
        <v>0</v>
      </c>
      <c r="N501" s="1" t="n">
        <f aca="false">IF(LEN(A501&amp;"")=0,0,IF(ABS(L501)&gt;0.005,1,0))</f>
        <v>0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customFormat="false" ht="23" hidden="false" customHeight="true" outlineLevel="0" collapsed="false">
      <c r="A502" s="1" t="str">
        <f aca="false">IF(LEN(Base!A502&amp;"")=0,"",Base!A502)</f>
        <v/>
      </c>
      <c r="B502" s="60" t="str">
        <f aca="false">IF(LEN(A502&amp;"")=0,"",Base!D502)</f>
        <v/>
      </c>
      <c r="C502" s="1" t="str">
        <f aca="false">IF(LEN(A502&amp;"")=0,"",Base!C502)</f>
        <v/>
      </c>
      <c r="D502" s="1" t="str">
        <f aca="false">IF(LEN(A502&amp;"")=0,"",Base!G502)</f>
        <v/>
      </c>
      <c r="E502" s="1" t="str">
        <f aca="false">IF(LEN(A502&amp;"")=0,"",Base!E502)</f>
        <v/>
      </c>
      <c r="F502" s="61" t="str">
        <f aca="false">IF(LEN(A502&amp;"")=0,"",IF(Base!I502="-",0,Base!I502))</f>
        <v/>
      </c>
      <c r="G502" s="61" t="str">
        <f aca="false">IF(LEN(A502&amp;"")=0,"",SUM(Base!F502,F502,Base!K502))</f>
        <v/>
      </c>
      <c r="H502" s="61" t="str">
        <f aca="false">IF(LEN(A502&amp;"")=0,"",Base!L502)</f>
        <v/>
      </c>
      <c r="I502" s="61" t="str">
        <f aca="false">IF(LEN(A502&amp;"")=0,"",G502-H502)</f>
        <v/>
      </c>
      <c r="J502" s="61" t="str">
        <f aca="false">IF(LEN(A502&amp;"")=0,"",Base!M502)</f>
        <v/>
      </c>
      <c r="K502" s="1" t="n">
        <f aca="false">IF(OR(LEN(A502&amp;"")=0,$P$3=0),0,IF(AND(B502&gt;=Painel!$B$8,B502&lt;=Painel!$G$8,OR(Painel!$L$8="Todos",C502=Painel!$L$8),OR(Painel!$Q$8="Todos",D502=Painel!$Q$8),OR(Painel!$V$8="Todas",E502=Painel!$V$8)),1,0))</f>
        <v>0</v>
      </c>
      <c r="L502" s="61" t="str">
        <f aca="false">IF(LEN(A502&amp;"")=0,"",J502-I502)</f>
        <v/>
      </c>
      <c r="M502" s="1" t="n">
        <f aca="false">IF(LEN(A502&amp;"")=0,0,IF(COUNTIFS(Base!$A$7:$A$1006,A502)&gt;1,1,0))</f>
        <v>0</v>
      </c>
      <c r="N502" s="1" t="n">
        <f aca="false">IF(LEN(A502&amp;"")=0,0,IF(ABS(L502)&gt;0.005,1,0))</f>
        <v>0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customFormat="false" ht="23" hidden="false" customHeight="true" outlineLevel="0" collapsed="false">
      <c r="A503" s="1" t="str">
        <f aca="false">IF(LEN(Base!A503&amp;"")=0,"",Base!A503)</f>
        <v/>
      </c>
      <c r="B503" s="60" t="str">
        <f aca="false">IF(LEN(A503&amp;"")=0,"",Base!D503)</f>
        <v/>
      </c>
      <c r="C503" s="1" t="str">
        <f aca="false">IF(LEN(A503&amp;"")=0,"",Base!C503)</f>
        <v/>
      </c>
      <c r="D503" s="1" t="str">
        <f aca="false">IF(LEN(A503&amp;"")=0,"",Base!G503)</f>
        <v/>
      </c>
      <c r="E503" s="1" t="str">
        <f aca="false">IF(LEN(A503&amp;"")=0,"",Base!E503)</f>
        <v/>
      </c>
      <c r="F503" s="61" t="str">
        <f aca="false">IF(LEN(A503&amp;"")=0,"",IF(Base!I503="-",0,Base!I503))</f>
        <v/>
      </c>
      <c r="G503" s="61" t="str">
        <f aca="false">IF(LEN(A503&amp;"")=0,"",SUM(Base!F503,F503,Base!K503))</f>
        <v/>
      </c>
      <c r="H503" s="61" t="str">
        <f aca="false">IF(LEN(A503&amp;"")=0,"",Base!L503)</f>
        <v/>
      </c>
      <c r="I503" s="61" t="str">
        <f aca="false">IF(LEN(A503&amp;"")=0,"",G503-H503)</f>
        <v/>
      </c>
      <c r="J503" s="61" t="str">
        <f aca="false">IF(LEN(A503&amp;"")=0,"",Base!M503)</f>
        <v/>
      </c>
      <c r="K503" s="1" t="n">
        <f aca="false">IF(OR(LEN(A503&amp;"")=0,$P$3=0),0,IF(AND(B503&gt;=Painel!$B$8,B503&lt;=Painel!$G$8,OR(Painel!$L$8="Todos",C503=Painel!$L$8),OR(Painel!$Q$8="Todos",D503=Painel!$Q$8),OR(Painel!$V$8="Todas",E503=Painel!$V$8)),1,0))</f>
        <v>0</v>
      </c>
      <c r="L503" s="61" t="str">
        <f aca="false">IF(LEN(A503&amp;"")=0,"",J503-I503)</f>
        <v/>
      </c>
      <c r="M503" s="1" t="n">
        <f aca="false">IF(LEN(A503&amp;"")=0,0,IF(COUNTIFS(Base!$A$7:$A$1006,A503)&gt;1,1,0))</f>
        <v>0</v>
      </c>
      <c r="N503" s="1" t="n">
        <f aca="false">IF(LEN(A503&amp;"")=0,0,IF(ABS(L503)&gt;0.005,1,0))</f>
        <v>0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customFormat="false" ht="23" hidden="false" customHeight="true" outlineLevel="0" collapsed="false">
      <c r="A504" s="1" t="str">
        <f aca="false">IF(LEN(Base!A504&amp;"")=0,"",Base!A504)</f>
        <v/>
      </c>
      <c r="B504" s="60" t="str">
        <f aca="false">IF(LEN(A504&amp;"")=0,"",Base!D504)</f>
        <v/>
      </c>
      <c r="C504" s="1" t="str">
        <f aca="false">IF(LEN(A504&amp;"")=0,"",Base!C504)</f>
        <v/>
      </c>
      <c r="D504" s="1" t="str">
        <f aca="false">IF(LEN(A504&amp;"")=0,"",Base!G504)</f>
        <v/>
      </c>
      <c r="E504" s="1" t="str">
        <f aca="false">IF(LEN(A504&amp;"")=0,"",Base!E504)</f>
        <v/>
      </c>
      <c r="F504" s="61" t="str">
        <f aca="false">IF(LEN(A504&amp;"")=0,"",IF(Base!I504="-",0,Base!I504))</f>
        <v/>
      </c>
      <c r="G504" s="61" t="str">
        <f aca="false">IF(LEN(A504&amp;"")=0,"",SUM(Base!F504,F504,Base!K504))</f>
        <v/>
      </c>
      <c r="H504" s="61" t="str">
        <f aca="false">IF(LEN(A504&amp;"")=0,"",Base!L504)</f>
        <v/>
      </c>
      <c r="I504" s="61" t="str">
        <f aca="false">IF(LEN(A504&amp;"")=0,"",G504-H504)</f>
        <v/>
      </c>
      <c r="J504" s="61" t="str">
        <f aca="false">IF(LEN(A504&amp;"")=0,"",Base!M504)</f>
        <v/>
      </c>
      <c r="K504" s="1" t="n">
        <f aca="false">IF(OR(LEN(A504&amp;"")=0,$P$3=0),0,IF(AND(B504&gt;=Painel!$B$8,B504&lt;=Painel!$G$8,OR(Painel!$L$8="Todos",C504=Painel!$L$8),OR(Painel!$Q$8="Todos",D504=Painel!$Q$8),OR(Painel!$V$8="Todas",E504=Painel!$V$8)),1,0))</f>
        <v>0</v>
      </c>
      <c r="L504" s="61" t="str">
        <f aca="false">IF(LEN(A504&amp;"")=0,"",J504-I504)</f>
        <v/>
      </c>
      <c r="M504" s="1" t="n">
        <f aca="false">IF(LEN(A504&amp;"")=0,0,IF(COUNTIFS(Base!$A$7:$A$1006,A504)&gt;1,1,0))</f>
        <v>0</v>
      </c>
      <c r="N504" s="1" t="n">
        <f aca="false">IF(LEN(A504&amp;"")=0,0,IF(ABS(L504)&gt;0.005,1,0))</f>
        <v>0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customFormat="false" ht="23" hidden="false" customHeight="true" outlineLevel="0" collapsed="false">
      <c r="A505" s="1" t="str">
        <f aca="false">IF(LEN(Base!A505&amp;"")=0,"",Base!A505)</f>
        <v/>
      </c>
      <c r="B505" s="60" t="str">
        <f aca="false">IF(LEN(A505&amp;"")=0,"",Base!D505)</f>
        <v/>
      </c>
      <c r="C505" s="1" t="str">
        <f aca="false">IF(LEN(A505&amp;"")=0,"",Base!C505)</f>
        <v/>
      </c>
      <c r="D505" s="1" t="str">
        <f aca="false">IF(LEN(A505&amp;"")=0,"",Base!G505)</f>
        <v/>
      </c>
      <c r="E505" s="1" t="str">
        <f aca="false">IF(LEN(A505&amp;"")=0,"",Base!E505)</f>
        <v/>
      </c>
      <c r="F505" s="61" t="str">
        <f aca="false">IF(LEN(A505&amp;"")=0,"",IF(Base!I505="-",0,Base!I505))</f>
        <v/>
      </c>
      <c r="G505" s="61" t="str">
        <f aca="false">IF(LEN(A505&amp;"")=0,"",SUM(Base!F505,F505,Base!K505))</f>
        <v/>
      </c>
      <c r="H505" s="61" t="str">
        <f aca="false">IF(LEN(A505&amp;"")=0,"",Base!L505)</f>
        <v/>
      </c>
      <c r="I505" s="61" t="str">
        <f aca="false">IF(LEN(A505&amp;"")=0,"",G505-H505)</f>
        <v/>
      </c>
      <c r="J505" s="61" t="str">
        <f aca="false">IF(LEN(A505&amp;"")=0,"",Base!M505)</f>
        <v/>
      </c>
      <c r="K505" s="1" t="n">
        <f aca="false">IF(OR(LEN(A505&amp;"")=0,$P$3=0),0,IF(AND(B505&gt;=Painel!$B$8,B505&lt;=Painel!$G$8,OR(Painel!$L$8="Todos",C505=Painel!$L$8),OR(Painel!$Q$8="Todos",D505=Painel!$Q$8),OR(Painel!$V$8="Todas",E505=Painel!$V$8)),1,0))</f>
        <v>0</v>
      </c>
      <c r="L505" s="61" t="str">
        <f aca="false">IF(LEN(A505&amp;"")=0,"",J505-I505)</f>
        <v/>
      </c>
      <c r="M505" s="1" t="n">
        <f aca="false">IF(LEN(A505&amp;"")=0,0,IF(COUNTIFS(Base!$A$7:$A$1006,A505)&gt;1,1,0))</f>
        <v>0</v>
      </c>
      <c r="N505" s="1" t="n">
        <f aca="false">IF(LEN(A505&amp;"")=0,0,IF(ABS(L505)&gt;0.005,1,0))</f>
        <v>0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customFormat="false" ht="23" hidden="false" customHeight="true" outlineLevel="0" collapsed="false">
      <c r="A506" s="1" t="str">
        <f aca="false">IF(LEN(Base!A506&amp;"")=0,"",Base!A506)</f>
        <v/>
      </c>
      <c r="B506" s="60" t="str">
        <f aca="false">IF(LEN(A506&amp;"")=0,"",Base!D506)</f>
        <v/>
      </c>
      <c r="C506" s="1" t="str">
        <f aca="false">IF(LEN(A506&amp;"")=0,"",Base!C506)</f>
        <v/>
      </c>
      <c r="D506" s="1" t="str">
        <f aca="false">IF(LEN(A506&amp;"")=0,"",Base!G506)</f>
        <v/>
      </c>
      <c r="E506" s="1" t="str">
        <f aca="false">IF(LEN(A506&amp;"")=0,"",Base!E506)</f>
        <v/>
      </c>
      <c r="F506" s="61" t="str">
        <f aca="false">IF(LEN(A506&amp;"")=0,"",IF(Base!I506="-",0,Base!I506))</f>
        <v/>
      </c>
      <c r="G506" s="61" t="str">
        <f aca="false">IF(LEN(A506&amp;"")=0,"",SUM(Base!F506,F506,Base!K506))</f>
        <v/>
      </c>
      <c r="H506" s="61" t="str">
        <f aca="false">IF(LEN(A506&amp;"")=0,"",Base!L506)</f>
        <v/>
      </c>
      <c r="I506" s="61" t="str">
        <f aca="false">IF(LEN(A506&amp;"")=0,"",G506-H506)</f>
        <v/>
      </c>
      <c r="J506" s="61" t="str">
        <f aca="false">IF(LEN(A506&amp;"")=0,"",Base!M506)</f>
        <v/>
      </c>
      <c r="K506" s="1" t="n">
        <f aca="false">IF(OR(LEN(A506&amp;"")=0,$P$3=0),0,IF(AND(B506&gt;=Painel!$B$8,B506&lt;=Painel!$G$8,OR(Painel!$L$8="Todos",C506=Painel!$L$8),OR(Painel!$Q$8="Todos",D506=Painel!$Q$8),OR(Painel!$V$8="Todas",E506=Painel!$V$8)),1,0))</f>
        <v>0</v>
      </c>
      <c r="L506" s="61" t="str">
        <f aca="false">IF(LEN(A506&amp;"")=0,"",J506-I506)</f>
        <v/>
      </c>
      <c r="M506" s="1" t="n">
        <f aca="false">IF(LEN(A506&amp;"")=0,0,IF(COUNTIFS(Base!$A$7:$A$1006,A506)&gt;1,1,0))</f>
        <v>0</v>
      </c>
      <c r="N506" s="1" t="n">
        <f aca="false">IF(LEN(A506&amp;"")=0,0,IF(ABS(L506)&gt;0.005,1,0))</f>
        <v>0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customFormat="false" ht="23" hidden="false" customHeight="true" outlineLevel="0" collapsed="false">
      <c r="A507" s="1" t="str">
        <f aca="false">IF(LEN(Base!A507&amp;"")=0,"",Base!A507)</f>
        <v/>
      </c>
      <c r="B507" s="60" t="str">
        <f aca="false">IF(LEN(A507&amp;"")=0,"",Base!D507)</f>
        <v/>
      </c>
      <c r="C507" s="1" t="str">
        <f aca="false">IF(LEN(A507&amp;"")=0,"",Base!C507)</f>
        <v/>
      </c>
      <c r="D507" s="1" t="str">
        <f aca="false">IF(LEN(A507&amp;"")=0,"",Base!G507)</f>
        <v/>
      </c>
      <c r="E507" s="1" t="str">
        <f aca="false">IF(LEN(A507&amp;"")=0,"",Base!E507)</f>
        <v/>
      </c>
      <c r="F507" s="61" t="str">
        <f aca="false">IF(LEN(A507&amp;"")=0,"",IF(Base!I507="-",0,Base!I507))</f>
        <v/>
      </c>
      <c r="G507" s="61" t="str">
        <f aca="false">IF(LEN(A507&amp;"")=0,"",SUM(Base!F507,F507,Base!K507))</f>
        <v/>
      </c>
      <c r="H507" s="61" t="str">
        <f aca="false">IF(LEN(A507&amp;"")=0,"",Base!L507)</f>
        <v/>
      </c>
      <c r="I507" s="61" t="str">
        <f aca="false">IF(LEN(A507&amp;"")=0,"",G507-H507)</f>
        <v/>
      </c>
      <c r="J507" s="61" t="str">
        <f aca="false">IF(LEN(A507&amp;"")=0,"",Base!M507)</f>
        <v/>
      </c>
      <c r="K507" s="1" t="n">
        <f aca="false">IF(OR(LEN(A507&amp;"")=0,$P$3=0),0,IF(AND(B507&gt;=Painel!$B$8,B507&lt;=Painel!$G$8,OR(Painel!$L$8="Todos",C507=Painel!$L$8),OR(Painel!$Q$8="Todos",D507=Painel!$Q$8),OR(Painel!$V$8="Todas",E507=Painel!$V$8)),1,0))</f>
        <v>0</v>
      </c>
      <c r="L507" s="61" t="str">
        <f aca="false">IF(LEN(A507&amp;"")=0,"",J507-I507)</f>
        <v/>
      </c>
      <c r="M507" s="1" t="n">
        <f aca="false">IF(LEN(A507&amp;"")=0,0,IF(COUNTIFS(Base!$A$7:$A$1006,A507)&gt;1,1,0))</f>
        <v>0</v>
      </c>
      <c r="N507" s="1" t="n">
        <f aca="false">IF(LEN(A507&amp;"")=0,0,IF(ABS(L507)&gt;0.005,1,0))</f>
        <v>0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customFormat="false" ht="23" hidden="false" customHeight="true" outlineLevel="0" collapsed="false">
      <c r="A508" s="1" t="str">
        <f aca="false">IF(LEN(Base!A508&amp;"")=0,"",Base!A508)</f>
        <v/>
      </c>
      <c r="B508" s="60" t="str">
        <f aca="false">IF(LEN(A508&amp;"")=0,"",Base!D508)</f>
        <v/>
      </c>
      <c r="C508" s="1" t="str">
        <f aca="false">IF(LEN(A508&amp;"")=0,"",Base!C508)</f>
        <v/>
      </c>
      <c r="D508" s="1" t="str">
        <f aca="false">IF(LEN(A508&amp;"")=0,"",Base!G508)</f>
        <v/>
      </c>
      <c r="E508" s="1" t="str">
        <f aca="false">IF(LEN(A508&amp;"")=0,"",Base!E508)</f>
        <v/>
      </c>
      <c r="F508" s="61" t="str">
        <f aca="false">IF(LEN(A508&amp;"")=0,"",IF(Base!I508="-",0,Base!I508))</f>
        <v/>
      </c>
      <c r="G508" s="61" t="str">
        <f aca="false">IF(LEN(A508&amp;"")=0,"",SUM(Base!F508,F508,Base!K508))</f>
        <v/>
      </c>
      <c r="H508" s="61" t="str">
        <f aca="false">IF(LEN(A508&amp;"")=0,"",Base!L508)</f>
        <v/>
      </c>
      <c r="I508" s="61" t="str">
        <f aca="false">IF(LEN(A508&amp;"")=0,"",G508-H508)</f>
        <v/>
      </c>
      <c r="J508" s="61" t="str">
        <f aca="false">IF(LEN(A508&amp;"")=0,"",Base!M508)</f>
        <v/>
      </c>
      <c r="K508" s="1" t="n">
        <f aca="false">IF(OR(LEN(A508&amp;"")=0,$P$3=0),0,IF(AND(B508&gt;=Painel!$B$8,B508&lt;=Painel!$G$8,OR(Painel!$L$8="Todos",C508=Painel!$L$8),OR(Painel!$Q$8="Todos",D508=Painel!$Q$8),OR(Painel!$V$8="Todas",E508=Painel!$V$8)),1,0))</f>
        <v>0</v>
      </c>
      <c r="L508" s="61" t="str">
        <f aca="false">IF(LEN(A508&amp;"")=0,"",J508-I508)</f>
        <v/>
      </c>
      <c r="M508" s="1" t="n">
        <f aca="false">IF(LEN(A508&amp;"")=0,0,IF(COUNTIFS(Base!$A$7:$A$1006,A508)&gt;1,1,0))</f>
        <v>0</v>
      </c>
      <c r="N508" s="1" t="n">
        <f aca="false">IF(LEN(A508&amp;"")=0,0,IF(ABS(L508)&gt;0.005,1,0))</f>
        <v>0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customFormat="false" ht="23" hidden="false" customHeight="true" outlineLevel="0" collapsed="false">
      <c r="A509" s="1" t="str">
        <f aca="false">IF(LEN(Base!A509&amp;"")=0,"",Base!A509)</f>
        <v/>
      </c>
      <c r="B509" s="60" t="str">
        <f aca="false">IF(LEN(A509&amp;"")=0,"",Base!D509)</f>
        <v/>
      </c>
      <c r="C509" s="1" t="str">
        <f aca="false">IF(LEN(A509&amp;"")=0,"",Base!C509)</f>
        <v/>
      </c>
      <c r="D509" s="1" t="str">
        <f aca="false">IF(LEN(A509&amp;"")=0,"",Base!G509)</f>
        <v/>
      </c>
      <c r="E509" s="1" t="str">
        <f aca="false">IF(LEN(A509&amp;"")=0,"",Base!E509)</f>
        <v/>
      </c>
      <c r="F509" s="61" t="str">
        <f aca="false">IF(LEN(A509&amp;"")=0,"",IF(Base!I509="-",0,Base!I509))</f>
        <v/>
      </c>
      <c r="G509" s="61" t="str">
        <f aca="false">IF(LEN(A509&amp;"")=0,"",SUM(Base!F509,F509,Base!K509))</f>
        <v/>
      </c>
      <c r="H509" s="61" t="str">
        <f aca="false">IF(LEN(A509&amp;"")=0,"",Base!L509)</f>
        <v/>
      </c>
      <c r="I509" s="61" t="str">
        <f aca="false">IF(LEN(A509&amp;"")=0,"",G509-H509)</f>
        <v/>
      </c>
      <c r="J509" s="61" t="str">
        <f aca="false">IF(LEN(A509&amp;"")=0,"",Base!M509)</f>
        <v/>
      </c>
      <c r="K509" s="1" t="n">
        <f aca="false">IF(OR(LEN(A509&amp;"")=0,$P$3=0),0,IF(AND(B509&gt;=Painel!$B$8,B509&lt;=Painel!$G$8,OR(Painel!$L$8="Todos",C509=Painel!$L$8),OR(Painel!$Q$8="Todos",D509=Painel!$Q$8),OR(Painel!$V$8="Todas",E509=Painel!$V$8)),1,0))</f>
        <v>0</v>
      </c>
      <c r="L509" s="61" t="str">
        <f aca="false">IF(LEN(A509&amp;"")=0,"",J509-I509)</f>
        <v/>
      </c>
      <c r="M509" s="1" t="n">
        <f aca="false">IF(LEN(A509&amp;"")=0,0,IF(COUNTIFS(Base!$A$7:$A$1006,A509)&gt;1,1,0))</f>
        <v>0</v>
      </c>
      <c r="N509" s="1" t="n">
        <f aca="false">IF(LEN(A509&amp;"")=0,0,IF(ABS(L509)&gt;0.005,1,0))</f>
        <v>0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customFormat="false" ht="23" hidden="false" customHeight="true" outlineLevel="0" collapsed="false">
      <c r="A510" s="1" t="str">
        <f aca="false">IF(LEN(Base!A510&amp;"")=0,"",Base!A510)</f>
        <v/>
      </c>
      <c r="B510" s="60" t="str">
        <f aca="false">IF(LEN(A510&amp;"")=0,"",Base!D510)</f>
        <v/>
      </c>
      <c r="C510" s="1" t="str">
        <f aca="false">IF(LEN(A510&amp;"")=0,"",Base!C510)</f>
        <v/>
      </c>
      <c r="D510" s="1" t="str">
        <f aca="false">IF(LEN(A510&amp;"")=0,"",Base!G510)</f>
        <v/>
      </c>
      <c r="E510" s="1" t="str">
        <f aca="false">IF(LEN(A510&amp;"")=0,"",Base!E510)</f>
        <v/>
      </c>
      <c r="F510" s="61" t="str">
        <f aca="false">IF(LEN(A510&amp;"")=0,"",IF(Base!I510="-",0,Base!I510))</f>
        <v/>
      </c>
      <c r="G510" s="61" t="str">
        <f aca="false">IF(LEN(A510&amp;"")=0,"",SUM(Base!F510,F510,Base!K510))</f>
        <v/>
      </c>
      <c r="H510" s="61" t="str">
        <f aca="false">IF(LEN(A510&amp;"")=0,"",Base!L510)</f>
        <v/>
      </c>
      <c r="I510" s="61" t="str">
        <f aca="false">IF(LEN(A510&amp;"")=0,"",G510-H510)</f>
        <v/>
      </c>
      <c r="J510" s="61" t="str">
        <f aca="false">IF(LEN(A510&amp;"")=0,"",Base!M510)</f>
        <v/>
      </c>
      <c r="K510" s="1" t="n">
        <f aca="false">IF(OR(LEN(A510&amp;"")=0,$P$3=0),0,IF(AND(B510&gt;=Painel!$B$8,B510&lt;=Painel!$G$8,OR(Painel!$L$8="Todos",C510=Painel!$L$8),OR(Painel!$Q$8="Todos",D510=Painel!$Q$8),OR(Painel!$V$8="Todas",E510=Painel!$V$8)),1,0))</f>
        <v>0</v>
      </c>
      <c r="L510" s="61" t="str">
        <f aca="false">IF(LEN(A510&amp;"")=0,"",J510-I510)</f>
        <v/>
      </c>
      <c r="M510" s="1" t="n">
        <f aca="false">IF(LEN(A510&amp;"")=0,0,IF(COUNTIFS(Base!$A$7:$A$1006,A510)&gt;1,1,0))</f>
        <v>0</v>
      </c>
      <c r="N510" s="1" t="n">
        <f aca="false">IF(LEN(A510&amp;"")=0,0,IF(ABS(L510)&gt;0.005,1,0))</f>
        <v>0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customFormat="false" ht="23" hidden="false" customHeight="true" outlineLevel="0" collapsed="false">
      <c r="A511" s="1" t="str">
        <f aca="false">IF(LEN(Base!A511&amp;"")=0,"",Base!A511)</f>
        <v/>
      </c>
      <c r="B511" s="60" t="str">
        <f aca="false">IF(LEN(A511&amp;"")=0,"",Base!D511)</f>
        <v/>
      </c>
      <c r="C511" s="1" t="str">
        <f aca="false">IF(LEN(A511&amp;"")=0,"",Base!C511)</f>
        <v/>
      </c>
      <c r="D511" s="1" t="str">
        <f aca="false">IF(LEN(A511&amp;"")=0,"",Base!G511)</f>
        <v/>
      </c>
      <c r="E511" s="1" t="str">
        <f aca="false">IF(LEN(A511&amp;"")=0,"",Base!E511)</f>
        <v/>
      </c>
      <c r="F511" s="61" t="str">
        <f aca="false">IF(LEN(A511&amp;"")=0,"",IF(Base!I511="-",0,Base!I511))</f>
        <v/>
      </c>
      <c r="G511" s="61" t="str">
        <f aca="false">IF(LEN(A511&amp;"")=0,"",SUM(Base!F511,F511,Base!K511))</f>
        <v/>
      </c>
      <c r="H511" s="61" t="str">
        <f aca="false">IF(LEN(A511&amp;"")=0,"",Base!L511)</f>
        <v/>
      </c>
      <c r="I511" s="61" t="str">
        <f aca="false">IF(LEN(A511&amp;"")=0,"",G511-H511)</f>
        <v/>
      </c>
      <c r="J511" s="61" t="str">
        <f aca="false">IF(LEN(A511&amp;"")=0,"",Base!M511)</f>
        <v/>
      </c>
      <c r="K511" s="1" t="n">
        <f aca="false">IF(OR(LEN(A511&amp;"")=0,$P$3=0),0,IF(AND(B511&gt;=Painel!$B$8,B511&lt;=Painel!$G$8,OR(Painel!$L$8="Todos",C511=Painel!$L$8),OR(Painel!$Q$8="Todos",D511=Painel!$Q$8),OR(Painel!$V$8="Todas",E511=Painel!$V$8)),1,0))</f>
        <v>0</v>
      </c>
      <c r="L511" s="61" t="str">
        <f aca="false">IF(LEN(A511&amp;"")=0,"",J511-I511)</f>
        <v/>
      </c>
      <c r="M511" s="1" t="n">
        <f aca="false">IF(LEN(A511&amp;"")=0,0,IF(COUNTIFS(Base!$A$7:$A$1006,A511)&gt;1,1,0))</f>
        <v>0</v>
      </c>
      <c r="N511" s="1" t="n">
        <f aca="false">IF(LEN(A511&amp;"")=0,0,IF(ABS(L511)&gt;0.005,1,0))</f>
        <v>0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customFormat="false" ht="23" hidden="false" customHeight="true" outlineLevel="0" collapsed="false">
      <c r="A512" s="1" t="str">
        <f aca="false">IF(LEN(Base!A512&amp;"")=0,"",Base!A512)</f>
        <v/>
      </c>
      <c r="B512" s="60" t="str">
        <f aca="false">IF(LEN(A512&amp;"")=0,"",Base!D512)</f>
        <v/>
      </c>
      <c r="C512" s="1" t="str">
        <f aca="false">IF(LEN(A512&amp;"")=0,"",Base!C512)</f>
        <v/>
      </c>
      <c r="D512" s="1" t="str">
        <f aca="false">IF(LEN(A512&amp;"")=0,"",Base!G512)</f>
        <v/>
      </c>
      <c r="E512" s="1" t="str">
        <f aca="false">IF(LEN(A512&amp;"")=0,"",Base!E512)</f>
        <v/>
      </c>
      <c r="F512" s="61" t="str">
        <f aca="false">IF(LEN(A512&amp;"")=0,"",IF(Base!I512="-",0,Base!I512))</f>
        <v/>
      </c>
      <c r="G512" s="61" t="str">
        <f aca="false">IF(LEN(A512&amp;"")=0,"",SUM(Base!F512,F512,Base!K512))</f>
        <v/>
      </c>
      <c r="H512" s="61" t="str">
        <f aca="false">IF(LEN(A512&amp;"")=0,"",Base!L512)</f>
        <v/>
      </c>
      <c r="I512" s="61" t="str">
        <f aca="false">IF(LEN(A512&amp;"")=0,"",G512-H512)</f>
        <v/>
      </c>
      <c r="J512" s="61" t="str">
        <f aca="false">IF(LEN(A512&amp;"")=0,"",Base!M512)</f>
        <v/>
      </c>
      <c r="K512" s="1" t="n">
        <f aca="false">IF(OR(LEN(A512&amp;"")=0,$P$3=0),0,IF(AND(B512&gt;=Painel!$B$8,B512&lt;=Painel!$G$8,OR(Painel!$L$8="Todos",C512=Painel!$L$8),OR(Painel!$Q$8="Todos",D512=Painel!$Q$8),OR(Painel!$V$8="Todas",E512=Painel!$V$8)),1,0))</f>
        <v>0</v>
      </c>
      <c r="L512" s="61" t="str">
        <f aca="false">IF(LEN(A512&amp;"")=0,"",J512-I512)</f>
        <v/>
      </c>
      <c r="M512" s="1" t="n">
        <f aca="false">IF(LEN(A512&amp;"")=0,0,IF(COUNTIFS(Base!$A$7:$A$1006,A512)&gt;1,1,0))</f>
        <v>0</v>
      </c>
      <c r="N512" s="1" t="n">
        <f aca="false">IF(LEN(A512&amp;"")=0,0,IF(ABS(L512)&gt;0.005,1,0))</f>
        <v>0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customFormat="false" ht="23" hidden="false" customHeight="true" outlineLevel="0" collapsed="false">
      <c r="A513" s="1" t="str">
        <f aca="false">IF(LEN(Base!A513&amp;"")=0,"",Base!A513)</f>
        <v/>
      </c>
      <c r="B513" s="60" t="str">
        <f aca="false">IF(LEN(A513&amp;"")=0,"",Base!D513)</f>
        <v/>
      </c>
      <c r="C513" s="1" t="str">
        <f aca="false">IF(LEN(A513&amp;"")=0,"",Base!C513)</f>
        <v/>
      </c>
      <c r="D513" s="1" t="str">
        <f aca="false">IF(LEN(A513&amp;"")=0,"",Base!G513)</f>
        <v/>
      </c>
      <c r="E513" s="1" t="str">
        <f aca="false">IF(LEN(A513&amp;"")=0,"",Base!E513)</f>
        <v/>
      </c>
      <c r="F513" s="61" t="str">
        <f aca="false">IF(LEN(A513&amp;"")=0,"",IF(Base!I513="-",0,Base!I513))</f>
        <v/>
      </c>
      <c r="G513" s="61" t="str">
        <f aca="false">IF(LEN(A513&amp;"")=0,"",SUM(Base!F513,F513,Base!K513))</f>
        <v/>
      </c>
      <c r="H513" s="61" t="str">
        <f aca="false">IF(LEN(A513&amp;"")=0,"",Base!L513)</f>
        <v/>
      </c>
      <c r="I513" s="61" t="str">
        <f aca="false">IF(LEN(A513&amp;"")=0,"",G513-H513)</f>
        <v/>
      </c>
      <c r="J513" s="61" t="str">
        <f aca="false">IF(LEN(A513&amp;"")=0,"",Base!M513)</f>
        <v/>
      </c>
      <c r="K513" s="1" t="n">
        <f aca="false">IF(OR(LEN(A513&amp;"")=0,$P$3=0),0,IF(AND(B513&gt;=Painel!$B$8,B513&lt;=Painel!$G$8,OR(Painel!$L$8="Todos",C513=Painel!$L$8),OR(Painel!$Q$8="Todos",D513=Painel!$Q$8),OR(Painel!$V$8="Todas",E513=Painel!$V$8)),1,0))</f>
        <v>0</v>
      </c>
      <c r="L513" s="61" t="str">
        <f aca="false">IF(LEN(A513&amp;"")=0,"",J513-I513)</f>
        <v/>
      </c>
      <c r="M513" s="1" t="n">
        <f aca="false">IF(LEN(A513&amp;"")=0,0,IF(COUNTIFS(Base!$A$7:$A$1006,A513)&gt;1,1,0))</f>
        <v>0</v>
      </c>
      <c r="N513" s="1" t="n">
        <f aca="false">IF(LEN(A513&amp;"")=0,0,IF(ABS(L513)&gt;0.005,1,0))</f>
        <v>0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customFormat="false" ht="23" hidden="false" customHeight="true" outlineLevel="0" collapsed="false">
      <c r="A514" s="1" t="str">
        <f aca="false">IF(LEN(Base!A514&amp;"")=0,"",Base!A514)</f>
        <v/>
      </c>
      <c r="B514" s="60" t="str">
        <f aca="false">IF(LEN(A514&amp;"")=0,"",Base!D514)</f>
        <v/>
      </c>
      <c r="C514" s="1" t="str">
        <f aca="false">IF(LEN(A514&amp;"")=0,"",Base!C514)</f>
        <v/>
      </c>
      <c r="D514" s="1" t="str">
        <f aca="false">IF(LEN(A514&amp;"")=0,"",Base!G514)</f>
        <v/>
      </c>
      <c r="E514" s="1" t="str">
        <f aca="false">IF(LEN(A514&amp;"")=0,"",Base!E514)</f>
        <v/>
      </c>
      <c r="F514" s="61" t="str">
        <f aca="false">IF(LEN(A514&amp;"")=0,"",IF(Base!I514="-",0,Base!I514))</f>
        <v/>
      </c>
      <c r="G514" s="61" t="str">
        <f aca="false">IF(LEN(A514&amp;"")=0,"",SUM(Base!F514,F514,Base!K514))</f>
        <v/>
      </c>
      <c r="H514" s="61" t="str">
        <f aca="false">IF(LEN(A514&amp;"")=0,"",Base!L514)</f>
        <v/>
      </c>
      <c r="I514" s="61" t="str">
        <f aca="false">IF(LEN(A514&amp;"")=0,"",G514-H514)</f>
        <v/>
      </c>
      <c r="J514" s="61" t="str">
        <f aca="false">IF(LEN(A514&amp;"")=0,"",Base!M514)</f>
        <v/>
      </c>
      <c r="K514" s="1" t="n">
        <f aca="false">IF(OR(LEN(A514&amp;"")=0,$P$3=0),0,IF(AND(B514&gt;=Painel!$B$8,B514&lt;=Painel!$G$8,OR(Painel!$L$8="Todos",C514=Painel!$L$8),OR(Painel!$Q$8="Todos",D514=Painel!$Q$8),OR(Painel!$V$8="Todas",E514=Painel!$V$8)),1,0))</f>
        <v>0</v>
      </c>
      <c r="L514" s="61" t="str">
        <f aca="false">IF(LEN(A514&amp;"")=0,"",J514-I514)</f>
        <v/>
      </c>
      <c r="M514" s="1" t="n">
        <f aca="false">IF(LEN(A514&amp;"")=0,0,IF(COUNTIFS(Base!$A$7:$A$1006,A514)&gt;1,1,0))</f>
        <v>0</v>
      </c>
      <c r="N514" s="1" t="n">
        <f aca="false">IF(LEN(A514&amp;"")=0,0,IF(ABS(L514)&gt;0.005,1,0))</f>
        <v>0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customFormat="false" ht="23" hidden="false" customHeight="true" outlineLevel="0" collapsed="false">
      <c r="A515" s="1" t="str">
        <f aca="false">IF(LEN(Base!A515&amp;"")=0,"",Base!A515)</f>
        <v/>
      </c>
      <c r="B515" s="60" t="str">
        <f aca="false">IF(LEN(A515&amp;"")=0,"",Base!D515)</f>
        <v/>
      </c>
      <c r="C515" s="1" t="str">
        <f aca="false">IF(LEN(A515&amp;"")=0,"",Base!C515)</f>
        <v/>
      </c>
      <c r="D515" s="1" t="str">
        <f aca="false">IF(LEN(A515&amp;"")=0,"",Base!G515)</f>
        <v/>
      </c>
      <c r="E515" s="1" t="str">
        <f aca="false">IF(LEN(A515&amp;"")=0,"",Base!E515)</f>
        <v/>
      </c>
      <c r="F515" s="61" t="str">
        <f aca="false">IF(LEN(A515&amp;"")=0,"",IF(Base!I515="-",0,Base!I515))</f>
        <v/>
      </c>
      <c r="G515" s="61" t="str">
        <f aca="false">IF(LEN(A515&amp;"")=0,"",SUM(Base!F515,F515,Base!K515))</f>
        <v/>
      </c>
      <c r="H515" s="61" t="str">
        <f aca="false">IF(LEN(A515&amp;"")=0,"",Base!L515)</f>
        <v/>
      </c>
      <c r="I515" s="61" t="str">
        <f aca="false">IF(LEN(A515&amp;"")=0,"",G515-H515)</f>
        <v/>
      </c>
      <c r="J515" s="61" t="str">
        <f aca="false">IF(LEN(A515&amp;"")=0,"",Base!M515)</f>
        <v/>
      </c>
      <c r="K515" s="1" t="n">
        <f aca="false">IF(OR(LEN(A515&amp;"")=0,$P$3=0),0,IF(AND(B515&gt;=Painel!$B$8,B515&lt;=Painel!$G$8,OR(Painel!$L$8="Todos",C515=Painel!$L$8),OR(Painel!$Q$8="Todos",D515=Painel!$Q$8),OR(Painel!$V$8="Todas",E515=Painel!$V$8)),1,0))</f>
        <v>0</v>
      </c>
      <c r="L515" s="61" t="str">
        <f aca="false">IF(LEN(A515&amp;"")=0,"",J515-I515)</f>
        <v/>
      </c>
      <c r="M515" s="1" t="n">
        <f aca="false">IF(LEN(A515&amp;"")=0,0,IF(COUNTIFS(Base!$A$7:$A$1006,A515)&gt;1,1,0))</f>
        <v>0</v>
      </c>
      <c r="N515" s="1" t="n">
        <f aca="false">IF(LEN(A515&amp;"")=0,0,IF(ABS(L515)&gt;0.005,1,0))</f>
        <v>0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customFormat="false" ht="23" hidden="false" customHeight="true" outlineLevel="0" collapsed="false">
      <c r="A516" s="1" t="str">
        <f aca="false">IF(LEN(Base!A516&amp;"")=0,"",Base!A516)</f>
        <v/>
      </c>
      <c r="B516" s="60" t="str">
        <f aca="false">IF(LEN(A516&amp;"")=0,"",Base!D516)</f>
        <v/>
      </c>
      <c r="C516" s="1" t="str">
        <f aca="false">IF(LEN(A516&amp;"")=0,"",Base!C516)</f>
        <v/>
      </c>
      <c r="D516" s="1" t="str">
        <f aca="false">IF(LEN(A516&amp;"")=0,"",Base!G516)</f>
        <v/>
      </c>
      <c r="E516" s="1" t="str">
        <f aca="false">IF(LEN(A516&amp;"")=0,"",Base!E516)</f>
        <v/>
      </c>
      <c r="F516" s="61" t="str">
        <f aca="false">IF(LEN(A516&amp;"")=0,"",IF(Base!I516="-",0,Base!I516))</f>
        <v/>
      </c>
      <c r="G516" s="61" t="str">
        <f aca="false">IF(LEN(A516&amp;"")=0,"",SUM(Base!F516,F516,Base!K516))</f>
        <v/>
      </c>
      <c r="H516" s="61" t="str">
        <f aca="false">IF(LEN(A516&amp;"")=0,"",Base!L516)</f>
        <v/>
      </c>
      <c r="I516" s="61" t="str">
        <f aca="false">IF(LEN(A516&amp;"")=0,"",G516-H516)</f>
        <v/>
      </c>
      <c r="J516" s="61" t="str">
        <f aca="false">IF(LEN(A516&amp;"")=0,"",Base!M516)</f>
        <v/>
      </c>
      <c r="K516" s="1" t="n">
        <f aca="false">IF(OR(LEN(A516&amp;"")=0,$P$3=0),0,IF(AND(B516&gt;=Painel!$B$8,B516&lt;=Painel!$G$8,OR(Painel!$L$8="Todos",C516=Painel!$L$8),OR(Painel!$Q$8="Todos",D516=Painel!$Q$8),OR(Painel!$V$8="Todas",E516=Painel!$V$8)),1,0))</f>
        <v>0</v>
      </c>
      <c r="L516" s="61" t="str">
        <f aca="false">IF(LEN(A516&amp;"")=0,"",J516-I516)</f>
        <v/>
      </c>
      <c r="M516" s="1" t="n">
        <f aca="false">IF(LEN(A516&amp;"")=0,0,IF(COUNTIFS(Base!$A$7:$A$1006,A516)&gt;1,1,0))</f>
        <v>0</v>
      </c>
      <c r="N516" s="1" t="n">
        <f aca="false">IF(LEN(A516&amp;"")=0,0,IF(ABS(L516)&gt;0.005,1,0))</f>
        <v>0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customFormat="false" ht="23" hidden="false" customHeight="true" outlineLevel="0" collapsed="false">
      <c r="A517" s="1" t="str">
        <f aca="false">IF(LEN(Base!A517&amp;"")=0,"",Base!A517)</f>
        <v/>
      </c>
      <c r="B517" s="60" t="str">
        <f aca="false">IF(LEN(A517&amp;"")=0,"",Base!D517)</f>
        <v/>
      </c>
      <c r="C517" s="1" t="str">
        <f aca="false">IF(LEN(A517&amp;"")=0,"",Base!C517)</f>
        <v/>
      </c>
      <c r="D517" s="1" t="str">
        <f aca="false">IF(LEN(A517&amp;"")=0,"",Base!G517)</f>
        <v/>
      </c>
      <c r="E517" s="1" t="str">
        <f aca="false">IF(LEN(A517&amp;"")=0,"",Base!E517)</f>
        <v/>
      </c>
      <c r="F517" s="61" t="str">
        <f aca="false">IF(LEN(A517&amp;"")=0,"",IF(Base!I517="-",0,Base!I517))</f>
        <v/>
      </c>
      <c r="G517" s="61" t="str">
        <f aca="false">IF(LEN(A517&amp;"")=0,"",SUM(Base!F517,F517,Base!K517))</f>
        <v/>
      </c>
      <c r="H517" s="61" t="str">
        <f aca="false">IF(LEN(A517&amp;"")=0,"",Base!L517)</f>
        <v/>
      </c>
      <c r="I517" s="61" t="str">
        <f aca="false">IF(LEN(A517&amp;"")=0,"",G517-H517)</f>
        <v/>
      </c>
      <c r="J517" s="61" t="str">
        <f aca="false">IF(LEN(A517&amp;"")=0,"",Base!M517)</f>
        <v/>
      </c>
      <c r="K517" s="1" t="n">
        <f aca="false">IF(OR(LEN(A517&amp;"")=0,$P$3=0),0,IF(AND(B517&gt;=Painel!$B$8,B517&lt;=Painel!$G$8,OR(Painel!$L$8="Todos",C517=Painel!$L$8),OR(Painel!$Q$8="Todos",D517=Painel!$Q$8),OR(Painel!$V$8="Todas",E517=Painel!$V$8)),1,0))</f>
        <v>0</v>
      </c>
      <c r="L517" s="61" t="str">
        <f aca="false">IF(LEN(A517&amp;"")=0,"",J517-I517)</f>
        <v/>
      </c>
      <c r="M517" s="1" t="n">
        <f aca="false">IF(LEN(A517&amp;"")=0,0,IF(COUNTIFS(Base!$A$7:$A$1006,A517)&gt;1,1,0))</f>
        <v>0</v>
      </c>
      <c r="N517" s="1" t="n">
        <f aca="false">IF(LEN(A517&amp;"")=0,0,IF(ABS(L517)&gt;0.005,1,0))</f>
        <v>0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customFormat="false" ht="23" hidden="false" customHeight="true" outlineLevel="0" collapsed="false">
      <c r="A518" s="1" t="str">
        <f aca="false">IF(LEN(Base!A518&amp;"")=0,"",Base!A518)</f>
        <v/>
      </c>
      <c r="B518" s="60" t="str">
        <f aca="false">IF(LEN(A518&amp;"")=0,"",Base!D518)</f>
        <v/>
      </c>
      <c r="C518" s="1" t="str">
        <f aca="false">IF(LEN(A518&amp;"")=0,"",Base!C518)</f>
        <v/>
      </c>
      <c r="D518" s="1" t="str">
        <f aca="false">IF(LEN(A518&amp;"")=0,"",Base!G518)</f>
        <v/>
      </c>
      <c r="E518" s="1" t="str">
        <f aca="false">IF(LEN(A518&amp;"")=0,"",Base!E518)</f>
        <v/>
      </c>
      <c r="F518" s="61" t="str">
        <f aca="false">IF(LEN(A518&amp;"")=0,"",IF(Base!I518="-",0,Base!I518))</f>
        <v/>
      </c>
      <c r="G518" s="61" t="str">
        <f aca="false">IF(LEN(A518&amp;"")=0,"",SUM(Base!F518,F518,Base!K518))</f>
        <v/>
      </c>
      <c r="H518" s="61" t="str">
        <f aca="false">IF(LEN(A518&amp;"")=0,"",Base!L518)</f>
        <v/>
      </c>
      <c r="I518" s="61" t="str">
        <f aca="false">IF(LEN(A518&amp;"")=0,"",G518-H518)</f>
        <v/>
      </c>
      <c r="J518" s="61" t="str">
        <f aca="false">IF(LEN(A518&amp;"")=0,"",Base!M518)</f>
        <v/>
      </c>
      <c r="K518" s="1" t="n">
        <f aca="false">IF(OR(LEN(A518&amp;"")=0,$P$3=0),0,IF(AND(B518&gt;=Painel!$B$8,B518&lt;=Painel!$G$8,OR(Painel!$L$8="Todos",C518=Painel!$L$8),OR(Painel!$Q$8="Todos",D518=Painel!$Q$8),OR(Painel!$V$8="Todas",E518=Painel!$V$8)),1,0))</f>
        <v>0</v>
      </c>
      <c r="L518" s="61" t="str">
        <f aca="false">IF(LEN(A518&amp;"")=0,"",J518-I518)</f>
        <v/>
      </c>
      <c r="M518" s="1" t="n">
        <f aca="false">IF(LEN(A518&amp;"")=0,0,IF(COUNTIFS(Base!$A$7:$A$1006,A518)&gt;1,1,0))</f>
        <v>0</v>
      </c>
      <c r="N518" s="1" t="n">
        <f aca="false">IF(LEN(A518&amp;"")=0,0,IF(ABS(L518)&gt;0.005,1,0))</f>
        <v>0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customFormat="false" ht="23" hidden="false" customHeight="true" outlineLevel="0" collapsed="false">
      <c r="A519" s="1" t="str">
        <f aca="false">IF(LEN(Base!A519&amp;"")=0,"",Base!A519)</f>
        <v/>
      </c>
      <c r="B519" s="60" t="str">
        <f aca="false">IF(LEN(A519&amp;"")=0,"",Base!D519)</f>
        <v/>
      </c>
      <c r="C519" s="1" t="str">
        <f aca="false">IF(LEN(A519&amp;"")=0,"",Base!C519)</f>
        <v/>
      </c>
      <c r="D519" s="1" t="str">
        <f aca="false">IF(LEN(A519&amp;"")=0,"",Base!G519)</f>
        <v/>
      </c>
      <c r="E519" s="1" t="str">
        <f aca="false">IF(LEN(A519&amp;"")=0,"",Base!E519)</f>
        <v/>
      </c>
      <c r="F519" s="61" t="str">
        <f aca="false">IF(LEN(A519&amp;"")=0,"",IF(Base!I519="-",0,Base!I519))</f>
        <v/>
      </c>
      <c r="G519" s="61" t="str">
        <f aca="false">IF(LEN(A519&amp;"")=0,"",SUM(Base!F519,F519,Base!K519))</f>
        <v/>
      </c>
      <c r="H519" s="61" t="str">
        <f aca="false">IF(LEN(A519&amp;"")=0,"",Base!L519)</f>
        <v/>
      </c>
      <c r="I519" s="61" t="str">
        <f aca="false">IF(LEN(A519&amp;"")=0,"",G519-H519)</f>
        <v/>
      </c>
      <c r="J519" s="61" t="str">
        <f aca="false">IF(LEN(A519&amp;"")=0,"",Base!M519)</f>
        <v/>
      </c>
      <c r="K519" s="1" t="n">
        <f aca="false">IF(OR(LEN(A519&amp;"")=0,$P$3=0),0,IF(AND(B519&gt;=Painel!$B$8,B519&lt;=Painel!$G$8,OR(Painel!$L$8="Todos",C519=Painel!$L$8),OR(Painel!$Q$8="Todos",D519=Painel!$Q$8),OR(Painel!$V$8="Todas",E519=Painel!$V$8)),1,0))</f>
        <v>0</v>
      </c>
      <c r="L519" s="61" t="str">
        <f aca="false">IF(LEN(A519&amp;"")=0,"",J519-I519)</f>
        <v/>
      </c>
      <c r="M519" s="1" t="n">
        <f aca="false">IF(LEN(A519&amp;"")=0,0,IF(COUNTIFS(Base!$A$7:$A$1006,A519)&gt;1,1,0))</f>
        <v>0</v>
      </c>
      <c r="N519" s="1" t="n">
        <f aca="false">IF(LEN(A519&amp;"")=0,0,IF(ABS(L519)&gt;0.005,1,0))</f>
        <v>0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customFormat="false" ht="23" hidden="false" customHeight="true" outlineLevel="0" collapsed="false">
      <c r="A520" s="1" t="str">
        <f aca="false">IF(LEN(Base!A520&amp;"")=0,"",Base!A520)</f>
        <v/>
      </c>
      <c r="B520" s="60" t="str">
        <f aca="false">IF(LEN(A520&amp;"")=0,"",Base!D520)</f>
        <v/>
      </c>
      <c r="C520" s="1" t="str">
        <f aca="false">IF(LEN(A520&amp;"")=0,"",Base!C520)</f>
        <v/>
      </c>
      <c r="D520" s="1" t="str">
        <f aca="false">IF(LEN(A520&amp;"")=0,"",Base!G520)</f>
        <v/>
      </c>
      <c r="E520" s="1" t="str">
        <f aca="false">IF(LEN(A520&amp;"")=0,"",Base!E520)</f>
        <v/>
      </c>
      <c r="F520" s="61" t="str">
        <f aca="false">IF(LEN(A520&amp;"")=0,"",IF(Base!I520="-",0,Base!I520))</f>
        <v/>
      </c>
      <c r="G520" s="61" t="str">
        <f aca="false">IF(LEN(A520&amp;"")=0,"",SUM(Base!F520,F520,Base!K520))</f>
        <v/>
      </c>
      <c r="H520" s="61" t="str">
        <f aca="false">IF(LEN(A520&amp;"")=0,"",Base!L520)</f>
        <v/>
      </c>
      <c r="I520" s="61" t="str">
        <f aca="false">IF(LEN(A520&amp;"")=0,"",G520-H520)</f>
        <v/>
      </c>
      <c r="J520" s="61" t="str">
        <f aca="false">IF(LEN(A520&amp;"")=0,"",Base!M520)</f>
        <v/>
      </c>
      <c r="K520" s="1" t="n">
        <f aca="false">IF(OR(LEN(A520&amp;"")=0,$P$3=0),0,IF(AND(B520&gt;=Painel!$B$8,B520&lt;=Painel!$G$8,OR(Painel!$L$8="Todos",C520=Painel!$L$8),OR(Painel!$Q$8="Todos",D520=Painel!$Q$8),OR(Painel!$V$8="Todas",E520=Painel!$V$8)),1,0))</f>
        <v>0</v>
      </c>
      <c r="L520" s="61" t="str">
        <f aca="false">IF(LEN(A520&amp;"")=0,"",J520-I520)</f>
        <v/>
      </c>
      <c r="M520" s="1" t="n">
        <f aca="false">IF(LEN(A520&amp;"")=0,0,IF(COUNTIFS(Base!$A$7:$A$1006,A520)&gt;1,1,0))</f>
        <v>0</v>
      </c>
      <c r="N520" s="1" t="n">
        <f aca="false">IF(LEN(A520&amp;"")=0,0,IF(ABS(L520)&gt;0.005,1,0))</f>
        <v>0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customFormat="false" ht="23" hidden="false" customHeight="true" outlineLevel="0" collapsed="false">
      <c r="A521" s="1" t="str">
        <f aca="false">IF(LEN(Base!A521&amp;"")=0,"",Base!A521)</f>
        <v/>
      </c>
      <c r="B521" s="60" t="str">
        <f aca="false">IF(LEN(A521&amp;"")=0,"",Base!D521)</f>
        <v/>
      </c>
      <c r="C521" s="1" t="str">
        <f aca="false">IF(LEN(A521&amp;"")=0,"",Base!C521)</f>
        <v/>
      </c>
      <c r="D521" s="1" t="str">
        <f aca="false">IF(LEN(A521&amp;"")=0,"",Base!G521)</f>
        <v/>
      </c>
      <c r="E521" s="1" t="str">
        <f aca="false">IF(LEN(A521&amp;"")=0,"",Base!E521)</f>
        <v/>
      </c>
      <c r="F521" s="61" t="str">
        <f aca="false">IF(LEN(A521&amp;"")=0,"",IF(Base!I521="-",0,Base!I521))</f>
        <v/>
      </c>
      <c r="G521" s="61" t="str">
        <f aca="false">IF(LEN(A521&amp;"")=0,"",SUM(Base!F521,F521,Base!K521))</f>
        <v/>
      </c>
      <c r="H521" s="61" t="str">
        <f aca="false">IF(LEN(A521&amp;"")=0,"",Base!L521)</f>
        <v/>
      </c>
      <c r="I521" s="61" t="str">
        <f aca="false">IF(LEN(A521&amp;"")=0,"",G521-H521)</f>
        <v/>
      </c>
      <c r="J521" s="61" t="str">
        <f aca="false">IF(LEN(A521&amp;"")=0,"",Base!M521)</f>
        <v/>
      </c>
      <c r="K521" s="1" t="n">
        <f aca="false">IF(OR(LEN(A521&amp;"")=0,$P$3=0),0,IF(AND(B521&gt;=Painel!$B$8,B521&lt;=Painel!$G$8,OR(Painel!$L$8="Todos",C521=Painel!$L$8),OR(Painel!$Q$8="Todos",D521=Painel!$Q$8),OR(Painel!$V$8="Todas",E521=Painel!$V$8)),1,0))</f>
        <v>0</v>
      </c>
      <c r="L521" s="61" t="str">
        <f aca="false">IF(LEN(A521&amp;"")=0,"",J521-I521)</f>
        <v/>
      </c>
      <c r="M521" s="1" t="n">
        <f aca="false">IF(LEN(A521&amp;"")=0,0,IF(COUNTIFS(Base!$A$7:$A$1006,A521)&gt;1,1,0))</f>
        <v>0</v>
      </c>
      <c r="N521" s="1" t="n">
        <f aca="false">IF(LEN(A521&amp;"")=0,0,IF(ABS(L521)&gt;0.005,1,0))</f>
        <v>0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customFormat="false" ht="23" hidden="false" customHeight="true" outlineLevel="0" collapsed="false">
      <c r="A522" s="1" t="str">
        <f aca="false">IF(LEN(Base!A522&amp;"")=0,"",Base!A522)</f>
        <v/>
      </c>
      <c r="B522" s="60" t="str">
        <f aca="false">IF(LEN(A522&amp;"")=0,"",Base!D522)</f>
        <v/>
      </c>
      <c r="C522" s="1" t="str">
        <f aca="false">IF(LEN(A522&amp;"")=0,"",Base!C522)</f>
        <v/>
      </c>
      <c r="D522" s="1" t="str">
        <f aca="false">IF(LEN(A522&amp;"")=0,"",Base!G522)</f>
        <v/>
      </c>
      <c r="E522" s="1" t="str">
        <f aca="false">IF(LEN(A522&amp;"")=0,"",Base!E522)</f>
        <v/>
      </c>
      <c r="F522" s="61" t="str">
        <f aca="false">IF(LEN(A522&amp;"")=0,"",IF(Base!I522="-",0,Base!I522))</f>
        <v/>
      </c>
      <c r="G522" s="61" t="str">
        <f aca="false">IF(LEN(A522&amp;"")=0,"",SUM(Base!F522,F522,Base!K522))</f>
        <v/>
      </c>
      <c r="H522" s="61" t="str">
        <f aca="false">IF(LEN(A522&amp;"")=0,"",Base!L522)</f>
        <v/>
      </c>
      <c r="I522" s="61" t="str">
        <f aca="false">IF(LEN(A522&amp;"")=0,"",G522-H522)</f>
        <v/>
      </c>
      <c r="J522" s="61" t="str">
        <f aca="false">IF(LEN(A522&amp;"")=0,"",Base!M522)</f>
        <v/>
      </c>
      <c r="K522" s="1" t="n">
        <f aca="false">IF(OR(LEN(A522&amp;"")=0,$P$3=0),0,IF(AND(B522&gt;=Painel!$B$8,B522&lt;=Painel!$G$8,OR(Painel!$L$8="Todos",C522=Painel!$L$8),OR(Painel!$Q$8="Todos",D522=Painel!$Q$8),OR(Painel!$V$8="Todas",E522=Painel!$V$8)),1,0))</f>
        <v>0</v>
      </c>
      <c r="L522" s="61" t="str">
        <f aca="false">IF(LEN(A522&amp;"")=0,"",J522-I522)</f>
        <v/>
      </c>
      <c r="M522" s="1" t="n">
        <f aca="false">IF(LEN(A522&amp;"")=0,0,IF(COUNTIFS(Base!$A$7:$A$1006,A522)&gt;1,1,0))</f>
        <v>0</v>
      </c>
      <c r="N522" s="1" t="n">
        <f aca="false">IF(LEN(A522&amp;"")=0,0,IF(ABS(L522)&gt;0.005,1,0))</f>
        <v>0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customFormat="false" ht="23" hidden="false" customHeight="true" outlineLevel="0" collapsed="false">
      <c r="A523" s="1" t="str">
        <f aca="false">IF(LEN(Base!A523&amp;"")=0,"",Base!A523)</f>
        <v/>
      </c>
      <c r="B523" s="60" t="str">
        <f aca="false">IF(LEN(A523&amp;"")=0,"",Base!D523)</f>
        <v/>
      </c>
      <c r="C523" s="1" t="str">
        <f aca="false">IF(LEN(A523&amp;"")=0,"",Base!C523)</f>
        <v/>
      </c>
      <c r="D523" s="1" t="str">
        <f aca="false">IF(LEN(A523&amp;"")=0,"",Base!G523)</f>
        <v/>
      </c>
      <c r="E523" s="1" t="str">
        <f aca="false">IF(LEN(A523&amp;"")=0,"",Base!E523)</f>
        <v/>
      </c>
      <c r="F523" s="61" t="str">
        <f aca="false">IF(LEN(A523&amp;"")=0,"",IF(Base!I523="-",0,Base!I523))</f>
        <v/>
      </c>
      <c r="G523" s="61" t="str">
        <f aca="false">IF(LEN(A523&amp;"")=0,"",SUM(Base!F523,F523,Base!K523))</f>
        <v/>
      </c>
      <c r="H523" s="61" t="str">
        <f aca="false">IF(LEN(A523&amp;"")=0,"",Base!L523)</f>
        <v/>
      </c>
      <c r="I523" s="61" t="str">
        <f aca="false">IF(LEN(A523&amp;"")=0,"",G523-H523)</f>
        <v/>
      </c>
      <c r="J523" s="61" t="str">
        <f aca="false">IF(LEN(A523&amp;"")=0,"",Base!M523)</f>
        <v/>
      </c>
      <c r="K523" s="1" t="n">
        <f aca="false">IF(OR(LEN(A523&amp;"")=0,$P$3=0),0,IF(AND(B523&gt;=Painel!$B$8,B523&lt;=Painel!$G$8,OR(Painel!$L$8="Todos",C523=Painel!$L$8),OR(Painel!$Q$8="Todos",D523=Painel!$Q$8),OR(Painel!$V$8="Todas",E523=Painel!$V$8)),1,0))</f>
        <v>0</v>
      </c>
      <c r="L523" s="61" t="str">
        <f aca="false">IF(LEN(A523&amp;"")=0,"",J523-I523)</f>
        <v/>
      </c>
      <c r="M523" s="1" t="n">
        <f aca="false">IF(LEN(A523&amp;"")=0,0,IF(COUNTIFS(Base!$A$7:$A$1006,A523)&gt;1,1,0))</f>
        <v>0</v>
      </c>
      <c r="N523" s="1" t="n">
        <f aca="false">IF(LEN(A523&amp;"")=0,0,IF(ABS(L523)&gt;0.005,1,0))</f>
        <v>0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customFormat="false" ht="23" hidden="false" customHeight="true" outlineLevel="0" collapsed="false">
      <c r="A524" s="1" t="str">
        <f aca="false">IF(LEN(Base!A524&amp;"")=0,"",Base!A524)</f>
        <v/>
      </c>
      <c r="B524" s="60" t="str">
        <f aca="false">IF(LEN(A524&amp;"")=0,"",Base!D524)</f>
        <v/>
      </c>
      <c r="C524" s="1" t="str">
        <f aca="false">IF(LEN(A524&amp;"")=0,"",Base!C524)</f>
        <v/>
      </c>
      <c r="D524" s="1" t="str">
        <f aca="false">IF(LEN(A524&amp;"")=0,"",Base!G524)</f>
        <v/>
      </c>
      <c r="E524" s="1" t="str">
        <f aca="false">IF(LEN(A524&amp;"")=0,"",Base!E524)</f>
        <v/>
      </c>
      <c r="F524" s="61" t="str">
        <f aca="false">IF(LEN(A524&amp;"")=0,"",IF(Base!I524="-",0,Base!I524))</f>
        <v/>
      </c>
      <c r="G524" s="61" t="str">
        <f aca="false">IF(LEN(A524&amp;"")=0,"",SUM(Base!F524,F524,Base!K524))</f>
        <v/>
      </c>
      <c r="H524" s="61" t="str">
        <f aca="false">IF(LEN(A524&amp;"")=0,"",Base!L524)</f>
        <v/>
      </c>
      <c r="I524" s="61" t="str">
        <f aca="false">IF(LEN(A524&amp;"")=0,"",G524-H524)</f>
        <v/>
      </c>
      <c r="J524" s="61" t="str">
        <f aca="false">IF(LEN(A524&amp;"")=0,"",Base!M524)</f>
        <v/>
      </c>
      <c r="K524" s="1" t="n">
        <f aca="false">IF(OR(LEN(A524&amp;"")=0,$P$3=0),0,IF(AND(B524&gt;=Painel!$B$8,B524&lt;=Painel!$G$8,OR(Painel!$L$8="Todos",C524=Painel!$L$8),OR(Painel!$Q$8="Todos",D524=Painel!$Q$8),OR(Painel!$V$8="Todas",E524=Painel!$V$8)),1,0))</f>
        <v>0</v>
      </c>
      <c r="L524" s="61" t="str">
        <f aca="false">IF(LEN(A524&amp;"")=0,"",J524-I524)</f>
        <v/>
      </c>
      <c r="M524" s="1" t="n">
        <f aca="false">IF(LEN(A524&amp;"")=0,0,IF(COUNTIFS(Base!$A$7:$A$1006,A524)&gt;1,1,0))</f>
        <v>0</v>
      </c>
      <c r="N524" s="1" t="n">
        <f aca="false">IF(LEN(A524&amp;"")=0,0,IF(ABS(L524)&gt;0.005,1,0))</f>
        <v>0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customFormat="false" ht="23" hidden="false" customHeight="true" outlineLevel="0" collapsed="false">
      <c r="A525" s="1" t="str">
        <f aca="false">IF(LEN(Base!A525&amp;"")=0,"",Base!A525)</f>
        <v/>
      </c>
      <c r="B525" s="60" t="str">
        <f aca="false">IF(LEN(A525&amp;"")=0,"",Base!D525)</f>
        <v/>
      </c>
      <c r="C525" s="1" t="str">
        <f aca="false">IF(LEN(A525&amp;"")=0,"",Base!C525)</f>
        <v/>
      </c>
      <c r="D525" s="1" t="str">
        <f aca="false">IF(LEN(A525&amp;"")=0,"",Base!G525)</f>
        <v/>
      </c>
      <c r="E525" s="1" t="str">
        <f aca="false">IF(LEN(A525&amp;"")=0,"",Base!E525)</f>
        <v/>
      </c>
      <c r="F525" s="61" t="str">
        <f aca="false">IF(LEN(A525&amp;"")=0,"",IF(Base!I525="-",0,Base!I525))</f>
        <v/>
      </c>
      <c r="G525" s="61" t="str">
        <f aca="false">IF(LEN(A525&amp;"")=0,"",SUM(Base!F525,F525,Base!K525))</f>
        <v/>
      </c>
      <c r="H525" s="61" t="str">
        <f aca="false">IF(LEN(A525&amp;"")=0,"",Base!L525)</f>
        <v/>
      </c>
      <c r="I525" s="61" t="str">
        <f aca="false">IF(LEN(A525&amp;"")=0,"",G525-H525)</f>
        <v/>
      </c>
      <c r="J525" s="61" t="str">
        <f aca="false">IF(LEN(A525&amp;"")=0,"",Base!M525)</f>
        <v/>
      </c>
      <c r="K525" s="1" t="n">
        <f aca="false">IF(OR(LEN(A525&amp;"")=0,$P$3=0),0,IF(AND(B525&gt;=Painel!$B$8,B525&lt;=Painel!$G$8,OR(Painel!$L$8="Todos",C525=Painel!$L$8),OR(Painel!$Q$8="Todos",D525=Painel!$Q$8),OR(Painel!$V$8="Todas",E525=Painel!$V$8)),1,0))</f>
        <v>0</v>
      </c>
      <c r="L525" s="61" t="str">
        <f aca="false">IF(LEN(A525&amp;"")=0,"",J525-I525)</f>
        <v/>
      </c>
      <c r="M525" s="1" t="n">
        <f aca="false">IF(LEN(A525&amp;"")=0,0,IF(COUNTIFS(Base!$A$7:$A$1006,A525)&gt;1,1,0))</f>
        <v>0</v>
      </c>
      <c r="N525" s="1" t="n">
        <f aca="false">IF(LEN(A525&amp;"")=0,0,IF(ABS(L525)&gt;0.005,1,0))</f>
        <v>0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customFormat="false" ht="23" hidden="false" customHeight="true" outlineLevel="0" collapsed="false">
      <c r="A526" s="1" t="str">
        <f aca="false">IF(LEN(Base!A526&amp;"")=0,"",Base!A526)</f>
        <v/>
      </c>
      <c r="B526" s="60" t="str">
        <f aca="false">IF(LEN(A526&amp;"")=0,"",Base!D526)</f>
        <v/>
      </c>
      <c r="C526" s="1" t="str">
        <f aca="false">IF(LEN(A526&amp;"")=0,"",Base!C526)</f>
        <v/>
      </c>
      <c r="D526" s="1" t="str">
        <f aca="false">IF(LEN(A526&amp;"")=0,"",Base!G526)</f>
        <v/>
      </c>
      <c r="E526" s="1" t="str">
        <f aca="false">IF(LEN(A526&amp;"")=0,"",Base!E526)</f>
        <v/>
      </c>
      <c r="F526" s="61" t="str">
        <f aca="false">IF(LEN(A526&amp;"")=0,"",IF(Base!I526="-",0,Base!I526))</f>
        <v/>
      </c>
      <c r="G526" s="61" t="str">
        <f aca="false">IF(LEN(A526&amp;"")=0,"",SUM(Base!F526,F526,Base!K526))</f>
        <v/>
      </c>
      <c r="H526" s="61" t="str">
        <f aca="false">IF(LEN(A526&amp;"")=0,"",Base!L526)</f>
        <v/>
      </c>
      <c r="I526" s="61" t="str">
        <f aca="false">IF(LEN(A526&amp;"")=0,"",G526-H526)</f>
        <v/>
      </c>
      <c r="J526" s="61" t="str">
        <f aca="false">IF(LEN(A526&amp;"")=0,"",Base!M526)</f>
        <v/>
      </c>
      <c r="K526" s="1" t="n">
        <f aca="false">IF(OR(LEN(A526&amp;"")=0,$P$3=0),0,IF(AND(B526&gt;=Painel!$B$8,B526&lt;=Painel!$G$8,OR(Painel!$L$8="Todos",C526=Painel!$L$8),OR(Painel!$Q$8="Todos",D526=Painel!$Q$8),OR(Painel!$V$8="Todas",E526=Painel!$V$8)),1,0))</f>
        <v>0</v>
      </c>
      <c r="L526" s="61" t="str">
        <f aca="false">IF(LEN(A526&amp;"")=0,"",J526-I526)</f>
        <v/>
      </c>
      <c r="M526" s="1" t="n">
        <f aca="false">IF(LEN(A526&amp;"")=0,0,IF(COUNTIFS(Base!$A$7:$A$1006,A526)&gt;1,1,0))</f>
        <v>0</v>
      </c>
      <c r="N526" s="1" t="n">
        <f aca="false">IF(LEN(A526&amp;"")=0,0,IF(ABS(L526)&gt;0.005,1,0))</f>
        <v>0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customFormat="false" ht="23" hidden="false" customHeight="true" outlineLevel="0" collapsed="false">
      <c r="A527" s="1" t="str">
        <f aca="false">IF(LEN(Base!A527&amp;"")=0,"",Base!A527)</f>
        <v/>
      </c>
      <c r="B527" s="60" t="str">
        <f aca="false">IF(LEN(A527&amp;"")=0,"",Base!D527)</f>
        <v/>
      </c>
      <c r="C527" s="1" t="str">
        <f aca="false">IF(LEN(A527&amp;"")=0,"",Base!C527)</f>
        <v/>
      </c>
      <c r="D527" s="1" t="str">
        <f aca="false">IF(LEN(A527&amp;"")=0,"",Base!G527)</f>
        <v/>
      </c>
      <c r="E527" s="1" t="str">
        <f aca="false">IF(LEN(A527&amp;"")=0,"",Base!E527)</f>
        <v/>
      </c>
      <c r="F527" s="61" t="str">
        <f aca="false">IF(LEN(A527&amp;"")=0,"",IF(Base!I527="-",0,Base!I527))</f>
        <v/>
      </c>
      <c r="G527" s="61" t="str">
        <f aca="false">IF(LEN(A527&amp;"")=0,"",SUM(Base!F527,F527,Base!K527))</f>
        <v/>
      </c>
      <c r="H527" s="61" t="str">
        <f aca="false">IF(LEN(A527&amp;"")=0,"",Base!L527)</f>
        <v/>
      </c>
      <c r="I527" s="61" t="str">
        <f aca="false">IF(LEN(A527&amp;"")=0,"",G527-H527)</f>
        <v/>
      </c>
      <c r="J527" s="61" t="str">
        <f aca="false">IF(LEN(A527&amp;"")=0,"",Base!M527)</f>
        <v/>
      </c>
      <c r="K527" s="1" t="n">
        <f aca="false">IF(OR(LEN(A527&amp;"")=0,$P$3=0),0,IF(AND(B527&gt;=Painel!$B$8,B527&lt;=Painel!$G$8,OR(Painel!$L$8="Todos",C527=Painel!$L$8),OR(Painel!$Q$8="Todos",D527=Painel!$Q$8),OR(Painel!$V$8="Todas",E527=Painel!$V$8)),1,0))</f>
        <v>0</v>
      </c>
      <c r="L527" s="61" t="str">
        <f aca="false">IF(LEN(A527&amp;"")=0,"",J527-I527)</f>
        <v/>
      </c>
      <c r="M527" s="1" t="n">
        <f aca="false">IF(LEN(A527&amp;"")=0,0,IF(COUNTIFS(Base!$A$7:$A$1006,A527)&gt;1,1,0))</f>
        <v>0</v>
      </c>
      <c r="N527" s="1" t="n">
        <f aca="false">IF(LEN(A527&amp;"")=0,0,IF(ABS(L527)&gt;0.005,1,0))</f>
        <v>0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customFormat="false" ht="23" hidden="false" customHeight="true" outlineLevel="0" collapsed="false">
      <c r="A528" s="1" t="str">
        <f aca="false">IF(LEN(Base!A528&amp;"")=0,"",Base!A528)</f>
        <v/>
      </c>
      <c r="B528" s="60" t="str">
        <f aca="false">IF(LEN(A528&amp;"")=0,"",Base!D528)</f>
        <v/>
      </c>
      <c r="C528" s="1" t="str">
        <f aca="false">IF(LEN(A528&amp;"")=0,"",Base!C528)</f>
        <v/>
      </c>
      <c r="D528" s="1" t="str">
        <f aca="false">IF(LEN(A528&amp;"")=0,"",Base!G528)</f>
        <v/>
      </c>
      <c r="E528" s="1" t="str">
        <f aca="false">IF(LEN(A528&amp;"")=0,"",Base!E528)</f>
        <v/>
      </c>
      <c r="F528" s="61" t="str">
        <f aca="false">IF(LEN(A528&amp;"")=0,"",IF(Base!I528="-",0,Base!I528))</f>
        <v/>
      </c>
      <c r="G528" s="61" t="str">
        <f aca="false">IF(LEN(A528&amp;"")=0,"",SUM(Base!F528,F528,Base!K528))</f>
        <v/>
      </c>
      <c r="H528" s="61" t="str">
        <f aca="false">IF(LEN(A528&amp;"")=0,"",Base!L528)</f>
        <v/>
      </c>
      <c r="I528" s="61" t="str">
        <f aca="false">IF(LEN(A528&amp;"")=0,"",G528-H528)</f>
        <v/>
      </c>
      <c r="J528" s="61" t="str">
        <f aca="false">IF(LEN(A528&amp;"")=0,"",Base!M528)</f>
        <v/>
      </c>
      <c r="K528" s="1" t="n">
        <f aca="false">IF(OR(LEN(A528&amp;"")=0,$P$3=0),0,IF(AND(B528&gt;=Painel!$B$8,B528&lt;=Painel!$G$8,OR(Painel!$L$8="Todos",C528=Painel!$L$8),OR(Painel!$Q$8="Todos",D528=Painel!$Q$8),OR(Painel!$V$8="Todas",E528=Painel!$V$8)),1,0))</f>
        <v>0</v>
      </c>
      <c r="L528" s="61" t="str">
        <f aca="false">IF(LEN(A528&amp;"")=0,"",J528-I528)</f>
        <v/>
      </c>
      <c r="M528" s="1" t="n">
        <f aca="false">IF(LEN(A528&amp;"")=0,0,IF(COUNTIFS(Base!$A$7:$A$1006,A528)&gt;1,1,0))</f>
        <v>0</v>
      </c>
      <c r="N528" s="1" t="n">
        <f aca="false">IF(LEN(A528&amp;"")=0,0,IF(ABS(L528)&gt;0.005,1,0))</f>
        <v>0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customFormat="false" ht="23" hidden="false" customHeight="true" outlineLevel="0" collapsed="false">
      <c r="A529" s="1" t="str">
        <f aca="false">IF(LEN(Base!A529&amp;"")=0,"",Base!A529)</f>
        <v/>
      </c>
      <c r="B529" s="60" t="str">
        <f aca="false">IF(LEN(A529&amp;"")=0,"",Base!D529)</f>
        <v/>
      </c>
      <c r="C529" s="1" t="str">
        <f aca="false">IF(LEN(A529&amp;"")=0,"",Base!C529)</f>
        <v/>
      </c>
      <c r="D529" s="1" t="str">
        <f aca="false">IF(LEN(A529&amp;"")=0,"",Base!G529)</f>
        <v/>
      </c>
      <c r="E529" s="1" t="str">
        <f aca="false">IF(LEN(A529&amp;"")=0,"",Base!E529)</f>
        <v/>
      </c>
      <c r="F529" s="61" t="str">
        <f aca="false">IF(LEN(A529&amp;"")=0,"",IF(Base!I529="-",0,Base!I529))</f>
        <v/>
      </c>
      <c r="G529" s="61" t="str">
        <f aca="false">IF(LEN(A529&amp;"")=0,"",SUM(Base!F529,F529,Base!K529))</f>
        <v/>
      </c>
      <c r="H529" s="61" t="str">
        <f aca="false">IF(LEN(A529&amp;"")=0,"",Base!L529)</f>
        <v/>
      </c>
      <c r="I529" s="61" t="str">
        <f aca="false">IF(LEN(A529&amp;"")=0,"",G529-H529)</f>
        <v/>
      </c>
      <c r="J529" s="61" t="str">
        <f aca="false">IF(LEN(A529&amp;"")=0,"",Base!M529)</f>
        <v/>
      </c>
      <c r="K529" s="1" t="n">
        <f aca="false">IF(OR(LEN(A529&amp;"")=0,$P$3=0),0,IF(AND(B529&gt;=Painel!$B$8,B529&lt;=Painel!$G$8,OR(Painel!$L$8="Todos",C529=Painel!$L$8),OR(Painel!$Q$8="Todos",D529=Painel!$Q$8),OR(Painel!$V$8="Todas",E529=Painel!$V$8)),1,0))</f>
        <v>0</v>
      </c>
      <c r="L529" s="61" t="str">
        <f aca="false">IF(LEN(A529&amp;"")=0,"",J529-I529)</f>
        <v/>
      </c>
      <c r="M529" s="1" t="n">
        <f aca="false">IF(LEN(A529&amp;"")=0,0,IF(COUNTIFS(Base!$A$7:$A$1006,A529)&gt;1,1,0))</f>
        <v>0</v>
      </c>
      <c r="N529" s="1" t="n">
        <f aca="false">IF(LEN(A529&amp;"")=0,0,IF(ABS(L529)&gt;0.005,1,0))</f>
        <v>0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customFormat="false" ht="23" hidden="false" customHeight="true" outlineLevel="0" collapsed="false">
      <c r="A530" s="1" t="str">
        <f aca="false">IF(LEN(Base!A530&amp;"")=0,"",Base!A530)</f>
        <v/>
      </c>
      <c r="B530" s="60" t="str">
        <f aca="false">IF(LEN(A530&amp;"")=0,"",Base!D530)</f>
        <v/>
      </c>
      <c r="C530" s="1" t="str">
        <f aca="false">IF(LEN(A530&amp;"")=0,"",Base!C530)</f>
        <v/>
      </c>
      <c r="D530" s="1" t="str">
        <f aca="false">IF(LEN(A530&amp;"")=0,"",Base!G530)</f>
        <v/>
      </c>
      <c r="E530" s="1" t="str">
        <f aca="false">IF(LEN(A530&amp;"")=0,"",Base!E530)</f>
        <v/>
      </c>
      <c r="F530" s="61" t="str">
        <f aca="false">IF(LEN(A530&amp;"")=0,"",IF(Base!I530="-",0,Base!I530))</f>
        <v/>
      </c>
      <c r="G530" s="61" t="str">
        <f aca="false">IF(LEN(A530&amp;"")=0,"",SUM(Base!F530,F530,Base!K530))</f>
        <v/>
      </c>
      <c r="H530" s="61" t="str">
        <f aca="false">IF(LEN(A530&amp;"")=0,"",Base!L530)</f>
        <v/>
      </c>
      <c r="I530" s="61" t="str">
        <f aca="false">IF(LEN(A530&amp;"")=0,"",G530-H530)</f>
        <v/>
      </c>
      <c r="J530" s="61" t="str">
        <f aca="false">IF(LEN(A530&amp;"")=0,"",Base!M530)</f>
        <v/>
      </c>
      <c r="K530" s="1" t="n">
        <f aca="false">IF(OR(LEN(A530&amp;"")=0,$P$3=0),0,IF(AND(B530&gt;=Painel!$B$8,B530&lt;=Painel!$G$8,OR(Painel!$L$8="Todos",C530=Painel!$L$8),OR(Painel!$Q$8="Todos",D530=Painel!$Q$8),OR(Painel!$V$8="Todas",E530=Painel!$V$8)),1,0))</f>
        <v>0</v>
      </c>
      <c r="L530" s="61" t="str">
        <f aca="false">IF(LEN(A530&amp;"")=0,"",J530-I530)</f>
        <v/>
      </c>
      <c r="M530" s="1" t="n">
        <f aca="false">IF(LEN(A530&amp;"")=0,0,IF(COUNTIFS(Base!$A$7:$A$1006,A530)&gt;1,1,0))</f>
        <v>0</v>
      </c>
      <c r="N530" s="1" t="n">
        <f aca="false">IF(LEN(A530&amp;"")=0,0,IF(ABS(L530)&gt;0.005,1,0))</f>
        <v>0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customFormat="false" ht="23" hidden="false" customHeight="true" outlineLevel="0" collapsed="false">
      <c r="A531" s="1" t="str">
        <f aca="false">IF(LEN(Base!A531&amp;"")=0,"",Base!A531)</f>
        <v/>
      </c>
      <c r="B531" s="60" t="str">
        <f aca="false">IF(LEN(A531&amp;"")=0,"",Base!D531)</f>
        <v/>
      </c>
      <c r="C531" s="1" t="str">
        <f aca="false">IF(LEN(A531&amp;"")=0,"",Base!C531)</f>
        <v/>
      </c>
      <c r="D531" s="1" t="str">
        <f aca="false">IF(LEN(A531&amp;"")=0,"",Base!G531)</f>
        <v/>
      </c>
      <c r="E531" s="1" t="str">
        <f aca="false">IF(LEN(A531&amp;"")=0,"",Base!E531)</f>
        <v/>
      </c>
      <c r="F531" s="61" t="str">
        <f aca="false">IF(LEN(A531&amp;"")=0,"",IF(Base!I531="-",0,Base!I531))</f>
        <v/>
      </c>
      <c r="G531" s="61" t="str">
        <f aca="false">IF(LEN(A531&amp;"")=0,"",SUM(Base!F531,F531,Base!K531))</f>
        <v/>
      </c>
      <c r="H531" s="61" t="str">
        <f aca="false">IF(LEN(A531&amp;"")=0,"",Base!L531)</f>
        <v/>
      </c>
      <c r="I531" s="61" t="str">
        <f aca="false">IF(LEN(A531&amp;"")=0,"",G531-H531)</f>
        <v/>
      </c>
      <c r="J531" s="61" t="str">
        <f aca="false">IF(LEN(A531&amp;"")=0,"",Base!M531)</f>
        <v/>
      </c>
      <c r="K531" s="1" t="n">
        <f aca="false">IF(OR(LEN(A531&amp;"")=0,$P$3=0),0,IF(AND(B531&gt;=Painel!$B$8,B531&lt;=Painel!$G$8,OR(Painel!$L$8="Todos",C531=Painel!$L$8),OR(Painel!$Q$8="Todos",D531=Painel!$Q$8),OR(Painel!$V$8="Todas",E531=Painel!$V$8)),1,0))</f>
        <v>0</v>
      </c>
      <c r="L531" s="61" t="str">
        <f aca="false">IF(LEN(A531&amp;"")=0,"",J531-I531)</f>
        <v/>
      </c>
      <c r="M531" s="1" t="n">
        <f aca="false">IF(LEN(A531&amp;"")=0,0,IF(COUNTIFS(Base!$A$7:$A$1006,A531)&gt;1,1,0))</f>
        <v>0</v>
      </c>
      <c r="N531" s="1" t="n">
        <f aca="false">IF(LEN(A531&amp;"")=0,0,IF(ABS(L531)&gt;0.005,1,0))</f>
        <v>0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customFormat="false" ht="23" hidden="false" customHeight="true" outlineLevel="0" collapsed="false">
      <c r="A532" s="1" t="str">
        <f aca="false">IF(LEN(Base!A532&amp;"")=0,"",Base!A532)</f>
        <v/>
      </c>
      <c r="B532" s="60" t="str">
        <f aca="false">IF(LEN(A532&amp;"")=0,"",Base!D532)</f>
        <v/>
      </c>
      <c r="C532" s="1" t="str">
        <f aca="false">IF(LEN(A532&amp;"")=0,"",Base!C532)</f>
        <v/>
      </c>
      <c r="D532" s="1" t="str">
        <f aca="false">IF(LEN(A532&amp;"")=0,"",Base!G532)</f>
        <v/>
      </c>
      <c r="E532" s="1" t="str">
        <f aca="false">IF(LEN(A532&amp;"")=0,"",Base!E532)</f>
        <v/>
      </c>
      <c r="F532" s="61" t="str">
        <f aca="false">IF(LEN(A532&amp;"")=0,"",IF(Base!I532="-",0,Base!I532))</f>
        <v/>
      </c>
      <c r="G532" s="61" t="str">
        <f aca="false">IF(LEN(A532&amp;"")=0,"",SUM(Base!F532,F532,Base!K532))</f>
        <v/>
      </c>
      <c r="H532" s="61" t="str">
        <f aca="false">IF(LEN(A532&amp;"")=0,"",Base!L532)</f>
        <v/>
      </c>
      <c r="I532" s="61" t="str">
        <f aca="false">IF(LEN(A532&amp;"")=0,"",G532-H532)</f>
        <v/>
      </c>
      <c r="J532" s="61" t="str">
        <f aca="false">IF(LEN(A532&amp;"")=0,"",Base!M532)</f>
        <v/>
      </c>
      <c r="K532" s="1" t="n">
        <f aca="false">IF(OR(LEN(A532&amp;"")=0,$P$3=0),0,IF(AND(B532&gt;=Painel!$B$8,B532&lt;=Painel!$G$8,OR(Painel!$L$8="Todos",C532=Painel!$L$8),OR(Painel!$Q$8="Todos",D532=Painel!$Q$8),OR(Painel!$V$8="Todas",E532=Painel!$V$8)),1,0))</f>
        <v>0</v>
      </c>
      <c r="L532" s="61" t="str">
        <f aca="false">IF(LEN(A532&amp;"")=0,"",J532-I532)</f>
        <v/>
      </c>
      <c r="M532" s="1" t="n">
        <f aca="false">IF(LEN(A532&amp;"")=0,0,IF(COUNTIFS(Base!$A$7:$A$1006,A532)&gt;1,1,0))</f>
        <v>0</v>
      </c>
      <c r="N532" s="1" t="n">
        <f aca="false">IF(LEN(A532&amp;"")=0,0,IF(ABS(L532)&gt;0.005,1,0))</f>
        <v>0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customFormat="false" ht="23" hidden="false" customHeight="true" outlineLevel="0" collapsed="false">
      <c r="A533" s="1" t="str">
        <f aca="false">IF(LEN(Base!A533&amp;"")=0,"",Base!A533)</f>
        <v/>
      </c>
      <c r="B533" s="60" t="str">
        <f aca="false">IF(LEN(A533&amp;"")=0,"",Base!D533)</f>
        <v/>
      </c>
      <c r="C533" s="1" t="str">
        <f aca="false">IF(LEN(A533&amp;"")=0,"",Base!C533)</f>
        <v/>
      </c>
      <c r="D533" s="1" t="str">
        <f aca="false">IF(LEN(A533&amp;"")=0,"",Base!G533)</f>
        <v/>
      </c>
      <c r="E533" s="1" t="str">
        <f aca="false">IF(LEN(A533&amp;"")=0,"",Base!E533)</f>
        <v/>
      </c>
      <c r="F533" s="61" t="str">
        <f aca="false">IF(LEN(A533&amp;"")=0,"",IF(Base!I533="-",0,Base!I533))</f>
        <v/>
      </c>
      <c r="G533" s="61" t="str">
        <f aca="false">IF(LEN(A533&amp;"")=0,"",SUM(Base!F533,F533,Base!K533))</f>
        <v/>
      </c>
      <c r="H533" s="61" t="str">
        <f aca="false">IF(LEN(A533&amp;"")=0,"",Base!L533)</f>
        <v/>
      </c>
      <c r="I533" s="61" t="str">
        <f aca="false">IF(LEN(A533&amp;"")=0,"",G533-H533)</f>
        <v/>
      </c>
      <c r="J533" s="61" t="str">
        <f aca="false">IF(LEN(A533&amp;"")=0,"",Base!M533)</f>
        <v/>
      </c>
      <c r="K533" s="1" t="n">
        <f aca="false">IF(OR(LEN(A533&amp;"")=0,$P$3=0),0,IF(AND(B533&gt;=Painel!$B$8,B533&lt;=Painel!$G$8,OR(Painel!$L$8="Todos",C533=Painel!$L$8),OR(Painel!$Q$8="Todos",D533=Painel!$Q$8),OR(Painel!$V$8="Todas",E533=Painel!$V$8)),1,0))</f>
        <v>0</v>
      </c>
      <c r="L533" s="61" t="str">
        <f aca="false">IF(LEN(A533&amp;"")=0,"",J533-I533)</f>
        <v/>
      </c>
      <c r="M533" s="1" t="n">
        <f aca="false">IF(LEN(A533&amp;"")=0,0,IF(COUNTIFS(Base!$A$7:$A$1006,A533)&gt;1,1,0))</f>
        <v>0</v>
      </c>
      <c r="N533" s="1" t="n">
        <f aca="false">IF(LEN(A533&amp;"")=0,0,IF(ABS(L533)&gt;0.005,1,0))</f>
        <v>0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customFormat="false" ht="23" hidden="false" customHeight="true" outlineLevel="0" collapsed="false">
      <c r="A534" s="1" t="str">
        <f aca="false">IF(LEN(Base!A534&amp;"")=0,"",Base!A534)</f>
        <v/>
      </c>
      <c r="B534" s="60" t="str">
        <f aca="false">IF(LEN(A534&amp;"")=0,"",Base!D534)</f>
        <v/>
      </c>
      <c r="C534" s="1" t="str">
        <f aca="false">IF(LEN(A534&amp;"")=0,"",Base!C534)</f>
        <v/>
      </c>
      <c r="D534" s="1" t="str">
        <f aca="false">IF(LEN(A534&amp;"")=0,"",Base!G534)</f>
        <v/>
      </c>
      <c r="E534" s="1" t="str">
        <f aca="false">IF(LEN(A534&amp;"")=0,"",Base!E534)</f>
        <v/>
      </c>
      <c r="F534" s="61" t="str">
        <f aca="false">IF(LEN(A534&amp;"")=0,"",IF(Base!I534="-",0,Base!I534))</f>
        <v/>
      </c>
      <c r="G534" s="61" t="str">
        <f aca="false">IF(LEN(A534&amp;"")=0,"",SUM(Base!F534,F534,Base!K534))</f>
        <v/>
      </c>
      <c r="H534" s="61" t="str">
        <f aca="false">IF(LEN(A534&amp;"")=0,"",Base!L534)</f>
        <v/>
      </c>
      <c r="I534" s="61" t="str">
        <f aca="false">IF(LEN(A534&amp;"")=0,"",G534-H534)</f>
        <v/>
      </c>
      <c r="J534" s="61" t="str">
        <f aca="false">IF(LEN(A534&amp;"")=0,"",Base!M534)</f>
        <v/>
      </c>
      <c r="K534" s="1" t="n">
        <f aca="false">IF(OR(LEN(A534&amp;"")=0,$P$3=0),0,IF(AND(B534&gt;=Painel!$B$8,B534&lt;=Painel!$G$8,OR(Painel!$L$8="Todos",C534=Painel!$L$8),OR(Painel!$Q$8="Todos",D534=Painel!$Q$8),OR(Painel!$V$8="Todas",E534=Painel!$V$8)),1,0))</f>
        <v>0</v>
      </c>
      <c r="L534" s="61" t="str">
        <f aca="false">IF(LEN(A534&amp;"")=0,"",J534-I534)</f>
        <v/>
      </c>
      <c r="M534" s="1" t="n">
        <f aca="false">IF(LEN(A534&amp;"")=0,0,IF(COUNTIFS(Base!$A$7:$A$1006,A534)&gt;1,1,0))</f>
        <v>0</v>
      </c>
      <c r="N534" s="1" t="n">
        <f aca="false">IF(LEN(A534&amp;"")=0,0,IF(ABS(L534)&gt;0.005,1,0))</f>
        <v>0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customFormat="false" ht="23" hidden="false" customHeight="true" outlineLevel="0" collapsed="false">
      <c r="A535" s="1" t="str">
        <f aca="false">IF(LEN(Base!A535&amp;"")=0,"",Base!A535)</f>
        <v/>
      </c>
      <c r="B535" s="60" t="str">
        <f aca="false">IF(LEN(A535&amp;"")=0,"",Base!D535)</f>
        <v/>
      </c>
      <c r="C535" s="1" t="str">
        <f aca="false">IF(LEN(A535&amp;"")=0,"",Base!C535)</f>
        <v/>
      </c>
      <c r="D535" s="1" t="str">
        <f aca="false">IF(LEN(A535&amp;"")=0,"",Base!G535)</f>
        <v/>
      </c>
      <c r="E535" s="1" t="str">
        <f aca="false">IF(LEN(A535&amp;"")=0,"",Base!E535)</f>
        <v/>
      </c>
      <c r="F535" s="61" t="str">
        <f aca="false">IF(LEN(A535&amp;"")=0,"",IF(Base!I535="-",0,Base!I535))</f>
        <v/>
      </c>
      <c r="G535" s="61" t="str">
        <f aca="false">IF(LEN(A535&amp;"")=0,"",SUM(Base!F535,F535,Base!K535))</f>
        <v/>
      </c>
      <c r="H535" s="61" t="str">
        <f aca="false">IF(LEN(A535&amp;"")=0,"",Base!L535)</f>
        <v/>
      </c>
      <c r="I535" s="61" t="str">
        <f aca="false">IF(LEN(A535&amp;"")=0,"",G535-H535)</f>
        <v/>
      </c>
      <c r="J535" s="61" t="str">
        <f aca="false">IF(LEN(A535&amp;"")=0,"",Base!M535)</f>
        <v/>
      </c>
      <c r="K535" s="1" t="n">
        <f aca="false">IF(OR(LEN(A535&amp;"")=0,$P$3=0),0,IF(AND(B535&gt;=Painel!$B$8,B535&lt;=Painel!$G$8,OR(Painel!$L$8="Todos",C535=Painel!$L$8),OR(Painel!$Q$8="Todos",D535=Painel!$Q$8),OR(Painel!$V$8="Todas",E535=Painel!$V$8)),1,0))</f>
        <v>0</v>
      </c>
      <c r="L535" s="61" t="str">
        <f aca="false">IF(LEN(A535&amp;"")=0,"",J535-I535)</f>
        <v/>
      </c>
      <c r="M535" s="1" t="n">
        <f aca="false">IF(LEN(A535&amp;"")=0,0,IF(COUNTIFS(Base!$A$7:$A$1006,A535)&gt;1,1,0))</f>
        <v>0</v>
      </c>
      <c r="N535" s="1" t="n">
        <f aca="false">IF(LEN(A535&amp;"")=0,0,IF(ABS(L535)&gt;0.005,1,0))</f>
        <v>0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customFormat="false" ht="23" hidden="false" customHeight="true" outlineLevel="0" collapsed="false">
      <c r="A536" s="1" t="str">
        <f aca="false">IF(LEN(Base!A536&amp;"")=0,"",Base!A536)</f>
        <v/>
      </c>
      <c r="B536" s="60" t="str">
        <f aca="false">IF(LEN(A536&amp;"")=0,"",Base!D536)</f>
        <v/>
      </c>
      <c r="C536" s="1" t="str">
        <f aca="false">IF(LEN(A536&amp;"")=0,"",Base!C536)</f>
        <v/>
      </c>
      <c r="D536" s="1" t="str">
        <f aca="false">IF(LEN(A536&amp;"")=0,"",Base!G536)</f>
        <v/>
      </c>
      <c r="E536" s="1" t="str">
        <f aca="false">IF(LEN(A536&amp;"")=0,"",Base!E536)</f>
        <v/>
      </c>
      <c r="F536" s="61" t="str">
        <f aca="false">IF(LEN(A536&amp;"")=0,"",IF(Base!I536="-",0,Base!I536))</f>
        <v/>
      </c>
      <c r="G536" s="61" t="str">
        <f aca="false">IF(LEN(A536&amp;"")=0,"",SUM(Base!F536,F536,Base!K536))</f>
        <v/>
      </c>
      <c r="H536" s="61" t="str">
        <f aca="false">IF(LEN(A536&amp;"")=0,"",Base!L536)</f>
        <v/>
      </c>
      <c r="I536" s="61" t="str">
        <f aca="false">IF(LEN(A536&amp;"")=0,"",G536-H536)</f>
        <v/>
      </c>
      <c r="J536" s="61" t="str">
        <f aca="false">IF(LEN(A536&amp;"")=0,"",Base!M536)</f>
        <v/>
      </c>
      <c r="K536" s="1" t="n">
        <f aca="false">IF(OR(LEN(A536&amp;"")=0,$P$3=0),0,IF(AND(B536&gt;=Painel!$B$8,B536&lt;=Painel!$G$8,OR(Painel!$L$8="Todos",C536=Painel!$L$8),OR(Painel!$Q$8="Todos",D536=Painel!$Q$8),OR(Painel!$V$8="Todas",E536=Painel!$V$8)),1,0))</f>
        <v>0</v>
      </c>
      <c r="L536" s="61" t="str">
        <f aca="false">IF(LEN(A536&amp;"")=0,"",J536-I536)</f>
        <v/>
      </c>
      <c r="M536" s="1" t="n">
        <f aca="false">IF(LEN(A536&amp;"")=0,0,IF(COUNTIFS(Base!$A$7:$A$1006,A536)&gt;1,1,0))</f>
        <v>0</v>
      </c>
      <c r="N536" s="1" t="n">
        <f aca="false">IF(LEN(A536&amp;"")=0,0,IF(ABS(L536)&gt;0.005,1,0))</f>
        <v>0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customFormat="false" ht="23" hidden="false" customHeight="true" outlineLevel="0" collapsed="false">
      <c r="A537" s="1" t="str">
        <f aca="false">IF(LEN(Base!A537&amp;"")=0,"",Base!A537)</f>
        <v/>
      </c>
      <c r="B537" s="60" t="str">
        <f aca="false">IF(LEN(A537&amp;"")=0,"",Base!D537)</f>
        <v/>
      </c>
      <c r="C537" s="1" t="str">
        <f aca="false">IF(LEN(A537&amp;"")=0,"",Base!C537)</f>
        <v/>
      </c>
      <c r="D537" s="1" t="str">
        <f aca="false">IF(LEN(A537&amp;"")=0,"",Base!G537)</f>
        <v/>
      </c>
      <c r="E537" s="1" t="str">
        <f aca="false">IF(LEN(A537&amp;"")=0,"",Base!E537)</f>
        <v/>
      </c>
      <c r="F537" s="61" t="str">
        <f aca="false">IF(LEN(A537&amp;"")=0,"",IF(Base!I537="-",0,Base!I537))</f>
        <v/>
      </c>
      <c r="G537" s="61" t="str">
        <f aca="false">IF(LEN(A537&amp;"")=0,"",SUM(Base!F537,F537,Base!K537))</f>
        <v/>
      </c>
      <c r="H537" s="61" t="str">
        <f aca="false">IF(LEN(A537&amp;"")=0,"",Base!L537)</f>
        <v/>
      </c>
      <c r="I537" s="61" t="str">
        <f aca="false">IF(LEN(A537&amp;"")=0,"",G537-H537)</f>
        <v/>
      </c>
      <c r="J537" s="61" t="str">
        <f aca="false">IF(LEN(A537&amp;"")=0,"",Base!M537)</f>
        <v/>
      </c>
      <c r="K537" s="1" t="n">
        <f aca="false">IF(OR(LEN(A537&amp;"")=0,$P$3=0),0,IF(AND(B537&gt;=Painel!$B$8,B537&lt;=Painel!$G$8,OR(Painel!$L$8="Todos",C537=Painel!$L$8),OR(Painel!$Q$8="Todos",D537=Painel!$Q$8),OR(Painel!$V$8="Todas",E537=Painel!$V$8)),1,0))</f>
        <v>0</v>
      </c>
      <c r="L537" s="61" t="str">
        <f aca="false">IF(LEN(A537&amp;"")=0,"",J537-I537)</f>
        <v/>
      </c>
      <c r="M537" s="1" t="n">
        <f aca="false">IF(LEN(A537&amp;"")=0,0,IF(COUNTIFS(Base!$A$7:$A$1006,A537)&gt;1,1,0))</f>
        <v>0</v>
      </c>
      <c r="N537" s="1" t="n">
        <f aca="false">IF(LEN(A537&amp;"")=0,0,IF(ABS(L537)&gt;0.005,1,0))</f>
        <v>0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customFormat="false" ht="23" hidden="false" customHeight="true" outlineLevel="0" collapsed="false">
      <c r="A538" s="1" t="str">
        <f aca="false">IF(LEN(Base!A538&amp;"")=0,"",Base!A538)</f>
        <v/>
      </c>
      <c r="B538" s="60" t="str">
        <f aca="false">IF(LEN(A538&amp;"")=0,"",Base!D538)</f>
        <v/>
      </c>
      <c r="C538" s="1" t="str">
        <f aca="false">IF(LEN(A538&amp;"")=0,"",Base!C538)</f>
        <v/>
      </c>
      <c r="D538" s="1" t="str">
        <f aca="false">IF(LEN(A538&amp;"")=0,"",Base!G538)</f>
        <v/>
      </c>
      <c r="E538" s="1" t="str">
        <f aca="false">IF(LEN(A538&amp;"")=0,"",Base!E538)</f>
        <v/>
      </c>
      <c r="F538" s="61" t="str">
        <f aca="false">IF(LEN(A538&amp;"")=0,"",IF(Base!I538="-",0,Base!I538))</f>
        <v/>
      </c>
      <c r="G538" s="61" t="str">
        <f aca="false">IF(LEN(A538&amp;"")=0,"",SUM(Base!F538,F538,Base!K538))</f>
        <v/>
      </c>
      <c r="H538" s="61" t="str">
        <f aca="false">IF(LEN(A538&amp;"")=0,"",Base!L538)</f>
        <v/>
      </c>
      <c r="I538" s="61" t="str">
        <f aca="false">IF(LEN(A538&amp;"")=0,"",G538-H538)</f>
        <v/>
      </c>
      <c r="J538" s="61" t="str">
        <f aca="false">IF(LEN(A538&amp;"")=0,"",Base!M538)</f>
        <v/>
      </c>
      <c r="K538" s="1" t="n">
        <f aca="false">IF(OR(LEN(A538&amp;"")=0,$P$3=0),0,IF(AND(B538&gt;=Painel!$B$8,B538&lt;=Painel!$G$8,OR(Painel!$L$8="Todos",C538=Painel!$L$8),OR(Painel!$Q$8="Todos",D538=Painel!$Q$8),OR(Painel!$V$8="Todas",E538=Painel!$V$8)),1,0))</f>
        <v>0</v>
      </c>
      <c r="L538" s="61" t="str">
        <f aca="false">IF(LEN(A538&amp;"")=0,"",J538-I538)</f>
        <v/>
      </c>
      <c r="M538" s="1" t="n">
        <f aca="false">IF(LEN(A538&amp;"")=0,0,IF(COUNTIFS(Base!$A$7:$A$1006,A538)&gt;1,1,0))</f>
        <v>0</v>
      </c>
      <c r="N538" s="1" t="n">
        <f aca="false">IF(LEN(A538&amp;"")=0,0,IF(ABS(L538)&gt;0.005,1,0))</f>
        <v>0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customFormat="false" ht="23" hidden="false" customHeight="true" outlineLevel="0" collapsed="false">
      <c r="A539" s="1" t="str">
        <f aca="false">IF(LEN(Base!A539&amp;"")=0,"",Base!A539)</f>
        <v/>
      </c>
      <c r="B539" s="60" t="str">
        <f aca="false">IF(LEN(A539&amp;"")=0,"",Base!D539)</f>
        <v/>
      </c>
      <c r="C539" s="1" t="str">
        <f aca="false">IF(LEN(A539&amp;"")=0,"",Base!C539)</f>
        <v/>
      </c>
      <c r="D539" s="1" t="str">
        <f aca="false">IF(LEN(A539&amp;"")=0,"",Base!G539)</f>
        <v/>
      </c>
      <c r="E539" s="1" t="str">
        <f aca="false">IF(LEN(A539&amp;"")=0,"",Base!E539)</f>
        <v/>
      </c>
      <c r="F539" s="61" t="str">
        <f aca="false">IF(LEN(A539&amp;"")=0,"",IF(Base!I539="-",0,Base!I539))</f>
        <v/>
      </c>
      <c r="G539" s="61" t="str">
        <f aca="false">IF(LEN(A539&amp;"")=0,"",SUM(Base!F539,F539,Base!K539))</f>
        <v/>
      </c>
      <c r="H539" s="61" t="str">
        <f aca="false">IF(LEN(A539&amp;"")=0,"",Base!L539)</f>
        <v/>
      </c>
      <c r="I539" s="61" t="str">
        <f aca="false">IF(LEN(A539&amp;"")=0,"",G539-H539)</f>
        <v/>
      </c>
      <c r="J539" s="61" t="str">
        <f aca="false">IF(LEN(A539&amp;"")=0,"",Base!M539)</f>
        <v/>
      </c>
      <c r="K539" s="1" t="n">
        <f aca="false">IF(OR(LEN(A539&amp;"")=0,$P$3=0),0,IF(AND(B539&gt;=Painel!$B$8,B539&lt;=Painel!$G$8,OR(Painel!$L$8="Todos",C539=Painel!$L$8),OR(Painel!$Q$8="Todos",D539=Painel!$Q$8),OR(Painel!$V$8="Todas",E539=Painel!$V$8)),1,0))</f>
        <v>0</v>
      </c>
      <c r="L539" s="61" t="str">
        <f aca="false">IF(LEN(A539&amp;"")=0,"",J539-I539)</f>
        <v/>
      </c>
      <c r="M539" s="1" t="n">
        <f aca="false">IF(LEN(A539&amp;"")=0,0,IF(COUNTIFS(Base!$A$7:$A$1006,A539)&gt;1,1,0))</f>
        <v>0</v>
      </c>
      <c r="N539" s="1" t="n">
        <f aca="false">IF(LEN(A539&amp;"")=0,0,IF(ABS(L539)&gt;0.005,1,0))</f>
        <v>0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customFormat="false" ht="23" hidden="false" customHeight="true" outlineLevel="0" collapsed="false">
      <c r="A540" s="1" t="str">
        <f aca="false">IF(LEN(Base!A540&amp;"")=0,"",Base!A540)</f>
        <v/>
      </c>
      <c r="B540" s="60" t="str">
        <f aca="false">IF(LEN(A540&amp;"")=0,"",Base!D540)</f>
        <v/>
      </c>
      <c r="C540" s="1" t="str">
        <f aca="false">IF(LEN(A540&amp;"")=0,"",Base!C540)</f>
        <v/>
      </c>
      <c r="D540" s="1" t="str">
        <f aca="false">IF(LEN(A540&amp;"")=0,"",Base!G540)</f>
        <v/>
      </c>
      <c r="E540" s="1" t="str">
        <f aca="false">IF(LEN(A540&amp;"")=0,"",Base!E540)</f>
        <v/>
      </c>
      <c r="F540" s="61" t="str">
        <f aca="false">IF(LEN(A540&amp;"")=0,"",IF(Base!I540="-",0,Base!I540))</f>
        <v/>
      </c>
      <c r="G540" s="61" t="str">
        <f aca="false">IF(LEN(A540&amp;"")=0,"",SUM(Base!F540,F540,Base!K540))</f>
        <v/>
      </c>
      <c r="H540" s="61" t="str">
        <f aca="false">IF(LEN(A540&amp;"")=0,"",Base!L540)</f>
        <v/>
      </c>
      <c r="I540" s="61" t="str">
        <f aca="false">IF(LEN(A540&amp;"")=0,"",G540-H540)</f>
        <v/>
      </c>
      <c r="J540" s="61" t="str">
        <f aca="false">IF(LEN(A540&amp;"")=0,"",Base!M540)</f>
        <v/>
      </c>
      <c r="K540" s="1" t="n">
        <f aca="false">IF(OR(LEN(A540&amp;"")=0,$P$3=0),0,IF(AND(B540&gt;=Painel!$B$8,B540&lt;=Painel!$G$8,OR(Painel!$L$8="Todos",C540=Painel!$L$8),OR(Painel!$Q$8="Todos",D540=Painel!$Q$8),OR(Painel!$V$8="Todas",E540=Painel!$V$8)),1,0))</f>
        <v>0</v>
      </c>
      <c r="L540" s="61" t="str">
        <f aca="false">IF(LEN(A540&amp;"")=0,"",J540-I540)</f>
        <v/>
      </c>
      <c r="M540" s="1" t="n">
        <f aca="false">IF(LEN(A540&amp;"")=0,0,IF(COUNTIFS(Base!$A$7:$A$1006,A540)&gt;1,1,0))</f>
        <v>0</v>
      </c>
      <c r="N540" s="1" t="n">
        <f aca="false">IF(LEN(A540&amp;"")=0,0,IF(ABS(L540)&gt;0.005,1,0))</f>
        <v>0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customFormat="false" ht="23" hidden="false" customHeight="true" outlineLevel="0" collapsed="false">
      <c r="A541" s="1" t="str">
        <f aca="false">IF(LEN(Base!A541&amp;"")=0,"",Base!A541)</f>
        <v/>
      </c>
      <c r="B541" s="60" t="str">
        <f aca="false">IF(LEN(A541&amp;"")=0,"",Base!D541)</f>
        <v/>
      </c>
      <c r="C541" s="1" t="str">
        <f aca="false">IF(LEN(A541&amp;"")=0,"",Base!C541)</f>
        <v/>
      </c>
      <c r="D541" s="1" t="str">
        <f aca="false">IF(LEN(A541&amp;"")=0,"",Base!G541)</f>
        <v/>
      </c>
      <c r="E541" s="1" t="str">
        <f aca="false">IF(LEN(A541&amp;"")=0,"",Base!E541)</f>
        <v/>
      </c>
      <c r="F541" s="61" t="str">
        <f aca="false">IF(LEN(A541&amp;"")=0,"",IF(Base!I541="-",0,Base!I541))</f>
        <v/>
      </c>
      <c r="G541" s="61" t="str">
        <f aca="false">IF(LEN(A541&amp;"")=0,"",SUM(Base!F541,F541,Base!K541))</f>
        <v/>
      </c>
      <c r="H541" s="61" t="str">
        <f aca="false">IF(LEN(A541&amp;"")=0,"",Base!L541)</f>
        <v/>
      </c>
      <c r="I541" s="61" t="str">
        <f aca="false">IF(LEN(A541&amp;"")=0,"",G541-H541)</f>
        <v/>
      </c>
      <c r="J541" s="61" t="str">
        <f aca="false">IF(LEN(A541&amp;"")=0,"",Base!M541)</f>
        <v/>
      </c>
      <c r="K541" s="1" t="n">
        <f aca="false">IF(OR(LEN(A541&amp;"")=0,$P$3=0),0,IF(AND(B541&gt;=Painel!$B$8,B541&lt;=Painel!$G$8,OR(Painel!$L$8="Todos",C541=Painel!$L$8),OR(Painel!$Q$8="Todos",D541=Painel!$Q$8),OR(Painel!$V$8="Todas",E541=Painel!$V$8)),1,0))</f>
        <v>0</v>
      </c>
      <c r="L541" s="61" t="str">
        <f aca="false">IF(LEN(A541&amp;"")=0,"",J541-I541)</f>
        <v/>
      </c>
      <c r="M541" s="1" t="n">
        <f aca="false">IF(LEN(A541&amp;"")=0,0,IF(COUNTIFS(Base!$A$7:$A$1006,A541)&gt;1,1,0))</f>
        <v>0</v>
      </c>
      <c r="N541" s="1" t="n">
        <f aca="false">IF(LEN(A541&amp;"")=0,0,IF(ABS(L541)&gt;0.005,1,0))</f>
        <v>0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customFormat="false" ht="23" hidden="false" customHeight="true" outlineLevel="0" collapsed="false">
      <c r="A542" s="1" t="str">
        <f aca="false">IF(LEN(Base!A542&amp;"")=0,"",Base!A542)</f>
        <v/>
      </c>
      <c r="B542" s="60" t="str">
        <f aca="false">IF(LEN(A542&amp;"")=0,"",Base!D542)</f>
        <v/>
      </c>
      <c r="C542" s="1" t="str">
        <f aca="false">IF(LEN(A542&amp;"")=0,"",Base!C542)</f>
        <v/>
      </c>
      <c r="D542" s="1" t="str">
        <f aca="false">IF(LEN(A542&amp;"")=0,"",Base!G542)</f>
        <v/>
      </c>
      <c r="E542" s="1" t="str">
        <f aca="false">IF(LEN(A542&amp;"")=0,"",Base!E542)</f>
        <v/>
      </c>
      <c r="F542" s="61" t="str">
        <f aca="false">IF(LEN(A542&amp;"")=0,"",IF(Base!I542="-",0,Base!I542))</f>
        <v/>
      </c>
      <c r="G542" s="61" t="str">
        <f aca="false">IF(LEN(A542&amp;"")=0,"",SUM(Base!F542,F542,Base!K542))</f>
        <v/>
      </c>
      <c r="H542" s="61" t="str">
        <f aca="false">IF(LEN(A542&amp;"")=0,"",Base!L542)</f>
        <v/>
      </c>
      <c r="I542" s="61" t="str">
        <f aca="false">IF(LEN(A542&amp;"")=0,"",G542-H542)</f>
        <v/>
      </c>
      <c r="J542" s="61" t="str">
        <f aca="false">IF(LEN(A542&amp;"")=0,"",Base!M542)</f>
        <v/>
      </c>
      <c r="K542" s="1" t="n">
        <f aca="false">IF(OR(LEN(A542&amp;"")=0,$P$3=0),0,IF(AND(B542&gt;=Painel!$B$8,B542&lt;=Painel!$G$8,OR(Painel!$L$8="Todos",C542=Painel!$L$8),OR(Painel!$Q$8="Todos",D542=Painel!$Q$8),OR(Painel!$V$8="Todas",E542=Painel!$V$8)),1,0))</f>
        <v>0</v>
      </c>
      <c r="L542" s="61" t="str">
        <f aca="false">IF(LEN(A542&amp;"")=0,"",J542-I542)</f>
        <v/>
      </c>
      <c r="M542" s="1" t="n">
        <f aca="false">IF(LEN(A542&amp;"")=0,0,IF(COUNTIFS(Base!$A$7:$A$1006,A542)&gt;1,1,0))</f>
        <v>0</v>
      </c>
      <c r="N542" s="1" t="n">
        <f aca="false">IF(LEN(A542&amp;"")=0,0,IF(ABS(L542)&gt;0.005,1,0))</f>
        <v>0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customFormat="false" ht="23" hidden="false" customHeight="true" outlineLevel="0" collapsed="false">
      <c r="A543" s="1" t="str">
        <f aca="false">IF(LEN(Base!A543&amp;"")=0,"",Base!A543)</f>
        <v/>
      </c>
      <c r="B543" s="60" t="str">
        <f aca="false">IF(LEN(A543&amp;"")=0,"",Base!D543)</f>
        <v/>
      </c>
      <c r="C543" s="1" t="str">
        <f aca="false">IF(LEN(A543&amp;"")=0,"",Base!C543)</f>
        <v/>
      </c>
      <c r="D543" s="1" t="str">
        <f aca="false">IF(LEN(A543&amp;"")=0,"",Base!G543)</f>
        <v/>
      </c>
      <c r="E543" s="1" t="str">
        <f aca="false">IF(LEN(A543&amp;"")=0,"",Base!E543)</f>
        <v/>
      </c>
      <c r="F543" s="61" t="str">
        <f aca="false">IF(LEN(A543&amp;"")=0,"",IF(Base!I543="-",0,Base!I543))</f>
        <v/>
      </c>
      <c r="G543" s="61" t="str">
        <f aca="false">IF(LEN(A543&amp;"")=0,"",SUM(Base!F543,F543,Base!K543))</f>
        <v/>
      </c>
      <c r="H543" s="61" t="str">
        <f aca="false">IF(LEN(A543&amp;"")=0,"",Base!L543)</f>
        <v/>
      </c>
      <c r="I543" s="61" t="str">
        <f aca="false">IF(LEN(A543&amp;"")=0,"",G543-H543)</f>
        <v/>
      </c>
      <c r="J543" s="61" t="str">
        <f aca="false">IF(LEN(A543&amp;"")=0,"",Base!M543)</f>
        <v/>
      </c>
      <c r="K543" s="1" t="n">
        <f aca="false">IF(OR(LEN(A543&amp;"")=0,$P$3=0),0,IF(AND(B543&gt;=Painel!$B$8,B543&lt;=Painel!$G$8,OR(Painel!$L$8="Todos",C543=Painel!$L$8),OR(Painel!$Q$8="Todos",D543=Painel!$Q$8),OR(Painel!$V$8="Todas",E543=Painel!$V$8)),1,0))</f>
        <v>0</v>
      </c>
      <c r="L543" s="61" t="str">
        <f aca="false">IF(LEN(A543&amp;"")=0,"",J543-I543)</f>
        <v/>
      </c>
      <c r="M543" s="1" t="n">
        <f aca="false">IF(LEN(A543&amp;"")=0,0,IF(COUNTIFS(Base!$A$7:$A$1006,A543)&gt;1,1,0))</f>
        <v>0</v>
      </c>
      <c r="N543" s="1" t="n">
        <f aca="false">IF(LEN(A543&amp;"")=0,0,IF(ABS(L543)&gt;0.005,1,0))</f>
        <v>0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customFormat="false" ht="23" hidden="false" customHeight="true" outlineLevel="0" collapsed="false">
      <c r="A544" s="1" t="str">
        <f aca="false">IF(LEN(Base!A544&amp;"")=0,"",Base!A544)</f>
        <v/>
      </c>
      <c r="B544" s="60" t="str">
        <f aca="false">IF(LEN(A544&amp;"")=0,"",Base!D544)</f>
        <v/>
      </c>
      <c r="C544" s="1" t="str">
        <f aca="false">IF(LEN(A544&amp;"")=0,"",Base!C544)</f>
        <v/>
      </c>
      <c r="D544" s="1" t="str">
        <f aca="false">IF(LEN(A544&amp;"")=0,"",Base!G544)</f>
        <v/>
      </c>
      <c r="E544" s="1" t="str">
        <f aca="false">IF(LEN(A544&amp;"")=0,"",Base!E544)</f>
        <v/>
      </c>
      <c r="F544" s="61" t="str">
        <f aca="false">IF(LEN(A544&amp;"")=0,"",IF(Base!I544="-",0,Base!I544))</f>
        <v/>
      </c>
      <c r="G544" s="61" t="str">
        <f aca="false">IF(LEN(A544&amp;"")=0,"",SUM(Base!F544,F544,Base!K544))</f>
        <v/>
      </c>
      <c r="H544" s="61" t="str">
        <f aca="false">IF(LEN(A544&amp;"")=0,"",Base!L544)</f>
        <v/>
      </c>
      <c r="I544" s="61" t="str">
        <f aca="false">IF(LEN(A544&amp;"")=0,"",G544-H544)</f>
        <v/>
      </c>
      <c r="J544" s="61" t="str">
        <f aca="false">IF(LEN(A544&amp;"")=0,"",Base!M544)</f>
        <v/>
      </c>
      <c r="K544" s="1" t="n">
        <f aca="false">IF(OR(LEN(A544&amp;"")=0,$P$3=0),0,IF(AND(B544&gt;=Painel!$B$8,B544&lt;=Painel!$G$8,OR(Painel!$L$8="Todos",C544=Painel!$L$8),OR(Painel!$Q$8="Todos",D544=Painel!$Q$8),OR(Painel!$V$8="Todas",E544=Painel!$V$8)),1,0))</f>
        <v>0</v>
      </c>
      <c r="L544" s="61" t="str">
        <f aca="false">IF(LEN(A544&amp;"")=0,"",J544-I544)</f>
        <v/>
      </c>
      <c r="M544" s="1" t="n">
        <f aca="false">IF(LEN(A544&amp;"")=0,0,IF(COUNTIFS(Base!$A$7:$A$1006,A544)&gt;1,1,0))</f>
        <v>0</v>
      </c>
      <c r="N544" s="1" t="n">
        <f aca="false">IF(LEN(A544&amp;"")=0,0,IF(ABS(L544)&gt;0.005,1,0))</f>
        <v>0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customFormat="false" ht="23" hidden="false" customHeight="true" outlineLevel="0" collapsed="false">
      <c r="A545" s="1" t="str">
        <f aca="false">IF(LEN(Base!A545&amp;"")=0,"",Base!A545)</f>
        <v/>
      </c>
      <c r="B545" s="60" t="str">
        <f aca="false">IF(LEN(A545&amp;"")=0,"",Base!D545)</f>
        <v/>
      </c>
      <c r="C545" s="1" t="str">
        <f aca="false">IF(LEN(A545&amp;"")=0,"",Base!C545)</f>
        <v/>
      </c>
      <c r="D545" s="1" t="str">
        <f aca="false">IF(LEN(A545&amp;"")=0,"",Base!G545)</f>
        <v/>
      </c>
      <c r="E545" s="1" t="str">
        <f aca="false">IF(LEN(A545&amp;"")=0,"",Base!E545)</f>
        <v/>
      </c>
      <c r="F545" s="61" t="str">
        <f aca="false">IF(LEN(A545&amp;"")=0,"",IF(Base!I545="-",0,Base!I545))</f>
        <v/>
      </c>
      <c r="G545" s="61" t="str">
        <f aca="false">IF(LEN(A545&amp;"")=0,"",SUM(Base!F545,F545,Base!K545))</f>
        <v/>
      </c>
      <c r="H545" s="61" t="str">
        <f aca="false">IF(LEN(A545&amp;"")=0,"",Base!L545)</f>
        <v/>
      </c>
      <c r="I545" s="61" t="str">
        <f aca="false">IF(LEN(A545&amp;"")=0,"",G545-H545)</f>
        <v/>
      </c>
      <c r="J545" s="61" t="str">
        <f aca="false">IF(LEN(A545&amp;"")=0,"",Base!M545)</f>
        <v/>
      </c>
      <c r="K545" s="1" t="n">
        <f aca="false">IF(OR(LEN(A545&amp;"")=0,$P$3=0),0,IF(AND(B545&gt;=Painel!$B$8,B545&lt;=Painel!$G$8,OR(Painel!$L$8="Todos",C545=Painel!$L$8),OR(Painel!$Q$8="Todos",D545=Painel!$Q$8),OR(Painel!$V$8="Todas",E545=Painel!$V$8)),1,0))</f>
        <v>0</v>
      </c>
      <c r="L545" s="61" t="str">
        <f aca="false">IF(LEN(A545&amp;"")=0,"",J545-I545)</f>
        <v/>
      </c>
      <c r="M545" s="1" t="n">
        <f aca="false">IF(LEN(A545&amp;"")=0,0,IF(COUNTIFS(Base!$A$7:$A$1006,A545)&gt;1,1,0))</f>
        <v>0</v>
      </c>
      <c r="N545" s="1" t="n">
        <f aca="false">IF(LEN(A545&amp;"")=0,0,IF(ABS(L545)&gt;0.005,1,0))</f>
        <v>0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customFormat="false" ht="23" hidden="false" customHeight="true" outlineLevel="0" collapsed="false">
      <c r="A546" s="1" t="str">
        <f aca="false">IF(LEN(Base!A546&amp;"")=0,"",Base!A546)</f>
        <v/>
      </c>
      <c r="B546" s="60" t="str">
        <f aca="false">IF(LEN(A546&amp;"")=0,"",Base!D546)</f>
        <v/>
      </c>
      <c r="C546" s="1" t="str">
        <f aca="false">IF(LEN(A546&amp;"")=0,"",Base!C546)</f>
        <v/>
      </c>
      <c r="D546" s="1" t="str">
        <f aca="false">IF(LEN(A546&amp;"")=0,"",Base!G546)</f>
        <v/>
      </c>
      <c r="E546" s="1" t="str">
        <f aca="false">IF(LEN(A546&amp;"")=0,"",Base!E546)</f>
        <v/>
      </c>
      <c r="F546" s="61" t="str">
        <f aca="false">IF(LEN(A546&amp;"")=0,"",IF(Base!I546="-",0,Base!I546))</f>
        <v/>
      </c>
      <c r="G546" s="61" t="str">
        <f aca="false">IF(LEN(A546&amp;"")=0,"",SUM(Base!F546,F546,Base!K546))</f>
        <v/>
      </c>
      <c r="H546" s="61" t="str">
        <f aca="false">IF(LEN(A546&amp;"")=0,"",Base!L546)</f>
        <v/>
      </c>
      <c r="I546" s="61" t="str">
        <f aca="false">IF(LEN(A546&amp;"")=0,"",G546-H546)</f>
        <v/>
      </c>
      <c r="J546" s="61" t="str">
        <f aca="false">IF(LEN(A546&amp;"")=0,"",Base!M546)</f>
        <v/>
      </c>
      <c r="K546" s="1" t="n">
        <f aca="false">IF(OR(LEN(A546&amp;"")=0,$P$3=0),0,IF(AND(B546&gt;=Painel!$B$8,B546&lt;=Painel!$G$8,OR(Painel!$L$8="Todos",C546=Painel!$L$8),OR(Painel!$Q$8="Todos",D546=Painel!$Q$8),OR(Painel!$V$8="Todas",E546=Painel!$V$8)),1,0))</f>
        <v>0</v>
      </c>
      <c r="L546" s="61" t="str">
        <f aca="false">IF(LEN(A546&amp;"")=0,"",J546-I546)</f>
        <v/>
      </c>
      <c r="M546" s="1" t="n">
        <f aca="false">IF(LEN(A546&amp;"")=0,0,IF(COUNTIFS(Base!$A$7:$A$1006,A546)&gt;1,1,0))</f>
        <v>0</v>
      </c>
      <c r="N546" s="1" t="n">
        <f aca="false">IF(LEN(A546&amp;"")=0,0,IF(ABS(L546)&gt;0.005,1,0))</f>
        <v>0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customFormat="false" ht="23" hidden="false" customHeight="true" outlineLevel="0" collapsed="false">
      <c r="A547" s="1" t="str">
        <f aca="false">IF(LEN(Base!A547&amp;"")=0,"",Base!A547)</f>
        <v/>
      </c>
      <c r="B547" s="60" t="str">
        <f aca="false">IF(LEN(A547&amp;"")=0,"",Base!D547)</f>
        <v/>
      </c>
      <c r="C547" s="1" t="str">
        <f aca="false">IF(LEN(A547&amp;"")=0,"",Base!C547)</f>
        <v/>
      </c>
      <c r="D547" s="1" t="str">
        <f aca="false">IF(LEN(A547&amp;"")=0,"",Base!G547)</f>
        <v/>
      </c>
      <c r="E547" s="1" t="str">
        <f aca="false">IF(LEN(A547&amp;"")=0,"",Base!E547)</f>
        <v/>
      </c>
      <c r="F547" s="61" t="str">
        <f aca="false">IF(LEN(A547&amp;"")=0,"",IF(Base!I547="-",0,Base!I547))</f>
        <v/>
      </c>
      <c r="G547" s="61" t="str">
        <f aca="false">IF(LEN(A547&amp;"")=0,"",SUM(Base!F547,F547,Base!K547))</f>
        <v/>
      </c>
      <c r="H547" s="61" t="str">
        <f aca="false">IF(LEN(A547&amp;"")=0,"",Base!L547)</f>
        <v/>
      </c>
      <c r="I547" s="61" t="str">
        <f aca="false">IF(LEN(A547&amp;"")=0,"",G547-H547)</f>
        <v/>
      </c>
      <c r="J547" s="61" t="str">
        <f aca="false">IF(LEN(A547&amp;"")=0,"",Base!M547)</f>
        <v/>
      </c>
      <c r="K547" s="1" t="n">
        <f aca="false">IF(OR(LEN(A547&amp;"")=0,$P$3=0),0,IF(AND(B547&gt;=Painel!$B$8,B547&lt;=Painel!$G$8,OR(Painel!$L$8="Todos",C547=Painel!$L$8),OR(Painel!$Q$8="Todos",D547=Painel!$Q$8),OR(Painel!$V$8="Todas",E547=Painel!$V$8)),1,0))</f>
        <v>0</v>
      </c>
      <c r="L547" s="61" t="str">
        <f aca="false">IF(LEN(A547&amp;"")=0,"",J547-I547)</f>
        <v/>
      </c>
      <c r="M547" s="1" t="n">
        <f aca="false">IF(LEN(A547&amp;"")=0,0,IF(COUNTIFS(Base!$A$7:$A$1006,A547)&gt;1,1,0))</f>
        <v>0</v>
      </c>
      <c r="N547" s="1" t="n">
        <f aca="false">IF(LEN(A547&amp;"")=0,0,IF(ABS(L547)&gt;0.005,1,0))</f>
        <v>0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customFormat="false" ht="23" hidden="false" customHeight="true" outlineLevel="0" collapsed="false">
      <c r="A548" s="1" t="str">
        <f aca="false">IF(LEN(Base!A548&amp;"")=0,"",Base!A548)</f>
        <v/>
      </c>
      <c r="B548" s="60" t="str">
        <f aca="false">IF(LEN(A548&amp;"")=0,"",Base!D548)</f>
        <v/>
      </c>
      <c r="C548" s="1" t="str">
        <f aca="false">IF(LEN(A548&amp;"")=0,"",Base!C548)</f>
        <v/>
      </c>
      <c r="D548" s="1" t="str">
        <f aca="false">IF(LEN(A548&amp;"")=0,"",Base!G548)</f>
        <v/>
      </c>
      <c r="E548" s="1" t="str">
        <f aca="false">IF(LEN(A548&amp;"")=0,"",Base!E548)</f>
        <v/>
      </c>
      <c r="F548" s="61" t="str">
        <f aca="false">IF(LEN(A548&amp;"")=0,"",IF(Base!I548="-",0,Base!I548))</f>
        <v/>
      </c>
      <c r="G548" s="61" t="str">
        <f aca="false">IF(LEN(A548&amp;"")=0,"",SUM(Base!F548,F548,Base!K548))</f>
        <v/>
      </c>
      <c r="H548" s="61" t="str">
        <f aca="false">IF(LEN(A548&amp;"")=0,"",Base!L548)</f>
        <v/>
      </c>
      <c r="I548" s="61" t="str">
        <f aca="false">IF(LEN(A548&amp;"")=0,"",G548-H548)</f>
        <v/>
      </c>
      <c r="J548" s="61" t="str">
        <f aca="false">IF(LEN(A548&amp;"")=0,"",Base!M548)</f>
        <v/>
      </c>
      <c r="K548" s="1" t="n">
        <f aca="false">IF(OR(LEN(A548&amp;"")=0,$P$3=0),0,IF(AND(B548&gt;=Painel!$B$8,B548&lt;=Painel!$G$8,OR(Painel!$L$8="Todos",C548=Painel!$L$8),OR(Painel!$Q$8="Todos",D548=Painel!$Q$8),OR(Painel!$V$8="Todas",E548=Painel!$V$8)),1,0))</f>
        <v>0</v>
      </c>
      <c r="L548" s="61" t="str">
        <f aca="false">IF(LEN(A548&amp;"")=0,"",J548-I548)</f>
        <v/>
      </c>
      <c r="M548" s="1" t="n">
        <f aca="false">IF(LEN(A548&amp;"")=0,0,IF(COUNTIFS(Base!$A$7:$A$1006,A548)&gt;1,1,0))</f>
        <v>0</v>
      </c>
      <c r="N548" s="1" t="n">
        <f aca="false">IF(LEN(A548&amp;"")=0,0,IF(ABS(L548)&gt;0.005,1,0))</f>
        <v>0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customFormat="false" ht="23" hidden="false" customHeight="true" outlineLevel="0" collapsed="false">
      <c r="A549" s="1" t="str">
        <f aca="false">IF(LEN(Base!A549&amp;"")=0,"",Base!A549)</f>
        <v/>
      </c>
      <c r="B549" s="60" t="str">
        <f aca="false">IF(LEN(A549&amp;"")=0,"",Base!D549)</f>
        <v/>
      </c>
      <c r="C549" s="1" t="str">
        <f aca="false">IF(LEN(A549&amp;"")=0,"",Base!C549)</f>
        <v/>
      </c>
      <c r="D549" s="1" t="str">
        <f aca="false">IF(LEN(A549&amp;"")=0,"",Base!G549)</f>
        <v/>
      </c>
      <c r="E549" s="1" t="str">
        <f aca="false">IF(LEN(A549&amp;"")=0,"",Base!E549)</f>
        <v/>
      </c>
      <c r="F549" s="61" t="str">
        <f aca="false">IF(LEN(A549&amp;"")=0,"",IF(Base!I549="-",0,Base!I549))</f>
        <v/>
      </c>
      <c r="G549" s="61" t="str">
        <f aca="false">IF(LEN(A549&amp;"")=0,"",SUM(Base!F549,F549,Base!K549))</f>
        <v/>
      </c>
      <c r="H549" s="61" t="str">
        <f aca="false">IF(LEN(A549&amp;"")=0,"",Base!L549)</f>
        <v/>
      </c>
      <c r="I549" s="61" t="str">
        <f aca="false">IF(LEN(A549&amp;"")=0,"",G549-H549)</f>
        <v/>
      </c>
      <c r="J549" s="61" t="str">
        <f aca="false">IF(LEN(A549&amp;"")=0,"",Base!M549)</f>
        <v/>
      </c>
      <c r="K549" s="1" t="n">
        <f aca="false">IF(OR(LEN(A549&amp;"")=0,$P$3=0),0,IF(AND(B549&gt;=Painel!$B$8,B549&lt;=Painel!$G$8,OR(Painel!$L$8="Todos",C549=Painel!$L$8),OR(Painel!$Q$8="Todos",D549=Painel!$Q$8),OR(Painel!$V$8="Todas",E549=Painel!$V$8)),1,0))</f>
        <v>0</v>
      </c>
      <c r="L549" s="61" t="str">
        <f aca="false">IF(LEN(A549&amp;"")=0,"",J549-I549)</f>
        <v/>
      </c>
      <c r="M549" s="1" t="n">
        <f aca="false">IF(LEN(A549&amp;"")=0,0,IF(COUNTIFS(Base!$A$7:$A$1006,A549)&gt;1,1,0))</f>
        <v>0</v>
      </c>
      <c r="N549" s="1" t="n">
        <f aca="false">IF(LEN(A549&amp;"")=0,0,IF(ABS(L549)&gt;0.005,1,0))</f>
        <v>0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customFormat="false" ht="23" hidden="false" customHeight="true" outlineLevel="0" collapsed="false">
      <c r="A550" s="1" t="str">
        <f aca="false">IF(LEN(Base!A550&amp;"")=0,"",Base!A550)</f>
        <v/>
      </c>
      <c r="B550" s="60" t="str">
        <f aca="false">IF(LEN(A550&amp;"")=0,"",Base!D550)</f>
        <v/>
      </c>
      <c r="C550" s="1" t="str">
        <f aca="false">IF(LEN(A550&amp;"")=0,"",Base!C550)</f>
        <v/>
      </c>
      <c r="D550" s="1" t="str">
        <f aca="false">IF(LEN(A550&amp;"")=0,"",Base!G550)</f>
        <v/>
      </c>
      <c r="E550" s="1" t="str">
        <f aca="false">IF(LEN(A550&amp;"")=0,"",Base!E550)</f>
        <v/>
      </c>
      <c r="F550" s="61" t="str">
        <f aca="false">IF(LEN(A550&amp;"")=0,"",IF(Base!I550="-",0,Base!I550))</f>
        <v/>
      </c>
      <c r="G550" s="61" t="str">
        <f aca="false">IF(LEN(A550&amp;"")=0,"",SUM(Base!F550,F550,Base!K550))</f>
        <v/>
      </c>
      <c r="H550" s="61" t="str">
        <f aca="false">IF(LEN(A550&amp;"")=0,"",Base!L550)</f>
        <v/>
      </c>
      <c r="I550" s="61" t="str">
        <f aca="false">IF(LEN(A550&amp;"")=0,"",G550-H550)</f>
        <v/>
      </c>
      <c r="J550" s="61" t="str">
        <f aca="false">IF(LEN(A550&amp;"")=0,"",Base!M550)</f>
        <v/>
      </c>
      <c r="K550" s="1" t="n">
        <f aca="false">IF(OR(LEN(A550&amp;"")=0,$P$3=0),0,IF(AND(B550&gt;=Painel!$B$8,B550&lt;=Painel!$G$8,OR(Painel!$L$8="Todos",C550=Painel!$L$8),OR(Painel!$Q$8="Todos",D550=Painel!$Q$8),OR(Painel!$V$8="Todas",E550=Painel!$V$8)),1,0))</f>
        <v>0</v>
      </c>
      <c r="L550" s="61" t="str">
        <f aca="false">IF(LEN(A550&amp;"")=0,"",J550-I550)</f>
        <v/>
      </c>
      <c r="M550" s="1" t="n">
        <f aca="false">IF(LEN(A550&amp;"")=0,0,IF(COUNTIFS(Base!$A$7:$A$1006,A550)&gt;1,1,0))</f>
        <v>0</v>
      </c>
      <c r="N550" s="1" t="n">
        <f aca="false">IF(LEN(A550&amp;"")=0,0,IF(ABS(L550)&gt;0.005,1,0))</f>
        <v>0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customFormat="false" ht="23" hidden="false" customHeight="true" outlineLevel="0" collapsed="false">
      <c r="A551" s="1" t="str">
        <f aca="false">IF(LEN(Base!A551&amp;"")=0,"",Base!A551)</f>
        <v/>
      </c>
      <c r="B551" s="60" t="str">
        <f aca="false">IF(LEN(A551&amp;"")=0,"",Base!D551)</f>
        <v/>
      </c>
      <c r="C551" s="1" t="str">
        <f aca="false">IF(LEN(A551&amp;"")=0,"",Base!C551)</f>
        <v/>
      </c>
      <c r="D551" s="1" t="str">
        <f aca="false">IF(LEN(A551&amp;"")=0,"",Base!G551)</f>
        <v/>
      </c>
      <c r="E551" s="1" t="str">
        <f aca="false">IF(LEN(A551&amp;"")=0,"",Base!E551)</f>
        <v/>
      </c>
      <c r="F551" s="61" t="str">
        <f aca="false">IF(LEN(A551&amp;"")=0,"",IF(Base!I551="-",0,Base!I551))</f>
        <v/>
      </c>
      <c r="G551" s="61" t="str">
        <f aca="false">IF(LEN(A551&amp;"")=0,"",SUM(Base!F551,F551,Base!K551))</f>
        <v/>
      </c>
      <c r="H551" s="61" t="str">
        <f aca="false">IF(LEN(A551&amp;"")=0,"",Base!L551)</f>
        <v/>
      </c>
      <c r="I551" s="61" t="str">
        <f aca="false">IF(LEN(A551&amp;"")=0,"",G551-H551)</f>
        <v/>
      </c>
      <c r="J551" s="61" t="str">
        <f aca="false">IF(LEN(A551&amp;"")=0,"",Base!M551)</f>
        <v/>
      </c>
      <c r="K551" s="1" t="n">
        <f aca="false">IF(OR(LEN(A551&amp;"")=0,$P$3=0),0,IF(AND(B551&gt;=Painel!$B$8,B551&lt;=Painel!$G$8,OR(Painel!$L$8="Todos",C551=Painel!$L$8),OR(Painel!$Q$8="Todos",D551=Painel!$Q$8),OR(Painel!$V$8="Todas",E551=Painel!$V$8)),1,0))</f>
        <v>0</v>
      </c>
      <c r="L551" s="61" t="str">
        <f aca="false">IF(LEN(A551&amp;"")=0,"",J551-I551)</f>
        <v/>
      </c>
      <c r="M551" s="1" t="n">
        <f aca="false">IF(LEN(A551&amp;"")=0,0,IF(COUNTIFS(Base!$A$7:$A$1006,A551)&gt;1,1,0))</f>
        <v>0</v>
      </c>
      <c r="N551" s="1" t="n">
        <f aca="false">IF(LEN(A551&amp;"")=0,0,IF(ABS(L551)&gt;0.005,1,0))</f>
        <v>0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customFormat="false" ht="23" hidden="false" customHeight="true" outlineLevel="0" collapsed="false">
      <c r="A552" s="1" t="str">
        <f aca="false">IF(LEN(Base!A552&amp;"")=0,"",Base!A552)</f>
        <v/>
      </c>
      <c r="B552" s="60" t="str">
        <f aca="false">IF(LEN(A552&amp;"")=0,"",Base!D552)</f>
        <v/>
      </c>
      <c r="C552" s="1" t="str">
        <f aca="false">IF(LEN(A552&amp;"")=0,"",Base!C552)</f>
        <v/>
      </c>
      <c r="D552" s="1" t="str">
        <f aca="false">IF(LEN(A552&amp;"")=0,"",Base!G552)</f>
        <v/>
      </c>
      <c r="E552" s="1" t="str">
        <f aca="false">IF(LEN(A552&amp;"")=0,"",Base!E552)</f>
        <v/>
      </c>
      <c r="F552" s="61" t="str">
        <f aca="false">IF(LEN(A552&amp;"")=0,"",IF(Base!I552="-",0,Base!I552))</f>
        <v/>
      </c>
      <c r="G552" s="61" t="str">
        <f aca="false">IF(LEN(A552&amp;"")=0,"",SUM(Base!F552,F552,Base!K552))</f>
        <v/>
      </c>
      <c r="H552" s="61" t="str">
        <f aca="false">IF(LEN(A552&amp;"")=0,"",Base!L552)</f>
        <v/>
      </c>
      <c r="I552" s="61" t="str">
        <f aca="false">IF(LEN(A552&amp;"")=0,"",G552-H552)</f>
        <v/>
      </c>
      <c r="J552" s="61" t="str">
        <f aca="false">IF(LEN(A552&amp;"")=0,"",Base!M552)</f>
        <v/>
      </c>
      <c r="K552" s="1" t="n">
        <f aca="false">IF(OR(LEN(A552&amp;"")=0,$P$3=0),0,IF(AND(B552&gt;=Painel!$B$8,B552&lt;=Painel!$G$8,OR(Painel!$L$8="Todos",C552=Painel!$L$8),OR(Painel!$Q$8="Todos",D552=Painel!$Q$8),OR(Painel!$V$8="Todas",E552=Painel!$V$8)),1,0))</f>
        <v>0</v>
      </c>
      <c r="L552" s="61" t="str">
        <f aca="false">IF(LEN(A552&amp;"")=0,"",J552-I552)</f>
        <v/>
      </c>
      <c r="M552" s="1" t="n">
        <f aca="false">IF(LEN(A552&amp;"")=0,0,IF(COUNTIFS(Base!$A$7:$A$1006,A552)&gt;1,1,0))</f>
        <v>0</v>
      </c>
      <c r="N552" s="1" t="n">
        <f aca="false">IF(LEN(A552&amp;"")=0,0,IF(ABS(L552)&gt;0.005,1,0))</f>
        <v>0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customFormat="false" ht="23" hidden="false" customHeight="true" outlineLevel="0" collapsed="false">
      <c r="A553" s="1" t="str">
        <f aca="false">IF(LEN(Base!A553&amp;"")=0,"",Base!A553)</f>
        <v/>
      </c>
      <c r="B553" s="60" t="str">
        <f aca="false">IF(LEN(A553&amp;"")=0,"",Base!D553)</f>
        <v/>
      </c>
      <c r="C553" s="1" t="str">
        <f aca="false">IF(LEN(A553&amp;"")=0,"",Base!C553)</f>
        <v/>
      </c>
      <c r="D553" s="1" t="str">
        <f aca="false">IF(LEN(A553&amp;"")=0,"",Base!G553)</f>
        <v/>
      </c>
      <c r="E553" s="1" t="str">
        <f aca="false">IF(LEN(A553&amp;"")=0,"",Base!E553)</f>
        <v/>
      </c>
      <c r="F553" s="61" t="str">
        <f aca="false">IF(LEN(A553&amp;"")=0,"",IF(Base!I553="-",0,Base!I553))</f>
        <v/>
      </c>
      <c r="G553" s="61" t="str">
        <f aca="false">IF(LEN(A553&amp;"")=0,"",SUM(Base!F553,F553,Base!K553))</f>
        <v/>
      </c>
      <c r="H553" s="61" t="str">
        <f aca="false">IF(LEN(A553&amp;"")=0,"",Base!L553)</f>
        <v/>
      </c>
      <c r="I553" s="61" t="str">
        <f aca="false">IF(LEN(A553&amp;"")=0,"",G553-H553)</f>
        <v/>
      </c>
      <c r="J553" s="61" t="str">
        <f aca="false">IF(LEN(A553&amp;"")=0,"",Base!M553)</f>
        <v/>
      </c>
      <c r="K553" s="1" t="n">
        <f aca="false">IF(OR(LEN(A553&amp;"")=0,$P$3=0),0,IF(AND(B553&gt;=Painel!$B$8,B553&lt;=Painel!$G$8,OR(Painel!$L$8="Todos",C553=Painel!$L$8),OR(Painel!$Q$8="Todos",D553=Painel!$Q$8),OR(Painel!$V$8="Todas",E553=Painel!$V$8)),1,0))</f>
        <v>0</v>
      </c>
      <c r="L553" s="61" t="str">
        <f aca="false">IF(LEN(A553&amp;"")=0,"",J553-I553)</f>
        <v/>
      </c>
      <c r="M553" s="1" t="n">
        <f aca="false">IF(LEN(A553&amp;"")=0,0,IF(COUNTIFS(Base!$A$7:$A$1006,A553)&gt;1,1,0))</f>
        <v>0</v>
      </c>
      <c r="N553" s="1" t="n">
        <f aca="false">IF(LEN(A553&amp;"")=0,0,IF(ABS(L553)&gt;0.005,1,0))</f>
        <v>0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customFormat="false" ht="23" hidden="false" customHeight="true" outlineLevel="0" collapsed="false">
      <c r="A554" s="1" t="str">
        <f aca="false">IF(LEN(Base!A554&amp;"")=0,"",Base!A554)</f>
        <v/>
      </c>
      <c r="B554" s="60" t="str">
        <f aca="false">IF(LEN(A554&amp;"")=0,"",Base!D554)</f>
        <v/>
      </c>
      <c r="C554" s="1" t="str">
        <f aca="false">IF(LEN(A554&amp;"")=0,"",Base!C554)</f>
        <v/>
      </c>
      <c r="D554" s="1" t="str">
        <f aca="false">IF(LEN(A554&amp;"")=0,"",Base!G554)</f>
        <v/>
      </c>
      <c r="E554" s="1" t="str">
        <f aca="false">IF(LEN(A554&amp;"")=0,"",Base!E554)</f>
        <v/>
      </c>
      <c r="F554" s="61" t="str">
        <f aca="false">IF(LEN(A554&amp;"")=0,"",IF(Base!I554="-",0,Base!I554))</f>
        <v/>
      </c>
      <c r="G554" s="61" t="str">
        <f aca="false">IF(LEN(A554&amp;"")=0,"",SUM(Base!F554,F554,Base!K554))</f>
        <v/>
      </c>
      <c r="H554" s="61" t="str">
        <f aca="false">IF(LEN(A554&amp;"")=0,"",Base!L554)</f>
        <v/>
      </c>
      <c r="I554" s="61" t="str">
        <f aca="false">IF(LEN(A554&amp;"")=0,"",G554-H554)</f>
        <v/>
      </c>
      <c r="J554" s="61" t="str">
        <f aca="false">IF(LEN(A554&amp;"")=0,"",Base!M554)</f>
        <v/>
      </c>
      <c r="K554" s="1" t="n">
        <f aca="false">IF(OR(LEN(A554&amp;"")=0,$P$3=0),0,IF(AND(B554&gt;=Painel!$B$8,B554&lt;=Painel!$G$8,OR(Painel!$L$8="Todos",C554=Painel!$L$8),OR(Painel!$Q$8="Todos",D554=Painel!$Q$8),OR(Painel!$V$8="Todas",E554=Painel!$V$8)),1,0))</f>
        <v>0</v>
      </c>
      <c r="L554" s="61" t="str">
        <f aca="false">IF(LEN(A554&amp;"")=0,"",J554-I554)</f>
        <v/>
      </c>
      <c r="M554" s="1" t="n">
        <f aca="false">IF(LEN(A554&amp;"")=0,0,IF(COUNTIFS(Base!$A$7:$A$1006,A554)&gt;1,1,0))</f>
        <v>0</v>
      </c>
      <c r="N554" s="1" t="n">
        <f aca="false">IF(LEN(A554&amp;"")=0,0,IF(ABS(L554)&gt;0.005,1,0))</f>
        <v>0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customFormat="false" ht="23" hidden="false" customHeight="true" outlineLevel="0" collapsed="false">
      <c r="A555" s="1" t="str">
        <f aca="false">IF(LEN(Base!A555&amp;"")=0,"",Base!A555)</f>
        <v/>
      </c>
      <c r="B555" s="60" t="str">
        <f aca="false">IF(LEN(A555&amp;"")=0,"",Base!D555)</f>
        <v/>
      </c>
      <c r="C555" s="1" t="str">
        <f aca="false">IF(LEN(A555&amp;"")=0,"",Base!C555)</f>
        <v/>
      </c>
      <c r="D555" s="1" t="str">
        <f aca="false">IF(LEN(A555&amp;"")=0,"",Base!G555)</f>
        <v/>
      </c>
      <c r="E555" s="1" t="str">
        <f aca="false">IF(LEN(A555&amp;"")=0,"",Base!E555)</f>
        <v/>
      </c>
      <c r="F555" s="61" t="str">
        <f aca="false">IF(LEN(A555&amp;"")=0,"",IF(Base!I555="-",0,Base!I555))</f>
        <v/>
      </c>
      <c r="G555" s="61" t="str">
        <f aca="false">IF(LEN(A555&amp;"")=0,"",SUM(Base!F555,F555,Base!K555))</f>
        <v/>
      </c>
      <c r="H555" s="61" t="str">
        <f aca="false">IF(LEN(A555&amp;"")=0,"",Base!L555)</f>
        <v/>
      </c>
      <c r="I555" s="61" t="str">
        <f aca="false">IF(LEN(A555&amp;"")=0,"",G555-H555)</f>
        <v/>
      </c>
      <c r="J555" s="61" t="str">
        <f aca="false">IF(LEN(A555&amp;"")=0,"",Base!M555)</f>
        <v/>
      </c>
      <c r="K555" s="1" t="n">
        <f aca="false">IF(OR(LEN(A555&amp;"")=0,$P$3=0),0,IF(AND(B555&gt;=Painel!$B$8,B555&lt;=Painel!$G$8,OR(Painel!$L$8="Todos",C555=Painel!$L$8),OR(Painel!$Q$8="Todos",D555=Painel!$Q$8),OR(Painel!$V$8="Todas",E555=Painel!$V$8)),1,0))</f>
        <v>0</v>
      </c>
      <c r="L555" s="61" t="str">
        <f aca="false">IF(LEN(A555&amp;"")=0,"",J555-I555)</f>
        <v/>
      </c>
      <c r="M555" s="1" t="n">
        <f aca="false">IF(LEN(A555&amp;"")=0,0,IF(COUNTIFS(Base!$A$7:$A$1006,A555)&gt;1,1,0))</f>
        <v>0</v>
      </c>
      <c r="N555" s="1" t="n">
        <f aca="false">IF(LEN(A555&amp;"")=0,0,IF(ABS(L555)&gt;0.005,1,0))</f>
        <v>0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customFormat="false" ht="23" hidden="false" customHeight="true" outlineLevel="0" collapsed="false">
      <c r="A556" s="1" t="str">
        <f aca="false">IF(LEN(Base!A556&amp;"")=0,"",Base!A556)</f>
        <v/>
      </c>
      <c r="B556" s="60" t="str">
        <f aca="false">IF(LEN(A556&amp;"")=0,"",Base!D556)</f>
        <v/>
      </c>
      <c r="C556" s="1" t="str">
        <f aca="false">IF(LEN(A556&amp;"")=0,"",Base!C556)</f>
        <v/>
      </c>
      <c r="D556" s="1" t="str">
        <f aca="false">IF(LEN(A556&amp;"")=0,"",Base!G556)</f>
        <v/>
      </c>
      <c r="E556" s="1" t="str">
        <f aca="false">IF(LEN(A556&amp;"")=0,"",Base!E556)</f>
        <v/>
      </c>
      <c r="F556" s="61" t="str">
        <f aca="false">IF(LEN(A556&amp;"")=0,"",IF(Base!I556="-",0,Base!I556))</f>
        <v/>
      </c>
      <c r="G556" s="61" t="str">
        <f aca="false">IF(LEN(A556&amp;"")=0,"",SUM(Base!F556,F556,Base!K556))</f>
        <v/>
      </c>
      <c r="H556" s="61" t="str">
        <f aca="false">IF(LEN(A556&amp;"")=0,"",Base!L556)</f>
        <v/>
      </c>
      <c r="I556" s="61" t="str">
        <f aca="false">IF(LEN(A556&amp;"")=0,"",G556-H556)</f>
        <v/>
      </c>
      <c r="J556" s="61" t="str">
        <f aca="false">IF(LEN(A556&amp;"")=0,"",Base!M556)</f>
        <v/>
      </c>
      <c r="K556" s="1" t="n">
        <f aca="false">IF(OR(LEN(A556&amp;"")=0,$P$3=0),0,IF(AND(B556&gt;=Painel!$B$8,B556&lt;=Painel!$G$8,OR(Painel!$L$8="Todos",C556=Painel!$L$8),OR(Painel!$Q$8="Todos",D556=Painel!$Q$8),OR(Painel!$V$8="Todas",E556=Painel!$V$8)),1,0))</f>
        <v>0</v>
      </c>
      <c r="L556" s="61" t="str">
        <f aca="false">IF(LEN(A556&amp;"")=0,"",J556-I556)</f>
        <v/>
      </c>
      <c r="M556" s="1" t="n">
        <f aca="false">IF(LEN(A556&amp;"")=0,0,IF(COUNTIFS(Base!$A$7:$A$1006,A556)&gt;1,1,0))</f>
        <v>0</v>
      </c>
      <c r="N556" s="1" t="n">
        <f aca="false">IF(LEN(A556&amp;"")=0,0,IF(ABS(L556)&gt;0.005,1,0))</f>
        <v>0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customFormat="false" ht="23" hidden="false" customHeight="true" outlineLevel="0" collapsed="false">
      <c r="A557" s="1" t="str">
        <f aca="false">IF(LEN(Base!A557&amp;"")=0,"",Base!A557)</f>
        <v/>
      </c>
      <c r="B557" s="60" t="str">
        <f aca="false">IF(LEN(A557&amp;"")=0,"",Base!D557)</f>
        <v/>
      </c>
      <c r="C557" s="1" t="str">
        <f aca="false">IF(LEN(A557&amp;"")=0,"",Base!C557)</f>
        <v/>
      </c>
      <c r="D557" s="1" t="str">
        <f aca="false">IF(LEN(A557&amp;"")=0,"",Base!G557)</f>
        <v/>
      </c>
      <c r="E557" s="1" t="str">
        <f aca="false">IF(LEN(A557&amp;"")=0,"",Base!E557)</f>
        <v/>
      </c>
      <c r="F557" s="61" t="str">
        <f aca="false">IF(LEN(A557&amp;"")=0,"",IF(Base!I557="-",0,Base!I557))</f>
        <v/>
      </c>
      <c r="G557" s="61" t="str">
        <f aca="false">IF(LEN(A557&amp;"")=0,"",SUM(Base!F557,F557,Base!K557))</f>
        <v/>
      </c>
      <c r="H557" s="61" t="str">
        <f aca="false">IF(LEN(A557&amp;"")=0,"",Base!L557)</f>
        <v/>
      </c>
      <c r="I557" s="61" t="str">
        <f aca="false">IF(LEN(A557&amp;"")=0,"",G557-H557)</f>
        <v/>
      </c>
      <c r="J557" s="61" t="str">
        <f aca="false">IF(LEN(A557&amp;"")=0,"",Base!M557)</f>
        <v/>
      </c>
      <c r="K557" s="1" t="n">
        <f aca="false">IF(OR(LEN(A557&amp;"")=0,$P$3=0),0,IF(AND(B557&gt;=Painel!$B$8,B557&lt;=Painel!$G$8,OR(Painel!$L$8="Todos",C557=Painel!$L$8),OR(Painel!$Q$8="Todos",D557=Painel!$Q$8),OR(Painel!$V$8="Todas",E557=Painel!$V$8)),1,0))</f>
        <v>0</v>
      </c>
      <c r="L557" s="61" t="str">
        <f aca="false">IF(LEN(A557&amp;"")=0,"",J557-I557)</f>
        <v/>
      </c>
      <c r="M557" s="1" t="n">
        <f aca="false">IF(LEN(A557&amp;"")=0,0,IF(COUNTIFS(Base!$A$7:$A$1006,A557)&gt;1,1,0))</f>
        <v>0</v>
      </c>
      <c r="N557" s="1" t="n">
        <f aca="false">IF(LEN(A557&amp;"")=0,0,IF(ABS(L557)&gt;0.005,1,0))</f>
        <v>0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customFormat="false" ht="23" hidden="false" customHeight="true" outlineLevel="0" collapsed="false">
      <c r="A558" s="1" t="str">
        <f aca="false">IF(LEN(Base!A558&amp;"")=0,"",Base!A558)</f>
        <v/>
      </c>
      <c r="B558" s="60" t="str">
        <f aca="false">IF(LEN(A558&amp;"")=0,"",Base!D558)</f>
        <v/>
      </c>
      <c r="C558" s="1" t="str">
        <f aca="false">IF(LEN(A558&amp;"")=0,"",Base!C558)</f>
        <v/>
      </c>
      <c r="D558" s="1" t="str">
        <f aca="false">IF(LEN(A558&amp;"")=0,"",Base!G558)</f>
        <v/>
      </c>
      <c r="E558" s="1" t="str">
        <f aca="false">IF(LEN(A558&amp;"")=0,"",Base!E558)</f>
        <v/>
      </c>
      <c r="F558" s="61" t="str">
        <f aca="false">IF(LEN(A558&amp;"")=0,"",IF(Base!I558="-",0,Base!I558))</f>
        <v/>
      </c>
      <c r="G558" s="61" t="str">
        <f aca="false">IF(LEN(A558&amp;"")=0,"",SUM(Base!F558,F558,Base!K558))</f>
        <v/>
      </c>
      <c r="H558" s="61" t="str">
        <f aca="false">IF(LEN(A558&amp;"")=0,"",Base!L558)</f>
        <v/>
      </c>
      <c r="I558" s="61" t="str">
        <f aca="false">IF(LEN(A558&amp;"")=0,"",G558-H558)</f>
        <v/>
      </c>
      <c r="J558" s="61" t="str">
        <f aca="false">IF(LEN(A558&amp;"")=0,"",Base!M558)</f>
        <v/>
      </c>
      <c r="K558" s="1" t="n">
        <f aca="false">IF(OR(LEN(A558&amp;"")=0,$P$3=0),0,IF(AND(B558&gt;=Painel!$B$8,B558&lt;=Painel!$G$8,OR(Painel!$L$8="Todos",C558=Painel!$L$8),OR(Painel!$Q$8="Todos",D558=Painel!$Q$8),OR(Painel!$V$8="Todas",E558=Painel!$V$8)),1,0))</f>
        <v>0</v>
      </c>
      <c r="L558" s="61" t="str">
        <f aca="false">IF(LEN(A558&amp;"")=0,"",J558-I558)</f>
        <v/>
      </c>
      <c r="M558" s="1" t="n">
        <f aca="false">IF(LEN(A558&amp;"")=0,0,IF(COUNTIFS(Base!$A$7:$A$1006,A558)&gt;1,1,0))</f>
        <v>0</v>
      </c>
      <c r="N558" s="1" t="n">
        <f aca="false">IF(LEN(A558&amp;"")=0,0,IF(ABS(L558)&gt;0.005,1,0))</f>
        <v>0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customFormat="false" ht="23" hidden="false" customHeight="true" outlineLevel="0" collapsed="false">
      <c r="A559" s="1" t="str">
        <f aca="false">IF(LEN(Base!A559&amp;"")=0,"",Base!A559)</f>
        <v/>
      </c>
      <c r="B559" s="60" t="str">
        <f aca="false">IF(LEN(A559&amp;"")=0,"",Base!D559)</f>
        <v/>
      </c>
      <c r="C559" s="1" t="str">
        <f aca="false">IF(LEN(A559&amp;"")=0,"",Base!C559)</f>
        <v/>
      </c>
      <c r="D559" s="1" t="str">
        <f aca="false">IF(LEN(A559&amp;"")=0,"",Base!G559)</f>
        <v/>
      </c>
      <c r="E559" s="1" t="str">
        <f aca="false">IF(LEN(A559&amp;"")=0,"",Base!E559)</f>
        <v/>
      </c>
      <c r="F559" s="61" t="str">
        <f aca="false">IF(LEN(A559&amp;"")=0,"",IF(Base!I559="-",0,Base!I559))</f>
        <v/>
      </c>
      <c r="G559" s="61" t="str">
        <f aca="false">IF(LEN(A559&amp;"")=0,"",SUM(Base!F559,F559,Base!K559))</f>
        <v/>
      </c>
      <c r="H559" s="61" t="str">
        <f aca="false">IF(LEN(A559&amp;"")=0,"",Base!L559)</f>
        <v/>
      </c>
      <c r="I559" s="61" t="str">
        <f aca="false">IF(LEN(A559&amp;"")=0,"",G559-H559)</f>
        <v/>
      </c>
      <c r="J559" s="61" t="str">
        <f aca="false">IF(LEN(A559&amp;"")=0,"",Base!M559)</f>
        <v/>
      </c>
      <c r="K559" s="1" t="n">
        <f aca="false">IF(OR(LEN(A559&amp;"")=0,$P$3=0),0,IF(AND(B559&gt;=Painel!$B$8,B559&lt;=Painel!$G$8,OR(Painel!$L$8="Todos",C559=Painel!$L$8),OR(Painel!$Q$8="Todos",D559=Painel!$Q$8),OR(Painel!$V$8="Todas",E559=Painel!$V$8)),1,0))</f>
        <v>0</v>
      </c>
      <c r="L559" s="61" t="str">
        <f aca="false">IF(LEN(A559&amp;"")=0,"",J559-I559)</f>
        <v/>
      </c>
      <c r="M559" s="1" t="n">
        <f aca="false">IF(LEN(A559&amp;"")=0,0,IF(COUNTIFS(Base!$A$7:$A$1006,A559)&gt;1,1,0))</f>
        <v>0</v>
      </c>
      <c r="N559" s="1" t="n">
        <f aca="false">IF(LEN(A559&amp;"")=0,0,IF(ABS(L559)&gt;0.005,1,0))</f>
        <v>0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customFormat="false" ht="23" hidden="false" customHeight="true" outlineLevel="0" collapsed="false">
      <c r="A560" s="1" t="str">
        <f aca="false">IF(LEN(Base!A560&amp;"")=0,"",Base!A560)</f>
        <v/>
      </c>
      <c r="B560" s="60" t="str">
        <f aca="false">IF(LEN(A560&amp;"")=0,"",Base!D560)</f>
        <v/>
      </c>
      <c r="C560" s="1" t="str">
        <f aca="false">IF(LEN(A560&amp;"")=0,"",Base!C560)</f>
        <v/>
      </c>
      <c r="D560" s="1" t="str">
        <f aca="false">IF(LEN(A560&amp;"")=0,"",Base!G560)</f>
        <v/>
      </c>
      <c r="E560" s="1" t="str">
        <f aca="false">IF(LEN(A560&amp;"")=0,"",Base!E560)</f>
        <v/>
      </c>
      <c r="F560" s="61" t="str">
        <f aca="false">IF(LEN(A560&amp;"")=0,"",IF(Base!I560="-",0,Base!I560))</f>
        <v/>
      </c>
      <c r="G560" s="61" t="str">
        <f aca="false">IF(LEN(A560&amp;"")=0,"",SUM(Base!F560,F560,Base!K560))</f>
        <v/>
      </c>
      <c r="H560" s="61" t="str">
        <f aca="false">IF(LEN(A560&amp;"")=0,"",Base!L560)</f>
        <v/>
      </c>
      <c r="I560" s="61" t="str">
        <f aca="false">IF(LEN(A560&amp;"")=0,"",G560-H560)</f>
        <v/>
      </c>
      <c r="J560" s="61" t="str">
        <f aca="false">IF(LEN(A560&amp;"")=0,"",Base!M560)</f>
        <v/>
      </c>
      <c r="K560" s="1" t="n">
        <f aca="false">IF(OR(LEN(A560&amp;"")=0,$P$3=0),0,IF(AND(B560&gt;=Painel!$B$8,B560&lt;=Painel!$G$8,OR(Painel!$L$8="Todos",C560=Painel!$L$8),OR(Painel!$Q$8="Todos",D560=Painel!$Q$8),OR(Painel!$V$8="Todas",E560=Painel!$V$8)),1,0))</f>
        <v>0</v>
      </c>
      <c r="L560" s="61" t="str">
        <f aca="false">IF(LEN(A560&amp;"")=0,"",J560-I560)</f>
        <v/>
      </c>
      <c r="M560" s="1" t="n">
        <f aca="false">IF(LEN(A560&amp;"")=0,0,IF(COUNTIFS(Base!$A$7:$A$1006,A560)&gt;1,1,0))</f>
        <v>0</v>
      </c>
      <c r="N560" s="1" t="n">
        <f aca="false">IF(LEN(A560&amp;"")=0,0,IF(ABS(L560)&gt;0.005,1,0))</f>
        <v>0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customFormat="false" ht="23" hidden="false" customHeight="true" outlineLevel="0" collapsed="false">
      <c r="A561" s="1" t="str">
        <f aca="false">IF(LEN(Base!A561&amp;"")=0,"",Base!A561)</f>
        <v/>
      </c>
      <c r="B561" s="60" t="str">
        <f aca="false">IF(LEN(A561&amp;"")=0,"",Base!D561)</f>
        <v/>
      </c>
      <c r="C561" s="1" t="str">
        <f aca="false">IF(LEN(A561&amp;"")=0,"",Base!C561)</f>
        <v/>
      </c>
      <c r="D561" s="1" t="str">
        <f aca="false">IF(LEN(A561&amp;"")=0,"",Base!G561)</f>
        <v/>
      </c>
      <c r="E561" s="1" t="str">
        <f aca="false">IF(LEN(A561&amp;"")=0,"",Base!E561)</f>
        <v/>
      </c>
      <c r="F561" s="61" t="str">
        <f aca="false">IF(LEN(A561&amp;"")=0,"",IF(Base!I561="-",0,Base!I561))</f>
        <v/>
      </c>
      <c r="G561" s="61" t="str">
        <f aca="false">IF(LEN(A561&amp;"")=0,"",SUM(Base!F561,F561,Base!K561))</f>
        <v/>
      </c>
      <c r="H561" s="61" t="str">
        <f aca="false">IF(LEN(A561&amp;"")=0,"",Base!L561)</f>
        <v/>
      </c>
      <c r="I561" s="61" t="str">
        <f aca="false">IF(LEN(A561&amp;"")=0,"",G561-H561)</f>
        <v/>
      </c>
      <c r="J561" s="61" t="str">
        <f aca="false">IF(LEN(A561&amp;"")=0,"",Base!M561)</f>
        <v/>
      </c>
      <c r="K561" s="1" t="n">
        <f aca="false">IF(OR(LEN(A561&amp;"")=0,$P$3=0),0,IF(AND(B561&gt;=Painel!$B$8,B561&lt;=Painel!$G$8,OR(Painel!$L$8="Todos",C561=Painel!$L$8),OR(Painel!$Q$8="Todos",D561=Painel!$Q$8),OR(Painel!$V$8="Todas",E561=Painel!$V$8)),1,0))</f>
        <v>0</v>
      </c>
      <c r="L561" s="61" t="str">
        <f aca="false">IF(LEN(A561&amp;"")=0,"",J561-I561)</f>
        <v/>
      </c>
      <c r="M561" s="1" t="n">
        <f aca="false">IF(LEN(A561&amp;"")=0,0,IF(COUNTIFS(Base!$A$7:$A$1006,A561)&gt;1,1,0))</f>
        <v>0</v>
      </c>
      <c r="N561" s="1" t="n">
        <f aca="false">IF(LEN(A561&amp;"")=0,0,IF(ABS(L561)&gt;0.005,1,0))</f>
        <v>0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customFormat="false" ht="23" hidden="false" customHeight="true" outlineLevel="0" collapsed="false">
      <c r="A562" s="1" t="str">
        <f aca="false">IF(LEN(Base!A562&amp;"")=0,"",Base!A562)</f>
        <v/>
      </c>
      <c r="B562" s="60" t="str">
        <f aca="false">IF(LEN(A562&amp;"")=0,"",Base!D562)</f>
        <v/>
      </c>
      <c r="C562" s="1" t="str">
        <f aca="false">IF(LEN(A562&amp;"")=0,"",Base!C562)</f>
        <v/>
      </c>
      <c r="D562" s="1" t="str">
        <f aca="false">IF(LEN(A562&amp;"")=0,"",Base!G562)</f>
        <v/>
      </c>
      <c r="E562" s="1" t="str">
        <f aca="false">IF(LEN(A562&amp;"")=0,"",Base!E562)</f>
        <v/>
      </c>
      <c r="F562" s="61" t="str">
        <f aca="false">IF(LEN(A562&amp;"")=0,"",IF(Base!I562="-",0,Base!I562))</f>
        <v/>
      </c>
      <c r="G562" s="61" t="str">
        <f aca="false">IF(LEN(A562&amp;"")=0,"",SUM(Base!F562,F562,Base!K562))</f>
        <v/>
      </c>
      <c r="H562" s="61" t="str">
        <f aca="false">IF(LEN(A562&amp;"")=0,"",Base!L562)</f>
        <v/>
      </c>
      <c r="I562" s="61" t="str">
        <f aca="false">IF(LEN(A562&amp;"")=0,"",G562-H562)</f>
        <v/>
      </c>
      <c r="J562" s="61" t="str">
        <f aca="false">IF(LEN(A562&amp;"")=0,"",Base!M562)</f>
        <v/>
      </c>
      <c r="K562" s="1" t="n">
        <f aca="false">IF(OR(LEN(A562&amp;"")=0,$P$3=0),0,IF(AND(B562&gt;=Painel!$B$8,B562&lt;=Painel!$G$8,OR(Painel!$L$8="Todos",C562=Painel!$L$8),OR(Painel!$Q$8="Todos",D562=Painel!$Q$8),OR(Painel!$V$8="Todas",E562=Painel!$V$8)),1,0))</f>
        <v>0</v>
      </c>
      <c r="L562" s="61" t="str">
        <f aca="false">IF(LEN(A562&amp;"")=0,"",J562-I562)</f>
        <v/>
      </c>
      <c r="M562" s="1" t="n">
        <f aca="false">IF(LEN(A562&amp;"")=0,0,IF(COUNTIFS(Base!$A$7:$A$1006,A562)&gt;1,1,0))</f>
        <v>0</v>
      </c>
      <c r="N562" s="1" t="n">
        <f aca="false">IF(LEN(A562&amp;"")=0,0,IF(ABS(L562)&gt;0.005,1,0))</f>
        <v>0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customFormat="false" ht="23" hidden="false" customHeight="true" outlineLevel="0" collapsed="false">
      <c r="A563" s="1" t="str">
        <f aca="false">IF(LEN(Base!A563&amp;"")=0,"",Base!A563)</f>
        <v/>
      </c>
      <c r="B563" s="60" t="str">
        <f aca="false">IF(LEN(A563&amp;"")=0,"",Base!D563)</f>
        <v/>
      </c>
      <c r="C563" s="1" t="str">
        <f aca="false">IF(LEN(A563&amp;"")=0,"",Base!C563)</f>
        <v/>
      </c>
      <c r="D563" s="1" t="str">
        <f aca="false">IF(LEN(A563&amp;"")=0,"",Base!G563)</f>
        <v/>
      </c>
      <c r="E563" s="1" t="str">
        <f aca="false">IF(LEN(A563&amp;"")=0,"",Base!E563)</f>
        <v/>
      </c>
      <c r="F563" s="61" t="str">
        <f aca="false">IF(LEN(A563&amp;"")=0,"",IF(Base!I563="-",0,Base!I563))</f>
        <v/>
      </c>
      <c r="G563" s="61" t="str">
        <f aca="false">IF(LEN(A563&amp;"")=0,"",SUM(Base!F563,F563,Base!K563))</f>
        <v/>
      </c>
      <c r="H563" s="61" t="str">
        <f aca="false">IF(LEN(A563&amp;"")=0,"",Base!L563)</f>
        <v/>
      </c>
      <c r="I563" s="61" t="str">
        <f aca="false">IF(LEN(A563&amp;"")=0,"",G563-H563)</f>
        <v/>
      </c>
      <c r="J563" s="61" t="str">
        <f aca="false">IF(LEN(A563&amp;"")=0,"",Base!M563)</f>
        <v/>
      </c>
      <c r="K563" s="1" t="n">
        <f aca="false">IF(OR(LEN(A563&amp;"")=0,$P$3=0),0,IF(AND(B563&gt;=Painel!$B$8,B563&lt;=Painel!$G$8,OR(Painel!$L$8="Todos",C563=Painel!$L$8),OR(Painel!$Q$8="Todos",D563=Painel!$Q$8),OR(Painel!$V$8="Todas",E563=Painel!$V$8)),1,0))</f>
        <v>0</v>
      </c>
      <c r="L563" s="61" t="str">
        <f aca="false">IF(LEN(A563&amp;"")=0,"",J563-I563)</f>
        <v/>
      </c>
      <c r="M563" s="1" t="n">
        <f aca="false">IF(LEN(A563&amp;"")=0,0,IF(COUNTIFS(Base!$A$7:$A$1006,A563)&gt;1,1,0))</f>
        <v>0</v>
      </c>
      <c r="N563" s="1" t="n">
        <f aca="false">IF(LEN(A563&amp;"")=0,0,IF(ABS(L563)&gt;0.005,1,0))</f>
        <v>0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customFormat="false" ht="23" hidden="false" customHeight="true" outlineLevel="0" collapsed="false">
      <c r="A564" s="1" t="str">
        <f aca="false">IF(LEN(Base!A564&amp;"")=0,"",Base!A564)</f>
        <v/>
      </c>
      <c r="B564" s="60" t="str">
        <f aca="false">IF(LEN(A564&amp;"")=0,"",Base!D564)</f>
        <v/>
      </c>
      <c r="C564" s="1" t="str">
        <f aca="false">IF(LEN(A564&amp;"")=0,"",Base!C564)</f>
        <v/>
      </c>
      <c r="D564" s="1" t="str">
        <f aca="false">IF(LEN(A564&amp;"")=0,"",Base!G564)</f>
        <v/>
      </c>
      <c r="E564" s="1" t="str">
        <f aca="false">IF(LEN(A564&amp;"")=0,"",Base!E564)</f>
        <v/>
      </c>
      <c r="F564" s="61" t="str">
        <f aca="false">IF(LEN(A564&amp;"")=0,"",IF(Base!I564="-",0,Base!I564))</f>
        <v/>
      </c>
      <c r="G564" s="61" t="str">
        <f aca="false">IF(LEN(A564&amp;"")=0,"",SUM(Base!F564,F564,Base!K564))</f>
        <v/>
      </c>
      <c r="H564" s="61" t="str">
        <f aca="false">IF(LEN(A564&amp;"")=0,"",Base!L564)</f>
        <v/>
      </c>
      <c r="I564" s="61" t="str">
        <f aca="false">IF(LEN(A564&amp;"")=0,"",G564-H564)</f>
        <v/>
      </c>
      <c r="J564" s="61" t="str">
        <f aca="false">IF(LEN(A564&amp;"")=0,"",Base!M564)</f>
        <v/>
      </c>
      <c r="K564" s="1" t="n">
        <f aca="false">IF(OR(LEN(A564&amp;"")=0,$P$3=0),0,IF(AND(B564&gt;=Painel!$B$8,B564&lt;=Painel!$G$8,OR(Painel!$L$8="Todos",C564=Painel!$L$8),OR(Painel!$Q$8="Todos",D564=Painel!$Q$8),OR(Painel!$V$8="Todas",E564=Painel!$V$8)),1,0))</f>
        <v>0</v>
      </c>
      <c r="L564" s="61" t="str">
        <f aca="false">IF(LEN(A564&amp;"")=0,"",J564-I564)</f>
        <v/>
      </c>
      <c r="M564" s="1" t="n">
        <f aca="false">IF(LEN(A564&amp;"")=0,0,IF(COUNTIFS(Base!$A$7:$A$1006,A564)&gt;1,1,0))</f>
        <v>0</v>
      </c>
      <c r="N564" s="1" t="n">
        <f aca="false">IF(LEN(A564&amp;"")=0,0,IF(ABS(L564)&gt;0.005,1,0))</f>
        <v>0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customFormat="false" ht="23" hidden="false" customHeight="true" outlineLevel="0" collapsed="false">
      <c r="A565" s="1" t="str">
        <f aca="false">IF(LEN(Base!A565&amp;"")=0,"",Base!A565)</f>
        <v/>
      </c>
      <c r="B565" s="60" t="str">
        <f aca="false">IF(LEN(A565&amp;"")=0,"",Base!D565)</f>
        <v/>
      </c>
      <c r="C565" s="1" t="str">
        <f aca="false">IF(LEN(A565&amp;"")=0,"",Base!C565)</f>
        <v/>
      </c>
      <c r="D565" s="1" t="str">
        <f aca="false">IF(LEN(A565&amp;"")=0,"",Base!G565)</f>
        <v/>
      </c>
      <c r="E565" s="1" t="str">
        <f aca="false">IF(LEN(A565&amp;"")=0,"",Base!E565)</f>
        <v/>
      </c>
      <c r="F565" s="61" t="str">
        <f aca="false">IF(LEN(A565&amp;"")=0,"",IF(Base!I565="-",0,Base!I565))</f>
        <v/>
      </c>
      <c r="G565" s="61" t="str">
        <f aca="false">IF(LEN(A565&amp;"")=0,"",SUM(Base!F565,F565,Base!K565))</f>
        <v/>
      </c>
      <c r="H565" s="61" t="str">
        <f aca="false">IF(LEN(A565&amp;"")=0,"",Base!L565)</f>
        <v/>
      </c>
      <c r="I565" s="61" t="str">
        <f aca="false">IF(LEN(A565&amp;"")=0,"",G565-H565)</f>
        <v/>
      </c>
      <c r="J565" s="61" t="str">
        <f aca="false">IF(LEN(A565&amp;"")=0,"",Base!M565)</f>
        <v/>
      </c>
      <c r="K565" s="1" t="n">
        <f aca="false">IF(OR(LEN(A565&amp;"")=0,$P$3=0),0,IF(AND(B565&gt;=Painel!$B$8,B565&lt;=Painel!$G$8,OR(Painel!$L$8="Todos",C565=Painel!$L$8),OR(Painel!$Q$8="Todos",D565=Painel!$Q$8),OR(Painel!$V$8="Todas",E565=Painel!$V$8)),1,0))</f>
        <v>0</v>
      </c>
      <c r="L565" s="61" t="str">
        <f aca="false">IF(LEN(A565&amp;"")=0,"",J565-I565)</f>
        <v/>
      </c>
      <c r="M565" s="1" t="n">
        <f aca="false">IF(LEN(A565&amp;"")=0,0,IF(COUNTIFS(Base!$A$7:$A$1006,A565)&gt;1,1,0))</f>
        <v>0</v>
      </c>
      <c r="N565" s="1" t="n">
        <f aca="false">IF(LEN(A565&amp;"")=0,0,IF(ABS(L565)&gt;0.005,1,0))</f>
        <v>0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customFormat="false" ht="23" hidden="false" customHeight="true" outlineLevel="0" collapsed="false">
      <c r="A566" s="1" t="str">
        <f aca="false">IF(LEN(Base!A566&amp;"")=0,"",Base!A566)</f>
        <v/>
      </c>
      <c r="B566" s="60" t="str">
        <f aca="false">IF(LEN(A566&amp;"")=0,"",Base!D566)</f>
        <v/>
      </c>
      <c r="C566" s="1" t="str">
        <f aca="false">IF(LEN(A566&amp;"")=0,"",Base!C566)</f>
        <v/>
      </c>
      <c r="D566" s="1" t="str">
        <f aca="false">IF(LEN(A566&amp;"")=0,"",Base!G566)</f>
        <v/>
      </c>
      <c r="E566" s="1" t="str">
        <f aca="false">IF(LEN(A566&amp;"")=0,"",Base!E566)</f>
        <v/>
      </c>
      <c r="F566" s="61" t="str">
        <f aca="false">IF(LEN(A566&amp;"")=0,"",IF(Base!I566="-",0,Base!I566))</f>
        <v/>
      </c>
      <c r="G566" s="61" t="str">
        <f aca="false">IF(LEN(A566&amp;"")=0,"",SUM(Base!F566,F566,Base!K566))</f>
        <v/>
      </c>
      <c r="H566" s="61" t="str">
        <f aca="false">IF(LEN(A566&amp;"")=0,"",Base!L566)</f>
        <v/>
      </c>
      <c r="I566" s="61" t="str">
        <f aca="false">IF(LEN(A566&amp;"")=0,"",G566-H566)</f>
        <v/>
      </c>
      <c r="J566" s="61" t="str">
        <f aca="false">IF(LEN(A566&amp;"")=0,"",Base!M566)</f>
        <v/>
      </c>
      <c r="K566" s="1" t="n">
        <f aca="false">IF(OR(LEN(A566&amp;"")=0,$P$3=0),0,IF(AND(B566&gt;=Painel!$B$8,B566&lt;=Painel!$G$8,OR(Painel!$L$8="Todos",C566=Painel!$L$8),OR(Painel!$Q$8="Todos",D566=Painel!$Q$8),OR(Painel!$V$8="Todas",E566=Painel!$V$8)),1,0))</f>
        <v>0</v>
      </c>
      <c r="L566" s="61" t="str">
        <f aca="false">IF(LEN(A566&amp;"")=0,"",J566-I566)</f>
        <v/>
      </c>
      <c r="M566" s="1" t="n">
        <f aca="false">IF(LEN(A566&amp;"")=0,0,IF(COUNTIFS(Base!$A$7:$A$1006,A566)&gt;1,1,0))</f>
        <v>0</v>
      </c>
      <c r="N566" s="1" t="n">
        <f aca="false">IF(LEN(A566&amp;"")=0,0,IF(ABS(L566)&gt;0.005,1,0))</f>
        <v>0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customFormat="false" ht="23" hidden="false" customHeight="true" outlineLevel="0" collapsed="false">
      <c r="A567" s="1" t="str">
        <f aca="false">IF(LEN(Base!A567&amp;"")=0,"",Base!A567)</f>
        <v/>
      </c>
      <c r="B567" s="60" t="str">
        <f aca="false">IF(LEN(A567&amp;"")=0,"",Base!D567)</f>
        <v/>
      </c>
      <c r="C567" s="1" t="str">
        <f aca="false">IF(LEN(A567&amp;"")=0,"",Base!C567)</f>
        <v/>
      </c>
      <c r="D567" s="1" t="str">
        <f aca="false">IF(LEN(A567&amp;"")=0,"",Base!G567)</f>
        <v/>
      </c>
      <c r="E567" s="1" t="str">
        <f aca="false">IF(LEN(A567&amp;"")=0,"",Base!E567)</f>
        <v/>
      </c>
      <c r="F567" s="61" t="str">
        <f aca="false">IF(LEN(A567&amp;"")=0,"",IF(Base!I567="-",0,Base!I567))</f>
        <v/>
      </c>
      <c r="G567" s="61" t="str">
        <f aca="false">IF(LEN(A567&amp;"")=0,"",SUM(Base!F567,F567,Base!K567))</f>
        <v/>
      </c>
      <c r="H567" s="61" t="str">
        <f aca="false">IF(LEN(A567&amp;"")=0,"",Base!L567)</f>
        <v/>
      </c>
      <c r="I567" s="61" t="str">
        <f aca="false">IF(LEN(A567&amp;"")=0,"",G567-H567)</f>
        <v/>
      </c>
      <c r="J567" s="61" t="str">
        <f aca="false">IF(LEN(A567&amp;"")=0,"",Base!M567)</f>
        <v/>
      </c>
      <c r="K567" s="1" t="n">
        <f aca="false">IF(OR(LEN(A567&amp;"")=0,$P$3=0),0,IF(AND(B567&gt;=Painel!$B$8,B567&lt;=Painel!$G$8,OR(Painel!$L$8="Todos",C567=Painel!$L$8),OR(Painel!$Q$8="Todos",D567=Painel!$Q$8),OR(Painel!$V$8="Todas",E567=Painel!$V$8)),1,0))</f>
        <v>0</v>
      </c>
      <c r="L567" s="61" t="str">
        <f aca="false">IF(LEN(A567&amp;"")=0,"",J567-I567)</f>
        <v/>
      </c>
      <c r="M567" s="1" t="n">
        <f aca="false">IF(LEN(A567&amp;"")=0,0,IF(COUNTIFS(Base!$A$7:$A$1006,A567)&gt;1,1,0))</f>
        <v>0</v>
      </c>
      <c r="N567" s="1" t="n">
        <f aca="false">IF(LEN(A567&amp;"")=0,0,IF(ABS(L567)&gt;0.005,1,0))</f>
        <v>0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customFormat="false" ht="23" hidden="false" customHeight="true" outlineLevel="0" collapsed="false">
      <c r="A568" s="1" t="str">
        <f aca="false">IF(LEN(Base!A568&amp;"")=0,"",Base!A568)</f>
        <v/>
      </c>
      <c r="B568" s="60" t="str">
        <f aca="false">IF(LEN(A568&amp;"")=0,"",Base!D568)</f>
        <v/>
      </c>
      <c r="C568" s="1" t="str">
        <f aca="false">IF(LEN(A568&amp;"")=0,"",Base!C568)</f>
        <v/>
      </c>
      <c r="D568" s="1" t="str">
        <f aca="false">IF(LEN(A568&amp;"")=0,"",Base!G568)</f>
        <v/>
      </c>
      <c r="E568" s="1" t="str">
        <f aca="false">IF(LEN(A568&amp;"")=0,"",Base!E568)</f>
        <v/>
      </c>
      <c r="F568" s="61" t="str">
        <f aca="false">IF(LEN(A568&amp;"")=0,"",IF(Base!I568="-",0,Base!I568))</f>
        <v/>
      </c>
      <c r="G568" s="61" t="str">
        <f aca="false">IF(LEN(A568&amp;"")=0,"",SUM(Base!F568,F568,Base!K568))</f>
        <v/>
      </c>
      <c r="H568" s="61" t="str">
        <f aca="false">IF(LEN(A568&amp;"")=0,"",Base!L568)</f>
        <v/>
      </c>
      <c r="I568" s="61" t="str">
        <f aca="false">IF(LEN(A568&amp;"")=0,"",G568-H568)</f>
        <v/>
      </c>
      <c r="J568" s="61" t="str">
        <f aca="false">IF(LEN(A568&amp;"")=0,"",Base!M568)</f>
        <v/>
      </c>
      <c r="K568" s="1" t="n">
        <f aca="false">IF(OR(LEN(A568&amp;"")=0,$P$3=0),0,IF(AND(B568&gt;=Painel!$B$8,B568&lt;=Painel!$G$8,OR(Painel!$L$8="Todos",C568=Painel!$L$8),OR(Painel!$Q$8="Todos",D568=Painel!$Q$8),OR(Painel!$V$8="Todas",E568=Painel!$V$8)),1,0))</f>
        <v>0</v>
      </c>
      <c r="L568" s="61" t="str">
        <f aca="false">IF(LEN(A568&amp;"")=0,"",J568-I568)</f>
        <v/>
      </c>
      <c r="M568" s="1" t="n">
        <f aca="false">IF(LEN(A568&amp;"")=0,0,IF(COUNTIFS(Base!$A$7:$A$1006,A568)&gt;1,1,0))</f>
        <v>0</v>
      </c>
      <c r="N568" s="1" t="n">
        <f aca="false">IF(LEN(A568&amp;"")=0,0,IF(ABS(L568)&gt;0.005,1,0))</f>
        <v>0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customFormat="false" ht="23" hidden="false" customHeight="true" outlineLevel="0" collapsed="false">
      <c r="A569" s="1" t="str">
        <f aca="false">IF(LEN(Base!A569&amp;"")=0,"",Base!A569)</f>
        <v/>
      </c>
      <c r="B569" s="60" t="str">
        <f aca="false">IF(LEN(A569&amp;"")=0,"",Base!D569)</f>
        <v/>
      </c>
      <c r="C569" s="1" t="str">
        <f aca="false">IF(LEN(A569&amp;"")=0,"",Base!C569)</f>
        <v/>
      </c>
      <c r="D569" s="1" t="str">
        <f aca="false">IF(LEN(A569&amp;"")=0,"",Base!G569)</f>
        <v/>
      </c>
      <c r="E569" s="1" t="str">
        <f aca="false">IF(LEN(A569&amp;"")=0,"",Base!E569)</f>
        <v/>
      </c>
      <c r="F569" s="61" t="str">
        <f aca="false">IF(LEN(A569&amp;"")=0,"",IF(Base!I569="-",0,Base!I569))</f>
        <v/>
      </c>
      <c r="G569" s="61" t="str">
        <f aca="false">IF(LEN(A569&amp;"")=0,"",SUM(Base!F569,F569,Base!K569))</f>
        <v/>
      </c>
      <c r="H569" s="61" t="str">
        <f aca="false">IF(LEN(A569&amp;"")=0,"",Base!L569)</f>
        <v/>
      </c>
      <c r="I569" s="61" t="str">
        <f aca="false">IF(LEN(A569&amp;"")=0,"",G569-H569)</f>
        <v/>
      </c>
      <c r="J569" s="61" t="str">
        <f aca="false">IF(LEN(A569&amp;"")=0,"",Base!M569)</f>
        <v/>
      </c>
      <c r="K569" s="1" t="n">
        <f aca="false">IF(OR(LEN(A569&amp;"")=0,$P$3=0),0,IF(AND(B569&gt;=Painel!$B$8,B569&lt;=Painel!$G$8,OR(Painel!$L$8="Todos",C569=Painel!$L$8),OR(Painel!$Q$8="Todos",D569=Painel!$Q$8),OR(Painel!$V$8="Todas",E569=Painel!$V$8)),1,0))</f>
        <v>0</v>
      </c>
      <c r="L569" s="61" t="str">
        <f aca="false">IF(LEN(A569&amp;"")=0,"",J569-I569)</f>
        <v/>
      </c>
      <c r="M569" s="1" t="n">
        <f aca="false">IF(LEN(A569&amp;"")=0,0,IF(COUNTIFS(Base!$A$7:$A$1006,A569)&gt;1,1,0))</f>
        <v>0</v>
      </c>
      <c r="N569" s="1" t="n">
        <f aca="false">IF(LEN(A569&amp;"")=0,0,IF(ABS(L569)&gt;0.005,1,0))</f>
        <v>0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customFormat="false" ht="23" hidden="false" customHeight="true" outlineLevel="0" collapsed="false">
      <c r="A570" s="1" t="str">
        <f aca="false">IF(LEN(Base!A570&amp;"")=0,"",Base!A570)</f>
        <v/>
      </c>
      <c r="B570" s="60" t="str">
        <f aca="false">IF(LEN(A570&amp;"")=0,"",Base!D570)</f>
        <v/>
      </c>
      <c r="C570" s="1" t="str">
        <f aca="false">IF(LEN(A570&amp;"")=0,"",Base!C570)</f>
        <v/>
      </c>
      <c r="D570" s="1" t="str">
        <f aca="false">IF(LEN(A570&amp;"")=0,"",Base!G570)</f>
        <v/>
      </c>
      <c r="E570" s="1" t="str">
        <f aca="false">IF(LEN(A570&amp;"")=0,"",Base!E570)</f>
        <v/>
      </c>
      <c r="F570" s="61" t="str">
        <f aca="false">IF(LEN(A570&amp;"")=0,"",IF(Base!I570="-",0,Base!I570))</f>
        <v/>
      </c>
      <c r="G570" s="61" t="str">
        <f aca="false">IF(LEN(A570&amp;"")=0,"",SUM(Base!F570,F570,Base!K570))</f>
        <v/>
      </c>
      <c r="H570" s="61" t="str">
        <f aca="false">IF(LEN(A570&amp;"")=0,"",Base!L570)</f>
        <v/>
      </c>
      <c r="I570" s="61" t="str">
        <f aca="false">IF(LEN(A570&amp;"")=0,"",G570-H570)</f>
        <v/>
      </c>
      <c r="J570" s="61" t="str">
        <f aca="false">IF(LEN(A570&amp;"")=0,"",Base!M570)</f>
        <v/>
      </c>
      <c r="K570" s="1" t="n">
        <f aca="false">IF(OR(LEN(A570&amp;"")=0,$P$3=0),0,IF(AND(B570&gt;=Painel!$B$8,B570&lt;=Painel!$G$8,OR(Painel!$L$8="Todos",C570=Painel!$L$8),OR(Painel!$Q$8="Todos",D570=Painel!$Q$8),OR(Painel!$V$8="Todas",E570=Painel!$V$8)),1,0))</f>
        <v>0</v>
      </c>
      <c r="L570" s="61" t="str">
        <f aca="false">IF(LEN(A570&amp;"")=0,"",J570-I570)</f>
        <v/>
      </c>
      <c r="M570" s="1" t="n">
        <f aca="false">IF(LEN(A570&amp;"")=0,0,IF(COUNTIFS(Base!$A$7:$A$1006,A570)&gt;1,1,0))</f>
        <v>0</v>
      </c>
      <c r="N570" s="1" t="n">
        <f aca="false">IF(LEN(A570&amp;"")=0,0,IF(ABS(L570)&gt;0.005,1,0))</f>
        <v>0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customFormat="false" ht="23" hidden="false" customHeight="true" outlineLevel="0" collapsed="false">
      <c r="A571" s="1" t="str">
        <f aca="false">IF(LEN(Base!A571&amp;"")=0,"",Base!A571)</f>
        <v/>
      </c>
      <c r="B571" s="60" t="str">
        <f aca="false">IF(LEN(A571&amp;"")=0,"",Base!D571)</f>
        <v/>
      </c>
      <c r="C571" s="1" t="str">
        <f aca="false">IF(LEN(A571&amp;"")=0,"",Base!C571)</f>
        <v/>
      </c>
      <c r="D571" s="1" t="str">
        <f aca="false">IF(LEN(A571&amp;"")=0,"",Base!G571)</f>
        <v/>
      </c>
      <c r="E571" s="1" t="str">
        <f aca="false">IF(LEN(A571&amp;"")=0,"",Base!E571)</f>
        <v/>
      </c>
      <c r="F571" s="61" t="str">
        <f aca="false">IF(LEN(A571&amp;"")=0,"",IF(Base!I571="-",0,Base!I571))</f>
        <v/>
      </c>
      <c r="G571" s="61" t="str">
        <f aca="false">IF(LEN(A571&amp;"")=0,"",SUM(Base!F571,F571,Base!K571))</f>
        <v/>
      </c>
      <c r="H571" s="61" t="str">
        <f aca="false">IF(LEN(A571&amp;"")=0,"",Base!L571)</f>
        <v/>
      </c>
      <c r="I571" s="61" t="str">
        <f aca="false">IF(LEN(A571&amp;"")=0,"",G571-H571)</f>
        <v/>
      </c>
      <c r="J571" s="61" t="str">
        <f aca="false">IF(LEN(A571&amp;"")=0,"",Base!M571)</f>
        <v/>
      </c>
      <c r="K571" s="1" t="n">
        <f aca="false">IF(OR(LEN(A571&amp;"")=0,$P$3=0),0,IF(AND(B571&gt;=Painel!$B$8,B571&lt;=Painel!$G$8,OR(Painel!$L$8="Todos",C571=Painel!$L$8),OR(Painel!$Q$8="Todos",D571=Painel!$Q$8),OR(Painel!$V$8="Todas",E571=Painel!$V$8)),1,0))</f>
        <v>0</v>
      </c>
      <c r="L571" s="61" t="str">
        <f aca="false">IF(LEN(A571&amp;"")=0,"",J571-I571)</f>
        <v/>
      </c>
      <c r="M571" s="1" t="n">
        <f aca="false">IF(LEN(A571&amp;"")=0,0,IF(COUNTIFS(Base!$A$7:$A$1006,A571)&gt;1,1,0))</f>
        <v>0</v>
      </c>
      <c r="N571" s="1" t="n">
        <f aca="false">IF(LEN(A571&amp;"")=0,0,IF(ABS(L571)&gt;0.005,1,0))</f>
        <v>0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customFormat="false" ht="23" hidden="false" customHeight="true" outlineLevel="0" collapsed="false">
      <c r="A572" s="1" t="str">
        <f aca="false">IF(LEN(Base!A572&amp;"")=0,"",Base!A572)</f>
        <v/>
      </c>
      <c r="B572" s="60" t="str">
        <f aca="false">IF(LEN(A572&amp;"")=0,"",Base!D572)</f>
        <v/>
      </c>
      <c r="C572" s="1" t="str">
        <f aca="false">IF(LEN(A572&amp;"")=0,"",Base!C572)</f>
        <v/>
      </c>
      <c r="D572" s="1" t="str">
        <f aca="false">IF(LEN(A572&amp;"")=0,"",Base!G572)</f>
        <v/>
      </c>
      <c r="E572" s="1" t="str">
        <f aca="false">IF(LEN(A572&amp;"")=0,"",Base!E572)</f>
        <v/>
      </c>
      <c r="F572" s="61" t="str">
        <f aca="false">IF(LEN(A572&amp;"")=0,"",IF(Base!I572="-",0,Base!I572))</f>
        <v/>
      </c>
      <c r="G572" s="61" t="str">
        <f aca="false">IF(LEN(A572&amp;"")=0,"",SUM(Base!F572,F572,Base!K572))</f>
        <v/>
      </c>
      <c r="H572" s="61" t="str">
        <f aca="false">IF(LEN(A572&amp;"")=0,"",Base!L572)</f>
        <v/>
      </c>
      <c r="I572" s="61" t="str">
        <f aca="false">IF(LEN(A572&amp;"")=0,"",G572-H572)</f>
        <v/>
      </c>
      <c r="J572" s="61" t="str">
        <f aca="false">IF(LEN(A572&amp;"")=0,"",Base!M572)</f>
        <v/>
      </c>
      <c r="K572" s="1" t="n">
        <f aca="false">IF(OR(LEN(A572&amp;"")=0,$P$3=0),0,IF(AND(B572&gt;=Painel!$B$8,B572&lt;=Painel!$G$8,OR(Painel!$L$8="Todos",C572=Painel!$L$8),OR(Painel!$Q$8="Todos",D572=Painel!$Q$8),OR(Painel!$V$8="Todas",E572=Painel!$V$8)),1,0))</f>
        <v>0</v>
      </c>
      <c r="L572" s="61" t="str">
        <f aca="false">IF(LEN(A572&amp;"")=0,"",J572-I572)</f>
        <v/>
      </c>
      <c r="M572" s="1" t="n">
        <f aca="false">IF(LEN(A572&amp;"")=0,0,IF(COUNTIFS(Base!$A$7:$A$1006,A572)&gt;1,1,0))</f>
        <v>0</v>
      </c>
      <c r="N572" s="1" t="n">
        <f aca="false">IF(LEN(A572&amp;"")=0,0,IF(ABS(L572)&gt;0.005,1,0))</f>
        <v>0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customFormat="false" ht="23" hidden="false" customHeight="true" outlineLevel="0" collapsed="false">
      <c r="A573" s="1" t="str">
        <f aca="false">IF(LEN(Base!A573&amp;"")=0,"",Base!A573)</f>
        <v/>
      </c>
      <c r="B573" s="60" t="str">
        <f aca="false">IF(LEN(A573&amp;"")=0,"",Base!D573)</f>
        <v/>
      </c>
      <c r="C573" s="1" t="str">
        <f aca="false">IF(LEN(A573&amp;"")=0,"",Base!C573)</f>
        <v/>
      </c>
      <c r="D573" s="1" t="str">
        <f aca="false">IF(LEN(A573&amp;"")=0,"",Base!G573)</f>
        <v/>
      </c>
      <c r="E573" s="1" t="str">
        <f aca="false">IF(LEN(A573&amp;"")=0,"",Base!E573)</f>
        <v/>
      </c>
      <c r="F573" s="61" t="str">
        <f aca="false">IF(LEN(A573&amp;"")=0,"",IF(Base!I573="-",0,Base!I573))</f>
        <v/>
      </c>
      <c r="G573" s="61" t="str">
        <f aca="false">IF(LEN(A573&amp;"")=0,"",SUM(Base!F573,F573,Base!K573))</f>
        <v/>
      </c>
      <c r="H573" s="61" t="str">
        <f aca="false">IF(LEN(A573&amp;"")=0,"",Base!L573)</f>
        <v/>
      </c>
      <c r="I573" s="61" t="str">
        <f aca="false">IF(LEN(A573&amp;"")=0,"",G573-H573)</f>
        <v/>
      </c>
      <c r="J573" s="61" t="str">
        <f aca="false">IF(LEN(A573&amp;"")=0,"",Base!M573)</f>
        <v/>
      </c>
      <c r="K573" s="1" t="n">
        <f aca="false">IF(OR(LEN(A573&amp;"")=0,$P$3=0),0,IF(AND(B573&gt;=Painel!$B$8,B573&lt;=Painel!$G$8,OR(Painel!$L$8="Todos",C573=Painel!$L$8),OR(Painel!$Q$8="Todos",D573=Painel!$Q$8),OR(Painel!$V$8="Todas",E573=Painel!$V$8)),1,0))</f>
        <v>0</v>
      </c>
      <c r="L573" s="61" t="str">
        <f aca="false">IF(LEN(A573&amp;"")=0,"",J573-I573)</f>
        <v/>
      </c>
      <c r="M573" s="1" t="n">
        <f aca="false">IF(LEN(A573&amp;"")=0,0,IF(COUNTIFS(Base!$A$7:$A$1006,A573)&gt;1,1,0))</f>
        <v>0</v>
      </c>
      <c r="N573" s="1" t="n">
        <f aca="false">IF(LEN(A573&amp;"")=0,0,IF(ABS(L573)&gt;0.005,1,0))</f>
        <v>0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customFormat="false" ht="23" hidden="false" customHeight="true" outlineLevel="0" collapsed="false">
      <c r="A574" s="1" t="str">
        <f aca="false">IF(LEN(Base!A574&amp;"")=0,"",Base!A574)</f>
        <v/>
      </c>
      <c r="B574" s="60" t="str">
        <f aca="false">IF(LEN(A574&amp;"")=0,"",Base!D574)</f>
        <v/>
      </c>
      <c r="C574" s="1" t="str">
        <f aca="false">IF(LEN(A574&amp;"")=0,"",Base!C574)</f>
        <v/>
      </c>
      <c r="D574" s="1" t="str">
        <f aca="false">IF(LEN(A574&amp;"")=0,"",Base!G574)</f>
        <v/>
      </c>
      <c r="E574" s="1" t="str">
        <f aca="false">IF(LEN(A574&amp;"")=0,"",Base!E574)</f>
        <v/>
      </c>
      <c r="F574" s="61" t="str">
        <f aca="false">IF(LEN(A574&amp;"")=0,"",IF(Base!I574="-",0,Base!I574))</f>
        <v/>
      </c>
      <c r="G574" s="61" t="str">
        <f aca="false">IF(LEN(A574&amp;"")=0,"",SUM(Base!F574,F574,Base!K574))</f>
        <v/>
      </c>
      <c r="H574" s="61" t="str">
        <f aca="false">IF(LEN(A574&amp;"")=0,"",Base!L574)</f>
        <v/>
      </c>
      <c r="I574" s="61" t="str">
        <f aca="false">IF(LEN(A574&amp;"")=0,"",G574-H574)</f>
        <v/>
      </c>
      <c r="J574" s="61" t="str">
        <f aca="false">IF(LEN(A574&amp;"")=0,"",Base!M574)</f>
        <v/>
      </c>
      <c r="K574" s="1" t="n">
        <f aca="false">IF(OR(LEN(A574&amp;"")=0,$P$3=0),0,IF(AND(B574&gt;=Painel!$B$8,B574&lt;=Painel!$G$8,OR(Painel!$L$8="Todos",C574=Painel!$L$8),OR(Painel!$Q$8="Todos",D574=Painel!$Q$8),OR(Painel!$V$8="Todas",E574=Painel!$V$8)),1,0))</f>
        <v>0</v>
      </c>
      <c r="L574" s="61" t="str">
        <f aca="false">IF(LEN(A574&amp;"")=0,"",J574-I574)</f>
        <v/>
      </c>
      <c r="M574" s="1" t="n">
        <f aca="false">IF(LEN(A574&amp;"")=0,0,IF(COUNTIFS(Base!$A$7:$A$1006,A574)&gt;1,1,0))</f>
        <v>0</v>
      </c>
      <c r="N574" s="1" t="n">
        <f aca="false">IF(LEN(A574&amp;"")=0,0,IF(ABS(L574)&gt;0.005,1,0))</f>
        <v>0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customFormat="false" ht="23" hidden="false" customHeight="true" outlineLevel="0" collapsed="false">
      <c r="A575" s="1" t="str">
        <f aca="false">IF(LEN(Base!A575&amp;"")=0,"",Base!A575)</f>
        <v/>
      </c>
      <c r="B575" s="60" t="str">
        <f aca="false">IF(LEN(A575&amp;"")=0,"",Base!D575)</f>
        <v/>
      </c>
      <c r="C575" s="1" t="str">
        <f aca="false">IF(LEN(A575&amp;"")=0,"",Base!C575)</f>
        <v/>
      </c>
      <c r="D575" s="1" t="str">
        <f aca="false">IF(LEN(A575&amp;"")=0,"",Base!G575)</f>
        <v/>
      </c>
      <c r="E575" s="1" t="str">
        <f aca="false">IF(LEN(A575&amp;"")=0,"",Base!E575)</f>
        <v/>
      </c>
      <c r="F575" s="61" t="str">
        <f aca="false">IF(LEN(A575&amp;"")=0,"",IF(Base!I575="-",0,Base!I575))</f>
        <v/>
      </c>
      <c r="G575" s="61" t="str">
        <f aca="false">IF(LEN(A575&amp;"")=0,"",SUM(Base!F575,F575,Base!K575))</f>
        <v/>
      </c>
      <c r="H575" s="61" t="str">
        <f aca="false">IF(LEN(A575&amp;"")=0,"",Base!L575)</f>
        <v/>
      </c>
      <c r="I575" s="61" t="str">
        <f aca="false">IF(LEN(A575&amp;"")=0,"",G575-H575)</f>
        <v/>
      </c>
      <c r="J575" s="61" t="str">
        <f aca="false">IF(LEN(A575&amp;"")=0,"",Base!M575)</f>
        <v/>
      </c>
      <c r="K575" s="1" t="n">
        <f aca="false">IF(OR(LEN(A575&amp;"")=0,$P$3=0),0,IF(AND(B575&gt;=Painel!$B$8,B575&lt;=Painel!$G$8,OR(Painel!$L$8="Todos",C575=Painel!$L$8),OR(Painel!$Q$8="Todos",D575=Painel!$Q$8),OR(Painel!$V$8="Todas",E575=Painel!$V$8)),1,0))</f>
        <v>0</v>
      </c>
      <c r="L575" s="61" t="str">
        <f aca="false">IF(LEN(A575&amp;"")=0,"",J575-I575)</f>
        <v/>
      </c>
      <c r="M575" s="1" t="n">
        <f aca="false">IF(LEN(A575&amp;"")=0,0,IF(COUNTIFS(Base!$A$7:$A$1006,A575)&gt;1,1,0))</f>
        <v>0</v>
      </c>
      <c r="N575" s="1" t="n">
        <f aca="false">IF(LEN(A575&amp;"")=0,0,IF(ABS(L575)&gt;0.005,1,0))</f>
        <v>0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customFormat="false" ht="23" hidden="false" customHeight="true" outlineLevel="0" collapsed="false">
      <c r="A576" s="1" t="str">
        <f aca="false">IF(LEN(Base!A576&amp;"")=0,"",Base!A576)</f>
        <v/>
      </c>
      <c r="B576" s="60" t="str">
        <f aca="false">IF(LEN(A576&amp;"")=0,"",Base!D576)</f>
        <v/>
      </c>
      <c r="C576" s="1" t="str">
        <f aca="false">IF(LEN(A576&amp;"")=0,"",Base!C576)</f>
        <v/>
      </c>
      <c r="D576" s="1" t="str">
        <f aca="false">IF(LEN(A576&amp;"")=0,"",Base!G576)</f>
        <v/>
      </c>
      <c r="E576" s="1" t="str">
        <f aca="false">IF(LEN(A576&amp;"")=0,"",Base!E576)</f>
        <v/>
      </c>
      <c r="F576" s="61" t="str">
        <f aca="false">IF(LEN(A576&amp;"")=0,"",IF(Base!I576="-",0,Base!I576))</f>
        <v/>
      </c>
      <c r="G576" s="61" t="str">
        <f aca="false">IF(LEN(A576&amp;"")=0,"",SUM(Base!F576,F576,Base!K576))</f>
        <v/>
      </c>
      <c r="H576" s="61" t="str">
        <f aca="false">IF(LEN(A576&amp;"")=0,"",Base!L576)</f>
        <v/>
      </c>
      <c r="I576" s="61" t="str">
        <f aca="false">IF(LEN(A576&amp;"")=0,"",G576-H576)</f>
        <v/>
      </c>
      <c r="J576" s="61" t="str">
        <f aca="false">IF(LEN(A576&amp;"")=0,"",Base!M576)</f>
        <v/>
      </c>
      <c r="K576" s="1" t="n">
        <f aca="false">IF(OR(LEN(A576&amp;"")=0,$P$3=0),0,IF(AND(B576&gt;=Painel!$B$8,B576&lt;=Painel!$G$8,OR(Painel!$L$8="Todos",C576=Painel!$L$8),OR(Painel!$Q$8="Todos",D576=Painel!$Q$8),OR(Painel!$V$8="Todas",E576=Painel!$V$8)),1,0))</f>
        <v>0</v>
      </c>
      <c r="L576" s="61" t="str">
        <f aca="false">IF(LEN(A576&amp;"")=0,"",J576-I576)</f>
        <v/>
      </c>
      <c r="M576" s="1" t="n">
        <f aca="false">IF(LEN(A576&amp;"")=0,0,IF(COUNTIFS(Base!$A$7:$A$1006,A576)&gt;1,1,0))</f>
        <v>0</v>
      </c>
      <c r="N576" s="1" t="n">
        <f aca="false">IF(LEN(A576&amp;"")=0,0,IF(ABS(L576)&gt;0.005,1,0))</f>
        <v>0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customFormat="false" ht="23" hidden="false" customHeight="true" outlineLevel="0" collapsed="false">
      <c r="A577" s="1" t="str">
        <f aca="false">IF(LEN(Base!A577&amp;"")=0,"",Base!A577)</f>
        <v/>
      </c>
      <c r="B577" s="60" t="str">
        <f aca="false">IF(LEN(A577&amp;"")=0,"",Base!D577)</f>
        <v/>
      </c>
      <c r="C577" s="1" t="str">
        <f aca="false">IF(LEN(A577&amp;"")=0,"",Base!C577)</f>
        <v/>
      </c>
      <c r="D577" s="1" t="str">
        <f aca="false">IF(LEN(A577&amp;"")=0,"",Base!G577)</f>
        <v/>
      </c>
      <c r="E577" s="1" t="str">
        <f aca="false">IF(LEN(A577&amp;"")=0,"",Base!E577)</f>
        <v/>
      </c>
      <c r="F577" s="61" t="str">
        <f aca="false">IF(LEN(A577&amp;"")=0,"",IF(Base!I577="-",0,Base!I577))</f>
        <v/>
      </c>
      <c r="G577" s="61" t="str">
        <f aca="false">IF(LEN(A577&amp;"")=0,"",SUM(Base!F577,F577,Base!K577))</f>
        <v/>
      </c>
      <c r="H577" s="61" t="str">
        <f aca="false">IF(LEN(A577&amp;"")=0,"",Base!L577)</f>
        <v/>
      </c>
      <c r="I577" s="61" t="str">
        <f aca="false">IF(LEN(A577&amp;"")=0,"",G577-H577)</f>
        <v/>
      </c>
      <c r="J577" s="61" t="str">
        <f aca="false">IF(LEN(A577&amp;"")=0,"",Base!M577)</f>
        <v/>
      </c>
      <c r="K577" s="1" t="n">
        <f aca="false">IF(OR(LEN(A577&amp;"")=0,$P$3=0),0,IF(AND(B577&gt;=Painel!$B$8,B577&lt;=Painel!$G$8,OR(Painel!$L$8="Todos",C577=Painel!$L$8),OR(Painel!$Q$8="Todos",D577=Painel!$Q$8),OR(Painel!$V$8="Todas",E577=Painel!$V$8)),1,0))</f>
        <v>0</v>
      </c>
      <c r="L577" s="61" t="str">
        <f aca="false">IF(LEN(A577&amp;"")=0,"",J577-I577)</f>
        <v/>
      </c>
      <c r="M577" s="1" t="n">
        <f aca="false">IF(LEN(A577&amp;"")=0,0,IF(COUNTIFS(Base!$A$7:$A$1006,A577)&gt;1,1,0))</f>
        <v>0</v>
      </c>
      <c r="N577" s="1" t="n">
        <f aca="false">IF(LEN(A577&amp;"")=0,0,IF(ABS(L577)&gt;0.005,1,0))</f>
        <v>0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customFormat="false" ht="23" hidden="false" customHeight="true" outlineLevel="0" collapsed="false">
      <c r="A578" s="1" t="str">
        <f aca="false">IF(LEN(Base!A578&amp;"")=0,"",Base!A578)</f>
        <v/>
      </c>
      <c r="B578" s="60" t="str">
        <f aca="false">IF(LEN(A578&amp;"")=0,"",Base!D578)</f>
        <v/>
      </c>
      <c r="C578" s="1" t="str">
        <f aca="false">IF(LEN(A578&amp;"")=0,"",Base!C578)</f>
        <v/>
      </c>
      <c r="D578" s="1" t="str">
        <f aca="false">IF(LEN(A578&amp;"")=0,"",Base!G578)</f>
        <v/>
      </c>
      <c r="E578" s="1" t="str">
        <f aca="false">IF(LEN(A578&amp;"")=0,"",Base!E578)</f>
        <v/>
      </c>
      <c r="F578" s="61" t="str">
        <f aca="false">IF(LEN(A578&amp;"")=0,"",IF(Base!I578="-",0,Base!I578))</f>
        <v/>
      </c>
      <c r="G578" s="61" t="str">
        <f aca="false">IF(LEN(A578&amp;"")=0,"",SUM(Base!F578,F578,Base!K578))</f>
        <v/>
      </c>
      <c r="H578" s="61" t="str">
        <f aca="false">IF(LEN(A578&amp;"")=0,"",Base!L578)</f>
        <v/>
      </c>
      <c r="I578" s="61" t="str">
        <f aca="false">IF(LEN(A578&amp;"")=0,"",G578-H578)</f>
        <v/>
      </c>
      <c r="J578" s="61" t="str">
        <f aca="false">IF(LEN(A578&amp;"")=0,"",Base!M578)</f>
        <v/>
      </c>
      <c r="K578" s="1" t="n">
        <f aca="false">IF(OR(LEN(A578&amp;"")=0,$P$3=0),0,IF(AND(B578&gt;=Painel!$B$8,B578&lt;=Painel!$G$8,OR(Painel!$L$8="Todos",C578=Painel!$L$8),OR(Painel!$Q$8="Todos",D578=Painel!$Q$8),OR(Painel!$V$8="Todas",E578=Painel!$V$8)),1,0))</f>
        <v>0</v>
      </c>
      <c r="L578" s="61" t="str">
        <f aca="false">IF(LEN(A578&amp;"")=0,"",J578-I578)</f>
        <v/>
      </c>
      <c r="M578" s="1" t="n">
        <f aca="false">IF(LEN(A578&amp;"")=0,0,IF(COUNTIFS(Base!$A$7:$A$1006,A578)&gt;1,1,0))</f>
        <v>0</v>
      </c>
      <c r="N578" s="1" t="n">
        <f aca="false">IF(LEN(A578&amp;"")=0,0,IF(ABS(L578)&gt;0.005,1,0))</f>
        <v>0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customFormat="false" ht="23" hidden="false" customHeight="true" outlineLevel="0" collapsed="false">
      <c r="A579" s="1" t="str">
        <f aca="false">IF(LEN(Base!A579&amp;"")=0,"",Base!A579)</f>
        <v/>
      </c>
      <c r="B579" s="60" t="str">
        <f aca="false">IF(LEN(A579&amp;"")=0,"",Base!D579)</f>
        <v/>
      </c>
      <c r="C579" s="1" t="str">
        <f aca="false">IF(LEN(A579&amp;"")=0,"",Base!C579)</f>
        <v/>
      </c>
      <c r="D579" s="1" t="str">
        <f aca="false">IF(LEN(A579&amp;"")=0,"",Base!G579)</f>
        <v/>
      </c>
      <c r="E579" s="1" t="str">
        <f aca="false">IF(LEN(A579&amp;"")=0,"",Base!E579)</f>
        <v/>
      </c>
      <c r="F579" s="61" t="str">
        <f aca="false">IF(LEN(A579&amp;"")=0,"",IF(Base!I579="-",0,Base!I579))</f>
        <v/>
      </c>
      <c r="G579" s="61" t="str">
        <f aca="false">IF(LEN(A579&amp;"")=0,"",SUM(Base!F579,F579,Base!K579))</f>
        <v/>
      </c>
      <c r="H579" s="61" t="str">
        <f aca="false">IF(LEN(A579&amp;"")=0,"",Base!L579)</f>
        <v/>
      </c>
      <c r="I579" s="61" t="str">
        <f aca="false">IF(LEN(A579&amp;"")=0,"",G579-H579)</f>
        <v/>
      </c>
      <c r="J579" s="61" t="str">
        <f aca="false">IF(LEN(A579&amp;"")=0,"",Base!M579)</f>
        <v/>
      </c>
      <c r="K579" s="1" t="n">
        <f aca="false">IF(OR(LEN(A579&amp;"")=0,$P$3=0),0,IF(AND(B579&gt;=Painel!$B$8,B579&lt;=Painel!$G$8,OR(Painel!$L$8="Todos",C579=Painel!$L$8),OR(Painel!$Q$8="Todos",D579=Painel!$Q$8),OR(Painel!$V$8="Todas",E579=Painel!$V$8)),1,0))</f>
        <v>0</v>
      </c>
      <c r="L579" s="61" t="str">
        <f aca="false">IF(LEN(A579&amp;"")=0,"",J579-I579)</f>
        <v/>
      </c>
      <c r="M579" s="1" t="n">
        <f aca="false">IF(LEN(A579&amp;"")=0,0,IF(COUNTIFS(Base!$A$7:$A$1006,A579)&gt;1,1,0))</f>
        <v>0</v>
      </c>
      <c r="N579" s="1" t="n">
        <f aca="false">IF(LEN(A579&amp;"")=0,0,IF(ABS(L579)&gt;0.005,1,0))</f>
        <v>0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customFormat="false" ht="23" hidden="false" customHeight="true" outlineLevel="0" collapsed="false">
      <c r="A580" s="1" t="str">
        <f aca="false">IF(LEN(Base!A580&amp;"")=0,"",Base!A580)</f>
        <v/>
      </c>
      <c r="B580" s="60" t="str">
        <f aca="false">IF(LEN(A580&amp;"")=0,"",Base!D580)</f>
        <v/>
      </c>
      <c r="C580" s="1" t="str">
        <f aca="false">IF(LEN(A580&amp;"")=0,"",Base!C580)</f>
        <v/>
      </c>
      <c r="D580" s="1" t="str">
        <f aca="false">IF(LEN(A580&amp;"")=0,"",Base!G580)</f>
        <v/>
      </c>
      <c r="E580" s="1" t="str">
        <f aca="false">IF(LEN(A580&amp;"")=0,"",Base!E580)</f>
        <v/>
      </c>
      <c r="F580" s="61" t="str">
        <f aca="false">IF(LEN(A580&amp;"")=0,"",IF(Base!I580="-",0,Base!I580))</f>
        <v/>
      </c>
      <c r="G580" s="61" t="str">
        <f aca="false">IF(LEN(A580&amp;"")=0,"",SUM(Base!F580,F580,Base!K580))</f>
        <v/>
      </c>
      <c r="H580" s="61" t="str">
        <f aca="false">IF(LEN(A580&amp;"")=0,"",Base!L580)</f>
        <v/>
      </c>
      <c r="I580" s="61" t="str">
        <f aca="false">IF(LEN(A580&amp;"")=0,"",G580-H580)</f>
        <v/>
      </c>
      <c r="J580" s="61" t="str">
        <f aca="false">IF(LEN(A580&amp;"")=0,"",Base!M580)</f>
        <v/>
      </c>
      <c r="K580" s="1" t="n">
        <f aca="false">IF(OR(LEN(A580&amp;"")=0,$P$3=0),0,IF(AND(B580&gt;=Painel!$B$8,B580&lt;=Painel!$G$8,OR(Painel!$L$8="Todos",C580=Painel!$L$8),OR(Painel!$Q$8="Todos",D580=Painel!$Q$8),OR(Painel!$V$8="Todas",E580=Painel!$V$8)),1,0))</f>
        <v>0</v>
      </c>
      <c r="L580" s="61" t="str">
        <f aca="false">IF(LEN(A580&amp;"")=0,"",J580-I580)</f>
        <v/>
      </c>
      <c r="M580" s="1" t="n">
        <f aca="false">IF(LEN(A580&amp;"")=0,0,IF(COUNTIFS(Base!$A$7:$A$1006,A580)&gt;1,1,0))</f>
        <v>0</v>
      </c>
      <c r="N580" s="1" t="n">
        <f aca="false">IF(LEN(A580&amp;"")=0,0,IF(ABS(L580)&gt;0.005,1,0))</f>
        <v>0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customFormat="false" ht="23" hidden="false" customHeight="true" outlineLevel="0" collapsed="false">
      <c r="A581" s="1" t="str">
        <f aca="false">IF(LEN(Base!A581&amp;"")=0,"",Base!A581)</f>
        <v/>
      </c>
      <c r="B581" s="60" t="str">
        <f aca="false">IF(LEN(A581&amp;"")=0,"",Base!D581)</f>
        <v/>
      </c>
      <c r="C581" s="1" t="str">
        <f aca="false">IF(LEN(A581&amp;"")=0,"",Base!C581)</f>
        <v/>
      </c>
      <c r="D581" s="1" t="str">
        <f aca="false">IF(LEN(A581&amp;"")=0,"",Base!G581)</f>
        <v/>
      </c>
      <c r="E581" s="1" t="str">
        <f aca="false">IF(LEN(A581&amp;"")=0,"",Base!E581)</f>
        <v/>
      </c>
      <c r="F581" s="61" t="str">
        <f aca="false">IF(LEN(A581&amp;"")=0,"",IF(Base!I581="-",0,Base!I581))</f>
        <v/>
      </c>
      <c r="G581" s="61" t="str">
        <f aca="false">IF(LEN(A581&amp;"")=0,"",SUM(Base!F581,F581,Base!K581))</f>
        <v/>
      </c>
      <c r="H581" s="61" t="str">
        <f aca="false">IF(LEN(A581&amp;"")=0,"",Base!L581)</f>
        <v/>
      </c>
      <c r="I581" s="61" t="str">
        <f aca="false">IF(LEN(A581&amp;"")=0,"",G581-H581)</f>
        <v/>
      </c>
      <c r="J581" s="61" t="str">
        <f aca="false">IF(LEN(A581&amp;"")=0,"",Base!M581)</f>
        <v/>
      </c>
      <c r="K581" s="1" t="n">
        <f aca="false">IF(OR(LEN(A581&amp;"")=0,$P$3=0),0,IF(AND(B581&gt;=Painel!$B$8,B581&lt;=Painel!$G$8,OR(Painel!$L$8="Todos",C581=Painel!$L$8),OR(Painel!$Q$8="Todos",D581=Painel!$Q$8),OR(Painel!$V$8="Todas",E581=Painel!$V$8)),1,0))</f>
        <v>0</v>
      </c>
      <c r="L581" s="61" t="str">
        <f aca="false">IF(LEN(A581&amp;"")=0,"",J581-I581)</f>
        <v/>
      </c>
      <c r="M581" s="1" t="n">
        <f aca="false">IF(LEN(A581&amp;"")=0,0,IF(COUNTIFS(Base!$A$7:$A$1006,A581)&gt;1,1,0))</f>
        <v>0</v>
      </c>
      <c r="N581" s="1" t="n">
        <f aca="false">IF(LEN(A581&amp;"")=0,0,IF(ABS(L581)&gt;0.005,1,0))</f>
        <v>0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customFormat="false" ht="23" hidden="false" customHeight="true" outlineLevel="0" collapsed="false">
      <c r="A582" s="1" t="str">
        <f aca="false">IF(LEN(Base!A582&amp;"")=0,"",Base!A582)</f>
        <v/>
      </c>
      <c r="B582" s="60" t="str">
        <f aca="false">IF(LEN(A582&amp;"")=0,"",Base!D582)</f>
        <v/>
      </c>
      <c r="C582" s="1" t="str">
        <f aca="false">IF(LEN(A582&amp;"")=0,"",Base!C582)</f>
        <v/>
      </c>
      <c r="D582" s="1" t="str">
        <f aca="false">IF(LEN(A582&amp;"")=0,"",Base!G582)</f>
        <v/>
      </c>
      <c r="E582" s="1" t="str">
        <f aca="false">IF(LEN(A582&amp;"")=0,"",Base!E582)</f>
        <v/>
      </c>
      <c r="F582" s="61" t="str">
        <f aca="false">IF(LEN(A582&amp;"")=0,"",IF(Base!I582="-",0,Base!I582))</f>
        <v/>
      </c>
      <c r="G582" s="61" t="str">
        <f aca="false">IF(LEN(A582&amp;"")=0,"",SUM(Base!F582,F582,Base!K582))</f>
        <v/>
      </c>
      <c r="H582" s="61" t="str">
        <f aca="false">IF(LEN(A582&amp;"")=0,"",Base!L582)</f>
        <v/>
      </c>
      <c r="I582" s="61" t="str">
        <f aca="false">IF(LEN(A582&amp;"")=0,"",G582-H582)</f>
        <v/>
      </c>
      <c r="J582" s="61" t="str">
        <f aca="false">IF(LEN(A582&amp;"")=0,"",Base!M582)</f>
        <v/>
      </c>
      <c r="K582" s="1" t="n">
        <f aca="false">IF(OR(LEN(A582&amp;"")=0,$P$3=0),0,IF(AND(B582&gt;=Painel!$B$8,B582&lt;=Painel!$G$8,OR(Painel!$L$8="Todos",C582=Painel!$L$8),OR(Painel!$Q$8="Todos",D582=Painel!$Q$8),OR(Painel!$V$8="Todas",E582=Painel!$V$8)),1,0))</f>
        <v>0</v>
      </c>
      <c r="L582" s="61" t="str">
        <f aca="false">IF(LEN(A582&amp;"")=0,"",J582-I582)</f>
        <v/>
      </c>
      <c r="M582" s="1" t="n">
        <f aca="false">IF(LEN(A582&amp;"")=0,0,IF(COUNTIFS(Base!$A$7:$A$1006,A582)&gt;1,1,0))</f>
        <v>0</v>
      </c>
      <c r="N582" s="1" t="n">
        <f aca="false">IF(LEN(A582&amp;"")=0,0,IF(ABS(L582)&gt;0.005,1,0))</f>
        <v>0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customFormat="false" ht="23" hidden="false" customHeight="true" outlineLevel="0" collapsed="false">
      <c r="A583" s="1" t="str">
        <f aca="false">IF(LEN(Base!A583&amp;"")=0,"",Base!A583)</f>
        <v/>
      </c>
      <c r="B583" s="60" t="str">
        <f aca="false">IF(LEN(A583&amp;"")=0,"",Base!D583)</f>
        <v/>
      </c>
      <c r="C583" s="1" t="str">
        <f aca="false">IF(LEN(A583&amp;"")=0,"",Base!C583)</f>
        <v/>
      </c>
      <c r="D583" s="1" t="str">
        <f aca="false">IF(LEN(A583&amp;"")=0,"",Base!G583)</f>
        <v/>
      </c>
      <c r="E583" s="1" t="str">
        <f aca="false">IF(LEN(A583&amp;"")=0,"",Base!E583)</f>
        <v/>
      </c>
      <c r="F583" s="61" t="str">
        <f aca="false">IF(LEN(A583&amp;"")=0,"",IF(Base!I583="-",0,Base!I583))</f>
        <v/>
      </c>
      <c r="G583" s="61" t="str">
        <f aca="false">IF(LEN(A583&amp;"")=0,"",SUM(Base!F583,F583,Base!K583))</f>
        <v/>
      </c>
      <c r="H583" s="61" t="str">
        <f aca="false">IF(LEN(A583&amp;"")=0,"",Base!L583)</f>
        <v/>
      </c>
      <c r="I583" s="61" t="str">
        <f aca="false">IF(LEN(A583&amp;"")=0,"",G583-H583)</f>
        <v/>
      </c>
      <c r="J583" s="61" t="str">
        <f aca="false">IF(LEN(A583&amp;"")=0,"",Base!M583)</f>
        <v/>
      </c>
      <c r="K583" s="1" t="n">
        <f aca="false">IF(OR(LEN(A583&amp;"")=0,$P$3=0),0,IF(AND(B583&gt;=Painel!$B$8,B583&lt;=Painel!$G$8,OR(Painel!$L$8="Todos",C583=Painel!$L$8),OR(Painel!$Q$8="Todos",D583=Painel!$Q$8),OR(Painel!$V$8="Todas",E583=Painel!$V$8)),1,0))</f>
        <v>0</v>
      </c>
      <c r="L583" s="61" t="str">
        <f aca="false">IF(LEN(A583&amp;"")=0,"",J583-I583)</f>
        <v/>
      </c>
      <c r="M583" s="1" t="n">
        <f aca="false">IF(LEN(A583&amp;"")=0,0,IF(COUNTIFS(Base!$A$7:$A$1006,A583)&gt;1,1,0))</f>
        <v>0</v>
      </c>
      <c r="N583" s="1" t="n">
        <f aca="false">IF(LEN(A583&amp;"")=0,0,IF(ABS(L583)&gt;0.005,1,0))</f>
        <v>0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customFormat="false" ht="23" hidden="false" customHeight="true" outlineLevel="0" collapsed="false">
      <c r="A584" s="1" t="str">
        <f aca="false">IF(LEN(Base!A584&amp;"")=0,"",Base!A584)</f>
        <v/>
      </c>
      <c r="B584" s="60" t="str">
        <f aca="false">IF(LEN(A584&amp;"")=0,"",Base!D584)</f>
        <v/>
      </c>
      <c r="C584" s="1" t="str">
        <f aca="false">IF(LEN(A584&amp;"")=0,"",Base!C584)</f>
        <v/>
      </c>
      <c r="D584" s="1" t="str">
        <f aca="false">IF(LEN(A584&amp;"")=0,"",Base!G584)</f>
        <v/>
      </c>
      <c r="E584" s="1" t="str">
        <f aca="false">IF(LEN(A584&amp;"")=0,"",Base!E584)</f>
        <v/>
      </c>
      <c r="F584" s="61" t="str">
        <f aca="false">IF(LEN(A584&amp;"")=0,"",IF(Base!I584="-",0,Base!I584))</f>
        <v/>
      </c>
      <c r="G584" s="61" t="str">
        <f aca="false">IF(LEN(A584&amp;"")=0,"",SUM(Base!F584,F584,Base!K584))</f>
        <v/>
      </c>
      <c r="H584" s="61" t="str">
        <f aca="false">IF(LEN(A584&amp;"")=0,"",Base!L584)</f>
        <v/>
      </c>
      <c r="I584" s="61" t="str">
        <f aca="false">IF(LEN(A584&amp;"")=0,"",G584-H584)</f>
        <v/>
      </c>
      <c r="J584" s="61" t="str">
        <f aca="false">IF(LEN(A584&amp;"")=0,"",Base!M584)</f>
        <v/>
      </c>
      <c r="K584" s="1" t="n">
        <f aca="false">IF(OR(LEN(A584&amp;"")=0,$P$3=0),0,IF(AND(B584&gt;=Painel!$B$8,B584&lt;=Painel!$G$8,OR(Painel!$L$8="Todos",C584=Painel!$L$8),OR(Painel!$Q$8="Todos",D584=Painel!$Q$8),OR(Painel!$V$8="Todas",E584=Painel!$V$8)),1,0))</f>
        <v>0</v>
      </c>
      <c r="L584" s="61" t="str">
        <f aca="false">IF(LEN(A584&amp;"")=0,"",J584-I584)</f>
        <v/>
      </c>
      <c r="M584" s="1" t="n">
        <f aca="false">IF(LEN(A584&amp;"")=0,0,IF(COUNTIFS(Base!$A$7:$A$1006,A584)&gt;1,1,0))</f>
        <v>0</v>
      </c>
      <c r="N584" s="1" t="n">
        <f aca="false">IF(LEN(A584&amp;"")=0,0,IF(ABS(L584)&gt;0.005,1,0))</f>
        <v>0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customFormat="false" ht="23" hidden="false" customHeight="true" outlineLevel="0" collapsed="false">
      <c r="A585" s="1" t="str">
        <f aca="false">IF(LEN(Base!A585&amp;"")=0,"",Base!A585)</f>
        <v/>
      </c>
      <c r="B585" s="60" t="str">
        <f aca="false">IF(LEN(A585&amp;"")=0,"",Base!D585)</f>
        <v/>
      </c>
      <c r="C585" s="1" t="str">
        <f aca="false">IF(LEN(A585&amp;"")=0,"",Base!C585)</f>
        <v/>
      </c>
      <c r="D585" s="1" t="str">
        <f aca="false">IF(LEN(A585&amp;"")=0,"",Base!G585)</f>
        <v/>
      </c>
      <c r="E585" s="1" t="str">
        <f aca="false">IF(LEN(A585&amp;"")=0,"",Base!E585)</f>
        <v/>
      </c>
      <c r="F585" s="61" t="str">
        <f aca="false">IF(LEN(A585&amp;"")=0,"",IF(Base!I585="-",0,Base!I585))</f>
        <v/>
      </c>
      <c r="G585" s="61" t="str">
        <f aca="false">IF(LEN(A585&amp;"")=0,"",SUM(Base!F585,F585,Base!K585))</f>
        <v/>
      </c>
      <c r="H585" s="61" t="str">
        <f aca="false">IF(LEN(A585&amp;"")=0,"",Base!L585)</f>
        <v/>
      </c>
      <c r="I585" s="61" t="str">
        <f aca="false">IF(LEN(A585&amp;"")=0,"",G585-H585)</f>
        <v/>
      </c>
      <c r="J585" s="61" t="str">
        <f aca="false">IF(LEN(A585&amp;"")=0,"",Base!M585)</f>
        <v/>
      </c>
      <c r="K585" s="1" t="n">
        <f aca="false">IF(OR(LEN(A585&amp;"")=0,$P$3=0),0,IF(AND(B585&gt;=Painel!$B$8,B585&lt;=Painel!$G$8,OR(Painel!$L$8="Todos",C585=Painel!$L$8),OR(Painel!$Q$8="Todos",D585=Painel!$Q$8),OR(Painel!$V$8="Todas",E585=Painel!$V$8)),1,0))</f>
        <v>0</v>
      </c>
      <c r="L585" s="61" t="str">
        <f aca="false">IF(LEN(A585&amp;"")=0,"",J585-I585)</f>
        <v/>
      </c>
      <c r="M585" s="1" t="n">
        <f aca="false">IF(LEN(A585&amp;"")=0,0,IF(COUNTIFS(Base!$A$7:$A$1006,A585)&gt;1,1,0))</f>
        <v>0</v>
      </c>
      <c r="N585" s="1" t="n">
        <f aca="false">IF(LEN(A585&amp;"")=0,0,IF(ABS(L585)&gt;0.005,1,0))</f>
        <v>0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customFormat="false" ht="23" hidden="false" customHeight="true" outlineLevel="0" collapsed="false">
      <c r="A586" s="1" t="str">
        <f aca="false">IF(LEN(Base!A586&amp;"")=0,"",Base!A586)</f>
        <v/>
      </c>
      <c r="B586" s="60" t="str">
        <f aca="false">IF(LEN(A586&amp;"")=0,"",Base!D586)</f>
        <v/>
      </c>
      <c r="C586" s="1" t="str">
        <f aca="false">IF(LEN(A586&amp;"")=0,"",Base!C586)</f>
        <v/>
      </c>
      <c r="D586" s="1" t="str">
        <f aca="false">IF(LEN(A586&amp;"")=0,"",Base!G586)</f>
        <v/>
      </c>
      <c r="E586" s="1" t="str">
        <f aca="false">IF(LEN(A586&amp;"")=0,"",Base!E586)</f>
        <v/>
      </c>
      <c r="F586" s="61" t="str">
        <f aca="false">IF(LEN(A586&amp;"")=0,"",IF(Base!I586="-",0,Base!I586))</f>
        <v/>
      </c>
      <c r="G586" s="61" t="str">
        <f aca="false">IF(LEN(A586&amp;"")=0,"",SUM(Base!F586,F586,Base!K586))</f>
        <v/>
      </c>
      <c r="H586" s="61" t="str">
        <f aca="false">IF(LEN(A586&amp;"")=0,"",Base!L586)</f>
        <v/>
      </c>
      <c r="I586" s="61" t="str">
        <f aca="false">IF(LEN(A586&amp;"")=0,"",G586-H586)</f>
        <v/>
      </c>
      <c r="J586" s="61" t="str">
        <f aca="false">IF(LEN(A586&amp;"")=0,"",Base!M586)</f>
        <v/>
      </c>
      <c r="K586" s="1" t="n">
        <f aca="false">IF(OR(LEN(A586&amp;"")=0,$P$3=0),0,IF(AND(B586&gt;=Painel!$B$8,B586&lt;=Painel!$G$8,OR(Painel!$L$8="Todos",C586=Painel!$L$8),OR(Painel!$Q$8="Todos",D586=Painel!$Q$8),OR(Painel!$V$8="Todas",E586=Painel!$V$8)),1,0))</f>
        <v>0</v>
      </c>
      <c r="L586" s="61" t="str">
        <f aca="false">IF(LEN(A586&amp;"")=0,"",J586-I586)</f>
        <v/>
      </c>
      <c r="M586" s="1" t="n">
        <f aca="false">IF(LEN(A586&amp;"")=0,0,IF(COUNTIFS(Base!$A$7:$A$1006,A586)&gt;1,1,0))</f>
        <v>0</v>
      </c>
      <c r="N586" s="1" t="n">
        <f aca="false">IF(LEN(A586&amp;"")=0,0,IF(ABS(L586)&gt;0.005,1,0))</f>
        <v>0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customFormat="false" ht="23" hidden="false" customHeight="true" outlineLevel="0" collapsed="false">
      <c r="A587" s="1" t="str">
        <f aca="false">IF(LEN(Base!A587&amp;"")=0,"",Base!A587)</f>
        <v/>
      </c>
      <c r="B587" s="60" t="str">
        <f aca="false">IF(LEN(A587&amp;"")=0,"",Base!D587)</f>
        <v/>
      </c>
      <c r="C587" s="1" t="str">
        <f aca="false">IF(LEN(A587&amp;"")=0,"",Base!C587)</f>
        <v/>
      </c>
      <c r="D587" s="1" t="str">
        <f aca="false">IF(LEN(A587&amp;"")=0,"",Base!G587)</f>
        <v/>
      </c>
      <c r="E587" s="1" t="str">
        <f aca="false">IF(LEN(A587&amp;"")=0,"",Base!E587)</f>
        <v/>
      </c>
      <c r="F587" s="61" t="str">
        <f aca="false">IF(LEN(A587&amp;"")=0,"",IF(Base!I587="-",0,Base!I587))</f>
        <v/>
      </c>
      <c r="G587" s="61" t="str">
        <f aca="false">IF(LEN(A587&amp;"")=0,"",SUM(Base!F587,F587,Base!K587))</f>
        <v/>
      </c>
      <c r="H587" s="61" t="str">
        <f aca="false">IF(LEN(A587&amp;"")=0,"",Base!L587)</f>
        <v/>
      </c>
      <c r="I587" s="61" t="str">
        <f aca="false">IF(LEN(A587&amp;"")=0,"",G587-H587)</f>
        <v/>
      </c>
      <c r="J587" s="61" t="str">
        <f aca="false">IF(LEN(A587&amp;"")=0,"",Base!M587)</f>
        <v/>
      </c>
      <c r="K587" s="1" t="n">
        <f aca="false">IF(OR(LEN(A587&amp;"")=0,$P$3=0),0,IF(AND(B587&gt;=Painel!$B$8,B587&lt;=Painel!$G$8,OR(Painel!$L$8="Todos",C587=Painel!$L$8),OR(Painel!$Q$8="Todos",D587=Painel!$Q$8),OR(Painel!$V$8="Todas",E587=Painel!$V$8)),1,0))</f>
        <v>0</v>
      </c>
      <c r="L587" s="61" t="str">
        <f aca="false">IF(LEN(A587&amp;"")=0,"",J587-I587)</f>
        <v/>
      </c>
      <c r="M587" s="1" t="n">
        <f aca="false">IF(LEN(A587&amp;"")=0,0,IF(COUNTIFS(Base!$A$7:$A$1006,A587)&gt;1,1,0))</f>
        <v>0</v>
      </c>
      <c r="N587" s="1" t="n">
        <f aca="false">IF(LEN(A587&amp;"")=0,0,IF(ABS(L587)&gt;0.005,1,0))</f>
        <v>0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customFormat="false" ht="23" hidden="false" customHeight="true" outlineLevel="0" collapsed="false">
      <c r="A588" s="1" t="str">
        <f aca="false">IF(LEN(Base!A588&amp;"")=0,"",Base!A588)</f>
        <v/>
      </c>
      <c r="B588" s="60" t="str">
        <f aca="false">IF(LEN(A588&amp;"")=0,"",Base!D588)</f>
        <v/>
      </c>
      <c r="C588" s="1" t="str">
        <f aca="false">IF(LEN(A588&amp;"")=0,"",Base!C588)</f>
        <v/>
      </c>
      <c r="D588" s="1" t="str">
        <f aca="false">IF(LEN(A588&amp;"")=0,"",Base!G588)</f>
        <v/>
      </c>
      <c r="E588" s="1" t="str">
        <f aca="false">IF(LEN(A588&amp;"")=0,"",Base!E588)</f>
        <v/>
      </c>
      <c r="F588" s="61" t="str">
        <f aca="false">IF(LEN(A588&amp;"")=0,"",IF(Base!I588="-",0,Base!I588))</f>
        <v/>
      </c>
      <c r="G588" s="61" t="str">
        <f aca="false">IF(LEN(A588&amp;"")=0,"",SUM(Base!F588,F588,Base!K588))</f>
        <v/>
      </c>
      <c r="H588" s="61" t="str">
        <f aca="false">IF(LEN(A588&amp;"")=0,"",Base!L588)</f>
        <v/>
      </c>
      <c r="I588" s="61" t="str">
        <f aca="false">IF(LEN(A588&amp;"")=0,"",G588-H588)</f>
        <v/>
      </c>
      <c r="J588" s="61" t="str">
        <f aca="false">IF(LEN(A588&amp;"")=0,"",Base!M588)</f>
        <v/>
      </c>
      <c r="K588" s="1" t="n">
        <f aca="false">IF(OR(LEN(A588&amp;"")=0,$P$3=0),0,IF(AND(B588&gt;=Painel!$B$8,B588&lt;=Painel!$G$8,OR(Painel!$L$8="Todos",C588=Painel!$L$8),OR(Painel!$Q$8="Todos",D588=Painel!$Q$8),OR(Painel!$V$8="Todas",E588=Painel!$V$8)),1,0))</f>
        <v>0</v>
      </c>
      <c r="L588" s="61" t="str">
        <f aca="false">IF(LEN(A588&amp;"")=0,"",J588-I588)</f>
        <v/>
      </c>
      <c r="M588" s="1" t="n">
        <f aca="false">IF(LEN(A588&amp;"")=0,0,IF(COUNTIFS(Base!$A$7:$A$1006,A588)&gt;1,1,0))</f>
        <v>0</v>
      </c>
      <c r="N588" s="1" t="n">
        <f aca="false">IF(LEN(A588&amp;"")=0,0,IF(ABS(L588)&gt;0.005,1,0))</f>
        <v>0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customFormat="false" ht="23" hidden="false" customHeight="true" outlineLevel="0" collapsed="false">
      <c r="A589" s="1" t="str">
        <f aca="false">IF(LEN(Base!A589&amp;"")=0,"",Base!A589)</f>
        <v/>
      </c>
      <c r="B589" s="60" t="str">
        <f aca="false">IF(LEN(A589&amp;"")=0,"",Base!D589)</f>
        <v/>
      </c>
      <c r="C589" s="1" t="str">
        <f aca="false">IF(LEN(A589&amp;"")=0,"",Base!C589)</f>
        <v/>
      </c>
      <c r="D589" s="1" t="str">
        <f aca="false">IF(LEN(A589&amp;"")=0,"",Base!G589)</f>
        <v/>
      </c>
      <c r="E589" s="1" t="str">
        <f aca="false">IF(LEN(A589&amp;"")=0,"",Base!E589)</f>
        <v/>
      </c>
      <c r="F589" s="61" t="str">
        <f aca="false">IF(LEN(A589&amp;"")=0,"",IF(Base!I589="-",0,Base!I589))</f>
        <v/>
      </c>
      <c r="G589" s="61" t="str">
        <f aca="false">IF(LEN(A589&amp;"")=0,"",SUM(Base!F589,F589,Base!K589))</f>
        <v/>
      </c>
      <c r="H589" s="61" t="str">
        <f aca="false">IF(LEN(A589&amp;"")=0,"",Base!L589)</f>
        <v/>
      </c>
      <c r="I589" s="61" t="str">
        <f aca="false">IF(LEN(A589&amp;"")=0,"",G589-H589)</f>
        <v/>
      </c>
      <c r="J589" s="61" t="str">
        <f aca="false">IF(LEN(A589&amp;"")=0,"",Base!M589)</f>
        <v/>
      </c>
      <c r="K589" s="1" t="n">
        <f aca="false">IF(OR(LEN(A589&amp;"")=0,$P$3=0),0,IF(AND(B589&gt;=Painel!$B$8,B589&lt;=Painel!$G$8,OR(Painel!$L$8="Todos",C589=Painel!$L$8),OR(Painel!$Q$8="Todos",D589=Painel!$Q$8),OR(Painel!$V$8="Todas",E589=Painel!$V$8)),1,0))</f>
        <v>0</v>
      </c>
      <c r="L589" s="61" t="str">
        <f aca="false">IF(LEN(A589&amp;"")=0,"",J589-I589)</f>
        <v/>
      </c>
      <c r="M589" s="1" t="n">
        <f aca="false">IF(LEN(A589&amp;"")=0,0,IF(COUNTIFS(Base!$A$7:$A$1006,A589)&gt;1,1,0))</f>
        <v>0</v>
      </c>
      <c r="N589" s="1" t="n">
        <f aca="false">IF(LEN(A589&amp;"")=0,0,IF(ABS(L589)&gt;0.005,1,0))</f>
        <v>0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customFormat="false" ht="23" hidden="false" customHeight="true" outlineLevel="0" collapsed="false">
      <c r="A590" s="1" t="str">
        <f aca="false">IF(LEN(Base!A590&amp;"")=0,"",Base!A590)</f>
        <v/>
      </c>
      <c r="B590" s="60" t="str">
        <f aca="false">IF(LEN(A590&amp;"")=0,"",Base!D590)</f>
        <v/>
      </c>
      <c r="C590" s="1" t="str">
        <f aca="false">IF(LEN(A590&amp;"")=0,"",Base!C590)</f>
        <v/>
      </c>
      <c r="D590" s="1" t="str">
        <f aca="false">IF(LEN(A590&amp;"")=0,"",Base!G590)</f>
        <v/>
      </c>
      <c r="E590" s="1" t="str">
        <f aca="false">IF(LEN(A590&amp;"")=0,"",Base!E590)</f>
        <v/>
      </c>
      <c r="F590" s="61" t="str">
        <f aca="false">IF(LEN(A590&amp;"")=0,"",IF(Base!I590="-",0,Base!I590))</f>
        <v/>
      </c>
      <c r="G590" s="61" t="str">
        <f aca="false">IF(LEN(A590&amp;"")=0,"",SUM(Base!F590,F590,Base!K590))</f>
        <v/>
      </c>
      <c r="H590" s="61" t="str">
        <f aca="false">IF(LEN(A590&amp;"")=0,"",Base!L590)</f>
        <v/>
      </c>
      <c r="I590" s="61" t="str">
        <f aca="false">IF(LEN(A590&amp;"")=0,"",G590-H590)</f>
        <v/>
      </c>
      <c r="J590" s="61" t="str">
        <f aca="false">IF(LEN(A590&amp;"")=0,"",Base!M590)</f>
        <v/>
      </c>
      <c r="K590" s="1" t="n">
        <f aca="false">IF(OR(LEN(A590&amp;"")=0,$P$3=0),0,IF(AND(B590&gt;=Painel!$B$8,B590&lt;=Painel!$G$8,OR(Painel!$L$8="Todos",C590=Painel!$L$8),OR(Painel!$Q$8="Todos",D590=Painel!$Q$8),OR(Painel!$V$8="Todas",E590=Painel!$V$8)),1,0))</f>
        <v>0</v>
      </c>
      <c r="L590" s="61" t="str">
        <f aca="false">IF(LEN(A590&amp;"")=0,"",J590-I590)</f>
        <v/>
      </c>
      <c r="M590" s="1" t="n">
        <f aca="false">IF(LEN(A590&amp;"")=0,0,IF(COUNTIFS(Base!$A$7:$A$1006,A590)&gt;1,1,0))</f>
        <v>0</v>
      </c>
      <c r="N590" s="1" t="n">
        <f aca="false">IF(LEN(A590&amp;"")=0,0,IF(ABS(L590)&gt;0.005,1,0))</f>
        <v>0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customFormat="false" ht="23" hidden="false" customHeight="true" outlineLevel="0" collapsed="false">
      <c r="A591" s="1" t="str">
        <f aca="false">IF(LEN(Base!A591&amp;"")=0,"",Base!A591)</f>
        <v/>
      </c>
      <c r="B591" s="60" t="str">
        <f aca="false">IF(LEN(A591&amp;"")=0,"",Base!D591)</f>
        <v/>
      </c>
      <c r="C591" s="1" t="str">
        <f aca="false">IF(LEN(A591&amp;"")=0,"",Base!C591)</f>
        <v/>
      </c>
      <c r="D591" s="1" t="str">
        <f aca="false">IF(LEN(A591&amp;"")=0,"",Base!G591)</f>
        <v/>
      </c>
      <c r="E591" s="1" t="str">
        <f aca="false">IF(LEN(A591&amp;"")=0,"",Base!E591)</f>
        <v/>
      </c>
      <c r="F591" s="61" t="str">
        <f aca="false">IF(LEN(A591&amp;"")=0,"",IF(Base!I591="-",0,Base!I591))</f>
        <v/>
      </c>
      <c r="G591" s="61" t="str">
        <f aca="false">IF(LEN(A591&amp;"")=0,"",SUM(Base!F591,F591,Base!K591))</f>
        <v/>
      </c>
      <c r="H591" s="61" t="str">
        <f aca="false">IF(LEN(A591&amp;"")=0,"",Base!L591)</f>
        <v/>
      </c>
      <c r="I591" s="61" t="str">
        <f aca="false">IF(LEN(A591&amp;"")=0,"",G591-H591)</f>
        <v/>
      </c>
      <c r="J591" s="61" t="str">
        <f aca="false">IF(LEN(A591&amp;"")=0,"",Base!M591)</f>
        <v/>
      </c>
      <c r="K591" s="1" t="n">
        <f aca="false">IF(OR(LEN(A591&amp;"")=0,$P$3=0),0,IF(AND(B591&gt;=Painel!$B$8,B591&lt;=Painel!$G$8,OR(Painel!$L$8="Todos",C591=Painel!$L$8),OR(Painel!$Q$8="Todos",D591=Painel!$Q$8),OR(Painel!$V$8="Todas",E591=Painel!$V$8)),1,0))</f>
        <v>0</v>
      </c>
      <c r="L591" s="61" t="str">
        <f aca="false">IF(LEN(A591&amp;"")=0,"",J591-I591)</f>
        <v/>
      </c>
      <c r="M591" s="1" t="n">
        <f aca="false">IF(LEN(A591&amp;"")=0,0,IF(COUNTIFS(Base!$A$7:$A$1006,A591)&gt;1,1,0))</f>
        <v>0</v>
      </c>
      <c r="N591" s="1" t="n">
        <f aca="false">IF(LEN(A591&amp;"")=0,0,IF(ABS(L591)&gt;0.005,1,0))</f>
        <v>0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customFormat="false" ht="23" hidden="false" customHeight="true" outlineLevel="0" collapsed="false">
      <c r="A592" s="1" t="str">
        <f aca="false">IF(LEN(Base!A592&amp;"")=0,"",Base!A592)</f>
        <v/>
      </c>
      <c r="B592" s="60" t="str">
        <f aca="false">IF(LEN(A592&amp;"")=0,"",Base!D592)</f>
        <v/>
      </c>
      <c r="C592" s="1" t="str">
        <f aca="false">IF(LEN(A592&amp;"")=0,"",Base!C592)</f>
        <v/>
      </c>
      <c r="D592" s="1" t="str">
        <f aca="false">IF(LEN(A592&amp;"")=0,"",Base!G592)</f>
        <v/>
      </c>
      <c r="E592" s="1" t="str">
        <f aca="false">IF(LEN(A592&amp;"")=0,"",Base!E592)</f>
        <v/>
      </c>
      <c r="F592" s="61" t="str">
        <f aca="false">IF(LEN(A592&amp;"")=0,"",IF(Base!I592="-",0,Base!I592))</f>
        <v/>
      </c>
      <c r="G592" s="61" t="str">
        <f aca="false">IF(LEN(A592&amp;"")=0,"",SUM(Base!F592,F592,Base!K592))</f>
        <v/>
      </c>
      <c r="H592" s="61" t="str">
        <f aca="false">IF(LEN(A592&amp;"")=0,"",Base!L592)</f>
        <v/>
      </c>
      <c r="I592" s="61" t="str">
        <f aca="false">IF(LEN(A592&amp;"")=0,"",G592-H592)</f>
        <v/>
      </c>
      <c r="J592" s="61" t="str">
        <f aca="false">IF(LEN(A592&amp;"")=0,"",Base!M592)</f>
        <v/>
      </c>
      <c r="K592" s="1" t="n">
        <f aca="false">IF(OR(LEN(A592&amp;"")=0,$P$3=0),0,IF(AND(B592&gt;=Painel!$B$8,B592&lt;=Painel!$G$8,OR(Painel!$L$8="Todos",C592=Painel!$L$8),OR(Painel!$Q$8="Todos",D592=Painel!$Q$8),OR(Painel!$V$8="Todas",E592=Painel!$V$8)),1,0))</f>
        <v>0</v>
      </c>
      <c r="L592" s="61" t="str">
        <f aca="false">IF(LEN(A592&amp;"")=0,"",J592-I592)</f>
        <v/>
      </c>
      <c r="M592" s="1" t="n">
        <f aca="false">IF(LEN(A592&amp;"")=0,0,IF(COUNTIFS(Base!$A$7:$A$1006,A592)&gt;1,1,0))</f>
        <v>0</v>
      </c>
      <c r="N592" s="1" t="n">
        <f aca="false">IF(LEN(A592&amp;"")=0,0,IF(ABS(L592)&gt;0.005,1,0))</f>
        <v>0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customFormat="false" ht="23" hidden="false" customHeight="true" outlineLevel="0" collapsed="false">
      <c r="A593" s="1" t="str">
        <f aca="false">IF(LEN(Base!A593&amp;"")=0,"",Base!A593)</f>
        <v/>
      </c>
      <c r="B593" s="60" t="str">
        <f aca="false">IF(LEN(A593&amp;"")=0,"",Base!D593)</f>
        <v/>
      </c>
      <c r="C593" s="1" t="str">
        <f aca="false">IF(LEN(A593&amp;"")=0,"",Base!C593)</f>
        <v/>
      </c>
      <c r="D593" s="1" t="str">
        <f aca="false">IF(LEN(A593&amp;"")=0,"",Base!G593)</f>
        <v/>
      </c>
      <c r="E593" s="1" t="str">
        <f aca="false">IF(LEN(A593&amp;"")=0,"",Base!E593)</f>
        <v/>
      </c>
      <c r="F593" s="61" t="str">
        <f aca="false">IF(LEN(A593&amp;"")=0,"",IF(Base!I593="-",0,Base!I593))</f>
        <v/>
      </c>
      <c r="G593" s="61" t="str">
        <f aca="false">IF(LEN(A593&amp;"")=0,"",SUM(Base!F593,F593,Base!K593))</f>
        <v/>
      </c>
      <c r="H593" s="61" t="str">
        <f aca="false">IF(LEN(A593&amp;"")=0,"",Base!L593)</f>
        <v/>
      </c>
      <c r="I593" s="61" t="str">
        <f aca="false">IF(LEN(A593&amp;"")=0,"",G593-H593)</f>
        <v/>
      </c>
      <c r="J593" s="61" t="str">
        <f aca="false">IF(LEN(A593&amp;"")=0,"",Base!M593)</f>
        <v/>
      </c>
      <c r="K593" s="1" t="n">
        <f aca="false">IF(OR(LEN(A593&amp;"")=0,$P$3=0),0,IF(AND(B593&gt;=Painel!$B$8,B593&lt;=Painel!$G$8,OR(Painel!$L$8="Todos",C593=Painel!$L$8),OR(Painel!$Q$8="Todos",D593=Painel!$Q$8),OR(Painel!$V$8="Todas",E593=Painel!$V$8)),1,0))</f>
        <v>0</v>
      </c>
      <c r="L593" s="61" t="str">
        <f aca="false">IF(LEN(A593&amp;"")=0,"",J593-I593)</f>
        <v/>
      </c>
      <c r="M593" s="1" t="n">
        <f aca="false">IF(LEN(A593&amp;"")=0,0,IF(COUNTIFS(Base!$A$7:$A$1006,A593)&gt;1,1,0))</f>
        <v>0</v>
      </c>
      <c r="N593" s="1" t="n">
        <f aca="false">IF(LEN(A593&amp;"")=0,0,IF(ABS(L593)&gt;0.005,1,0))</f>
        <v>0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customFormat="false" ht="23" hidden="false" customHeight="true" outlineLevel="0" collapsed="false">
      <c r="A594" s="1" t="str">
        <f aca="false">IF(LEN(Base!A594&amp;"")=0,"",Base!A594)</f>
        <v/>
      </c>
      <c r="B594" s="60" t="str">
        <f aca="false">IF(LEN(A594&amp;"")=0,"",Base!D594)</f>
        <v/>
      </c>
      <c r="C594" s="1" t="str">
        <f aca="false">IF(LEN(A594&amp;"")=0,"",Base!C594)</f>
        <v/>
      </c>
      <c r="D594" s="1" t="str">
        <f aca="false">IF(LEN(A594&amp;"")=0,"",Base!G594)</f>
        <v/>
      </c>
      <c r="E594" s="1" t="str">
        <f aca="false">IF(LEN(A594&amp;"")=0,"",Base!E594)</f>
        <v/>
      </c>
      <c r="F594" s="61" t="str">
        <f aca="false">IF(LEN(A594&amp;"")=0,"",IF(Base!I594="-",0,Base!I594))</f>
        <v/>
      </c>
      <c r="G594" s="61" t="str">
        <f aca="false">IF(LEN(A594&amp;"")=0,"",SUM(Base!F594,F594,Base!K594))</f>
        <v/>
      </c>
      <c r="H594" s="61" t="str">
        <f aca="false">IF(LEN(A594&amp;"")=0,"",Base!L594)</f>
        <v/>
      </c>
      <c r="I594" s="61" t="str">
        <f aca="false">IF(LEN(A594&amp;"")=0,"",G594-H594)</f>
        <v/>
      </c>
      <c r="J594" s="61" t="str">
        <f aca="false">IF(LEN(A594&amp;"")=0,"",Base!M594)</f>
        <v/>
      </c>
      <c r="K594" s="1" t="n">
        <f aca="false">IF(OR(LEN(A594&amp;"")=0,$P$3=0),0,IF(AND(B594&gt;=Painel!$B$8,B594&lt;=Painel!$G$8,OR(Painel!$L$8="Todos",C594=Painel!$L$8),OR(Painel!$Q$8="Todos",D594=Painel!$Q$8),OR(Painel!$V$8="Todas",E594=Painel!$V$8)),1,0))</f>
        <v>0</v>
      </c>
      <c r="L594" s="61" t="str">
        <f aca="false">IF(LEN(A594&amp;"")=0,"",J594-I594)</f>
        <v/>
      </c>
      <c r="M594" s="1" t="n">
        <f aca="false">IF(LEN(A594&amp;"")=0,0,IF(COUNTIFS(Base!$A$7:$A$1006,A594)&gt;1,1,0))</f>
        <v>0</v>
      </c>
      <c r="N594" s="1" t="n">
        <f aca="false">IF(LEN(A594&amp;"")=0,0,IF(ABS(L594)&gt;0.005,1,0))</f>
        <v>0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customFormat="false" ht="23" hidden="false" customHeight="true" outlineLevel="0" collapsed="false">
      <c r="A595" s="1" t="str">
        <f aca="false">IF(LEN(Base!A595&amp;"")=0,"",Base!A595)</f>
        <v/>
      </c>
      <c r="B595" s="60" t="str">
        <f aca="false">IF(LEN(A595&amp;"")=0,"",Base!D595)</f>
        <v/>
      </c>
      <c r="C595" s="1" t="str">
        <f aca="false">IF(LEN(A595&amp;"")=0,"",Base!C595)</f>
        <v/>
      </c>
      <c r="D595" s="1" t="str">
        <f aca="false">IF(LEN(A595&amp;"")=0,"",Base!G595)</f>
        <v/>
      </c>
      <c r="E595" s="1" t="str">
        <f aca="false">IF(LEN(A595&amp;"")=0,"",Base!E595)</f>
        <v/>
      </c>
      <c r="F595" s="61" t="str">
        <f aca="false">IF(LEN(A595&amp;"")=0,"",IF(Base!I595="-",0,Base!I595))</f>
        <v/>
      </c>
      <c r="G595" s="61" t="str">
        <f aca="false">IF(LEN(A595&amp;"")=0,"",SUM(Base!F595,F595,Base!K595))</f>
        <v/>
      </c>
      <c r="H595" s="61" t="str">
        <f aca="false">IF(LEN(A595&amp;"")=0,"",Base!L595)</f>
        <v/>
      </c>
      <c r="I595" s="61" t="str">
        <f aca="false">IF(LEN(A595&amp;"")=0,"",G595-H595)</f>
        <v/>
      </c>
      <c r="J595" s="61" t="str">
        <f aca="false">IF(LEN(A595&amp;"")=0,"",Base!M595)</f>
        <v/>
      </c>
      <c r="K595" s="1" t="n">
        <f aca="false">IF(OR(LEN(A595&amp;"")=0,$P$3=0),0,IF(AND(B595&gt;=Painel!$B$8,B595&lt;=Painel!$G$8,OR(Painel!$L$8="Todos",C595=Painel!$L$8),OR(Painel!$Q$8="Todos",D595=Painel!$Q$8),OR(Painel!$V$8="Todas",E595=Painel!$V$8)),1,0))</f>
        <v>0</v>
      </c>
      <c r="L595" s="61" t="str">
        <f aca="false">IF(LEN(A595&amp;"")=0,"",J595-I595)</f>
        <v/>
      </c>
      <c r="M595" s="1" t="n">
        <f aca="false">IF(LEN(A595&amp;"")=0,0,IF(COUNTIFS(Base!$A$7:$A$1006,A595)&gt;1,1,0))</f>
        <v>0</v>
      </c>
      <c r="N595" s="1" t="n">
        <f aca="false">IF(LEN(A595&amp;"")=0,0,IF(ABS(L595)&gt;0.005,1,0))</f>
        <v>0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customFormat="false" ht="23" hidden="false" customHeight="true" outlineLevel="0" collapsed="false">
      <c r="A596" s="1" t="str">
        <f aca="false">IF(LEN(Base!A596&amp;"")=0,"",Base!A596)</f>
        <v/>
      </c>
      <c r="B596" s="60" t="str">
        <f aca="false">IF(LEN(A596&amp;"")=0,"",Base!D596)</f>
        <v/>
      </c>
      <c r="C596" s="1" t="str">
        <f aca="false">IF(LEN(A596&amp;"")=0,"",Base!C596)</f>
        <v/>
      </c>
      <c r="D596" s="1" t="str">
        <f aca="false">IF(LEN(A596&amp;"")=0,"",Base!G596)</f>
        <v/>
      </c>
      <c r="E596" s="1" t="str">
        <f aca="false">IF(LEN(A596&amp;"")=0,"",Base!E596)</f>
        <v/>
      </c>
      <c r="F596" s="61" t="str">
        <f aca="false">IF(LEN(A596&amp;"")=0,"",IF(Base!I596="-",0,Base!I596))</f>
        <v/>
      </c>
      <c r="G596" s="61" t="str">
        <f aca="false">IF(LEN(A596&amp;"")=0,"",SUM(Base!F596,F596,Base!K596))</f>
        <v/>
      </c>
      <c r="H596" s="61" t="str">
        <f aca="false">IF(LEN(A596&amp;"")=0,"",Base!L596)</f>
        <v/>
      </c>
      <c r="I596" s="61" t="str">
        <f aca="false">IF(LEN(A596&amp;"")=0,"",G596-H596)</f>
        <v/>
      </c>
      <c r="J596" s="61" t="str">
        <f aca="false">IF(LEN(A596&amp;"")=0,"",Base!M596)</f>
        <v/>
      </c>
      <c r="K596" s="1" t="n">
        <f aca="false">IF(OR(LEN(A596&amp;"")=0,$P$3=0),0,IF(AND(B596&gt;=Painel!$B$8,B596&lt;=Painel!$G$8,OR(Painel!$L$8="Todos",C596=Painel!$L$8),OR(Painel!$Q$8="Todos",D596=Painel!$Q$8),OR(Painel!$V$8="Todas",E596=Painel!$V$8)),1,0))</f>
        <v>0</v>
      </c>
      <c r="L596" s="61" t="str">
        <f aca="false">IF(LEN(A596&amp;"")=0,"",J596-I596)</f>
        <v/>
      </c>
      <c r="M596" s="1" t="n">
        <f aca="false">IF(LEN(A596&amp;"")=0,0,IF(COUNTIFS(Base!$A$7:$A$1006,A596)&gt;1,1,0))</f>
        <v>0</v>
      </c>
      <c r="N596" s="1" t="n">
        <f aca="false">IF(LEN(A596&amp;"")=0,0,IF(ABS(L596)&gt;0.005,1,0))</f>
        <v>0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customFormat="false" ht="23" hidden="false" customHeight="true" outlineLevel="0" collapsed="false">
      <c r="A597" s="1" t="str">
        <f aca="false">IF(LEN(Base!A597&amp;"")=0,"",Base!A597)</f>
        <v/>
      </c>
      <c r="B597" s="60" t="str">
        <f aca="false">IF(LEN(A597&amp;"")=0,"",Base!D597)</f>
        <v/>
      </c>
      <c r="C597" s="1" t="str">
        <f aca="false">IF(LEN(A597&amp;"")=0,"",Base!C597)</f>
        <v/>
      </c>
      <c r="D597" s="1" t="str">
        <f aca="false">IF(LEN(A597&amp;"")=0,"",Base!G597)</f>
        <v/>
      </c>
      <c r="E597" s="1" t="str">
        <f aca="false">IF(LEN(A597&amp;"")=0,"",Base!E597)</f>
        <v/>
      </c>
      <c r="F597" s="61" t="str">
        <f aca="false">IF(LEN(A597&amp;"")=0,"",IF(Base!I597="-",0,Base!I597))</f>
        <v/>
      </c>
      <c r="G597" s="61" t="str">
        <f aca="false">IF(LEN(A597&amp;"")=0,"",SUM(Base!F597,F597,Base!K597))</f>
        <v/>
      </c>
      <c r="H597" s="61" t="str">
        <f aca="false">IF(LEN(A597&amp;"")=0,"",Base!L597)</f>
        <v/>
      </c>
      <c r="I597" s="61" t="str">
        <f aca="false">IF(LEN(A597&amp;"")=0,"",G597-H597)</f>
        <v/>
      </c>
      <c r="J597" s="61" t="str">
        <f aca="false">IF(LEN(A597&amp;"")=0,"",Base!M597)</f>
        <v/>
      </c>
      <c r="K597" s="1" t="n">
        <f aca="false">IF(OR(LEN(A597&amp;"")=0,$P$3=0),0,IF(AND(B597&gt;=Painel!$B$8,B597&lt;=Painel!$G$8,OR(Painel!$L$8="Todos",C597=Painel!$L$8),OR(Painel!$Q$8="Todos",D597=Painel!$Q$8),OR(Painel!$V$8="Todas",E597=Painel!$V$8)),1,0))</f>
        <v>0</v>
      </c>
      <c r="L597" s="61" t="str">
        <f aca="false">IF(LEN(A597&amp;"")=0,"",J597-I597)</f>
        <v/>
      </c>
      <c r="M597" s="1" t="n">
        <f aca="false">IF(LEN(A597&amp;"")=0,0,IF(COUNTIFS(Base!$A$7:$A$1006,A597)&gt;1,1,0))</f>
        <v>0</v>
      </c>
      <c r="N597" s="1" t="n">
        <f aca="false">IF(LEN(A597&amp;"")=0,0,IF(ABS(L597)&gt;0.005,1,0))</f>
        <v>0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customFormat="false" ht="23" hidden="false" customHeight="true" outlineLevel="0" collapsed="false">
      <c r="A598" s="1" t="str">
        <f aca="false">IF(LEN(Base!A598&amp;"")=0,"",Base!A598)</f>
        <v/>
      </c>
      <c r="B598" s="60" t="str">
        <f aca="false">IF(LEN(A598&amp;"")=0,"",Base!D598)</f>
        <v/>
      </c>
      <c r="C598" s="1" t="str">
        <f aca="false">IF(LEN(A598&amp;"")=0,"",Base!C598)</f>
        <v/>
      </c>
      <c r="D598" s="1" t="str">
        <f aca="false">IF(LEN(A598&amp;"")=0,"",Base!G598)</f>
        <v/>
      </c>
      <c r="E598" s="1" t="str">
        <f aca="false">IF(LEN(A598&amp;"")=0,"",Base!E598)</f>
        <v/>
      </c>
      <c r="F598" s="61" t="str">
        <f aca="false">IF(LEN(A598&amp;"")=0,"",IF(Base!I598="-",0,Base!I598))</f>
        <v/>
      </c>
      <c r="G598" s="61" t="str">
        <f aca="false">IF(LEN(A598&amp;"")=0,"",SUM(Base!F598,F598,Base!K598))</f>
        <v/>
      </c>
      <c r="H598" s="61" t="str">
        <f aca="false">IF(LEN(A598&amp;"")=0,"",Base!L598)</f>
        <v/>
      </c>
      <c r="I598" s="61" t="str">
        <f aca="false">IF(LEN(A598&amp;"")=0,"",G598-H598)</f>
        <v/>
      </c>
      <c r="J598" s="61" t="str">
        <f aca="false">IF(LEN(A598&amp;"")=0,"",Base!M598)</f>
        <v/>
      </c>
      <c r="K598" s="1" t="n">
        <f aca="false">IF(OR(LEN(A598&amp;"")=0,$P$3=0),0,IF(AND(B598&gt;=Painel!$B$8,B598&lt;=Painel!$G$8,OR(Painel!$L$8="Todos",C598=Painel!$L$8),OR(Painel!$Q$8="Todos",D598=Painel!$Q$8),OR(Painel!$V$8="Todas",E598=Painel!$V$8)),1,0))</f>
        <v>0</v>
      </c>
      <c r="L598" s="61" t="str">
        <f aca="false">IF(LEN(A598&amp;"")=0,"",J598-I598)</f>
        <v/>
      </c>
      <c r="M598" s="1" t="n">
        <f aca="false">IF(LEN(A598&amp;"")=0,0,IF(COUNTIFS(Base!$A$7:$A$1006,A598)&gt;1,1,0))</f>
        <v>0</v>
      </c>
      <c r="N598" s="1" t="n">
        <f aca="false">IF(LEN(A598&amp;"")=0,0,IF(ABS(L598)&gt;0.005,1,0))</f>
        <v>0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customFormat="false" ht="23" hidden="false" customHeight="true" outlineLevel="0" collapsed="false">
      <c r="A599" s="1" t="str">
        <f aca="false">IF(LEN(Base!A599&amp;"")=0,"",Base!A599)</f>
        <v/>
      </c>
      <c r="B599" s="60" t="str">
        <f aca="false">IF(LEN(A599&amp;"")=0,"",Base!D599)</f>
        <v/>
      </c>
      <c r="C599" s="1" t="str">
        <f aca="false">IF(LEN(A599&amp;"")=0,"",Base!C599)</f>
        <v/>
      </c>
      <c r="D599" s="1" t="str">
        <f aca="false">IF(LEN(A599&amp;"")=0,"",Base!G599)</f>
        <v/>
      </c>
      <c r="E599" s="1" t="str">
        <f aca="false">IF(LEN(A599&amp;"")=0,"",Base!E599)</f>
        <v/>
      </c>
      <c r="F599" s="61" t="str">
        <f aca="false">IF(LEN(A599&amp;"")=0,"",IF(Base!I599="-",0,Base!I599))</f>
        <v/>
      </c>
      <c r="G599" s="61" t="str">
        <f aca="false">IF(LEN(A599&amp;"")=0,"",SUM(Base!F599,F599,Base!K599))</f>
        <v/>
      </c>
      <c r="H599" s="61" t="str">
        <f aca="false">IF(LEN(A599&amp;"")=0,"",Base!L599)</f>
        <v/>
      </c>
      <c r="I599" s="61" t="str">
        <f aca="false">IF(LEN(A599&amp;"")=0,"",G599-H599)</f>
        <v/>
      </c>
      <c r="J599" s="61" t="str">
        <f aca="false">IF(LEN(A599&amp;"")=0,"",Base!M599)</f>
        <v/>
      </c>
      <c r="K599" s="1" t="n">
        <f aca="false">IF(OR(LEN(A599&amp;"")=0,$P$3=0),0,IF(AND(B599&gt;=Painel!$B$8,B599&lt;=Painel!$G$8,OR(Painel!$L$8="Todos",C599=Painel!$L$8),OR(Painel!$Q$8="Todos",D599=Painel!$Q$8),OR(Painel!$V$8="Todas",E599=Painel!$V$8)),1,0))</f>
        <v>0</v>
      </c>
      <c r="L599" s="61" t="str">
        <f aca="false">IF(LEN(A599&amp;"")=0,"",J599-I599)</f>
        <v/>
      </c>
      <c r="M599" s="1" t="n">
        <f aca="false">IF(LEN(A599&amp;"")=0,0,IF(COUNTIFS(Base!$A$7:$A$1006,A599)&gt;1,1,0))</f>
        <v>0</v>
      </c>
      <c r="N599" s="1" t="n">
        <f aca="false">IF(LEN(A599&amp;"")=0,0,IF(ABS(L599)&gt;0.005,1,0))</f>
        <v>0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customFormat="false" ht="23" hidden="false" customHeight="true" outlineLevel="0" collapsed="false">
      <c r="A600" s="1" t="str">
        <f aca="false">IF(LEN(Base!A600&amp;"")=0,"",Base!A600)</f>
        <v/>
      </c>
      <c r="B600" s="60" t="str">
        <f aca="false">IF(LEN(A600&amp;"")=0,"",Base!D600)</f>
        <v/>
      </c>
      <c r="C600" s="1" t="str">
        <f aca="false">IF(LEN(A600&amp;"")=0,"",Base!C600)</f>
        <v/>
      </c>
      <c r="D600" s="1" t="str">
        <f aca="false">IF(LEN(A600&amp;"")=0,"",Base!G600)</f>
        <v/>
      </c>
      <c r="E600" s="1" t="str">
        <f aca="false">IF(LEN(A600&amp;"")=0,"",Base!E600)</f>
        <v/>
      </c>
      <c r="F600" s="61" t="str">
        <f aca="false">IF(LEN(A600&amp;"")=0,"",IF(Base!I600="-",0,Base!I600))</f>
        <v/>
      </c>
      <c r="G600" s="61" t="str">
        <f aca="false">IF(LEN(A600&amp;"")=0,"",SUM(Base!F600,F600,Base!K600))</f>
        <v/>
      </c>
      <c r="H600" s="61" t="str">
        <f aca="false">IF(LEN(A600&amp;"")=0,"",Base!L600)</f>
        <v/>
      </c>
      <c r="I600" s="61" t="str">
        <f aca="false">IF(LEN(A600&amp;"")=0,"",G600-H600)</f>
        <v/>
      </c>
      <c r="J600" s="61" t="str">
        <f aca="false">IF(LEN(A600&amp;"")=0,"",Base!M600)</f>
        <v/>
      </c>
      <c r="K600" s="1" t="n">
        <f aca="false">IF(OR(LEN(A600&amp;"")=0,$P$3=0),0,IF(AND(B600&gt;=Painel!$B$8,B600&lt;=Painel!$G$8,OR(Painel!$L$8="Todos",C600=Painel!$L$8),OR(Painel!$Q$8="Todos",D600=Painel!$Q$8),OR(Painel!$V$8="Todas",E600=Painel!$V$8)),1,0))</f>
        <v>0</v>
      </c>
      <c r="L600" s="61" t="str">
        <f aca="false">IF(LEN(A600&amp;"")=0,"",J600-I600)</f>
        <v/>
      </c>
      <c r="M600" s="1" t="n">
        <f aca="false">IF(LEN(A600&amp;"")=0,0,IF(COUNTIFS(Base!$A$7:$A$1006,A600)&gt;1,1,0))</f>
        <v>0</v>
      </c>
      <c r="N600" s="1" t="n">
        <f aca="false">IF(LEN(A600&amp;"")=0,0,IF(ABS(L600)&gt;0.005,1,0))</f>
        <v>0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customFormat="false" ht="23" hidden="false" customHeight="true" outlineLevel="0" collapsed="false">
      <c r="A601" s="1" t="str">
        <f aca="false">IF(LEN(Base!A601&amp;"")=0,"",Base!A601)</f>
        <v/>
      </c>
      <c r="B601" s="60" t="str">
        <f aca="false">IF(LEN(A601&amp;"")=0,"",Base!D601)</f>
        <v/>
      </c>
      <c r="C601" s="1" t="str">
        <f aca="false">IF(LEN(A601&amp;"")=0,"",Base!C601)</f>
        <v/>
      </c>
      <c r="D601" s="1" t="str">
        <f aca="false">IF(LEN(A601&amp;"")=0,"",Base!G601)</f>
        <v/>
      </c>
      <c r="E601" s="1" t="str">
        <f aca="false">IF(LEN(A601&amp;"")=0,"",Base!E601)</f>
        <v/>
      </c>
      <c r="F601" s="61" t="str">
        <f aca="false">IF(LEN(A601&amp;"")=0,"",IF(Base!I601="-",0,Base!I601))</f>
        <v/>
      </c>
      <c r="G601" s="61" t="str">
        <f aca="false">IF(LEN(A601&amp;"")=0,"",SUM(Base!F601,F601,Base!K601))</f>
        <v/>
      </c>
      <c r="H601" s="61" t="str">
        <f aca="false">IF(LEN(A601&amp;"")=0,"",Base!L601)</f>
        <v/>
      </c>
      <c r="I601" s="61" t="str">
        <f aca="false">IF(LEN(A601&amp;"")=0,"",G601-H601)</f>
        <v/>
      </c>
      <c r="J601" s="61" t="str">
        <f aca="false">IF(LEN(A601&amp;"")=0,"",Base!M601)</f>
        <v/>
      </c>
      <c r="K601" s="1" t="n">
        <f aca="false">IF(OR(LEN(A601&amp;"")=0,$P$3=0),0,IF(AND(B601&gt;=Painel!$B$8,B601&lt;=Painel!$G$8,OR(Painel!$L$8="Todos",C601=Painel!$L$8),OR(Painel!$Q$8="Todos",D601=Painel!$Q$8),OR(Painel!$V$8="Todas",E601=Painel!$V$8)),1,0))</f>
        <v>0</v>
      </c>
      <c r="L601" s="61" t="str">
        <f aca="false">IF(LEN(A601&amp;"")=0,"",J601-I601)</f>
        <v/>
      </c>
      <c r="M601" s="1" t="n">
        <f aca="false">IF(LEN(A601&amp;"")=0,0,IF(COUNTIFS(Base!$A$7:$A$1006,A601)&gt;1,1,0))</f>
        <v>0</v>
      </c>
      <c r="N601" s="1" t="n">
        <f aca="false">IF(LEN(A601&amp;"")=0,0,IF(ABS(L601)&gt;0.005,1,0))</f>
        <v>0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customFormat="false" ht="23" hidden="false" customHeight="true" outlineLevel="0" collapsed="false">
      <c r="A602" s="1" t="str">
        <f aca="false">IF(LEN(Base!A602&amp;"")=0,"",Base!A602)</f>
        <v/>
      </c>
      <c r="B602" s="60" t="str">
        <f aca="false">IF(LEN(A602&amp;"")=0,"",Base!D602)</f>
        <v/>
      </c>
      <c r="C602" s="1" t="str">
        <f aca="false">IF(LEN(A602&amp;"")=0,"",Base!C602)</f>
        <v/>
      </c>
      <c r="D602" s="1" t="str">
        <f aca="false">IF(LEN(A602&amp;"")=0,"",Base!G602)</f>
        <v/>
      </c>
      <c r="E602" s="1" t="str">
        <f aca="false">IF(LEN(A602&amp;"")=0,"",Base!E602)</f>
        <v/>
      </c>
      <c r="F602" s="61" t="str">
        <f aca="false">IF(LEN(A602&amp;"")=0,"",IF(Base!I602="-",0,Base!I602))</f>
        <v/>
      </c>
      <c r="G602" s="61" t="str">
        <f aca="false">IF(LEN(A602&amp;"")=0,"",SUM(Base!F602,F602,Base!K602))</f>
        <v/>
      </c>
      <c r="H602" s="61" t="str">
        <f aca="false">IF(LEN(A602&amp;"")=0,"",Base!L602)</f>
        <v/>
      </c>
      <c r="I602" s="61" t="str">
        <f aca="false">IF(LEN(A602&amp;"")=0,"",G602-H602)</f>
        <v/>
      </c>
      <c r="J602" s="61" t="str">
        <f aca="false">IF(LEN(A602&amp;"")=0,"",Base!M602)</f>
        <v/>
      </c>
      <c r="K602" s="1" t="n">
        <f aca="false">IF(OR(LEN(A602&amp;"")=0,$P$3=0),0,IF(AND(B602&gt;=Painel!$B$8,B602&lt;=Painel!$G$8,OR(Painel!$L$8="Todos",C602=Painel!$L$8),OR(Painel!$Q$8="Todos",D602=Painel!$Q$8),OR(Painel!$V$8="Todas",E602=Painel!$V$8)),1,0))</f>
        <v>0</v>
      </c>
      <c r="L602" s="61" t="str">
        <f aca="false">IF(LEN(A602&amp;"")=0,"",J602-I602)</f>
        <v/>
      </c>
      <c r="M602" s="1" t="n">
        <f aca="false">IF(LEN(A602&amp;"")=0,0,IF(COUNTIFS(Base!$A$7:$A$1006,A602)&gt;1,1,0))</f>
        <v>0</v>
      </c>
      <c r="N602" s="1" t="n">
        <f aca="false">IF(LEN(A602&amp;"")=0,0,IF(ABS(L602)&gt;0.005,1,0))</f>
        <v>0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customFormat="false" ht="23" hidden="false" customHeight="true" outlineLevel="0" collapsed="false">
      <c r="A603" s="1" t="str">
        <f aca="false">IF(LEN(Base!A603&amp;"")=0,"",Base!A603)</f>
        <v/>
      </c>
      <c r="B603" s="60" t="str">
        <f aca="false">IF(LEN(A603&amp;"")=0,"",Base!D603)</f>
        <v/>
      </c>
      <c r="C603" s="1" t="str">
        <f aca="false">IF(LEN(A603&amp;"")=0,"",Base!C603)</f>
        <v/>
      </c>
      <c r="D603" s="1" t="str">
        <f aca="false">IF(LEN(A603&amp;"")=0,"",Base!G603)</f>
        <v/>
      </c>
      <c r="E603" s="1" t="str">
        <f aca="false">IF(LEN(A603&amp;"")=0,"",Base!E603)</f>
        <v/>
      </c>
      <c r="F603" s="61" t="str">
        <f aca="false">IF(LEN(A603&amp;"")=0,"",IF(Base!I603="-",0,Base!I603))</f>
        <v/>
      </c>
      <c r="G603" s="61" t="str">
        <f aca="false">IF(LEN(A603&amp;"")=0,"",SUM(Base!F603,F603,Base!K603))</f>
        <v/>
      </c>
      <c r="H603" s="61" t="str">
        <f aca="false">IF(LEN(A603&amp;"")=0,"",Base!L603)</f>
        <v/>
      </c>
      <c r="I603" s="61" t="str">
        <f aca="false">IF(LEN(A603&amp;"")=0,"",G603-H603)</f>
        <v/>
      </c>
      <c r="J603" s="61" t="str">
        <f aca="false">IF(LEN(A603&amp;"")=0,"",Base!M603)</f>
        <v/>
      </c>
      <c r="K603" s="1" t="n">
        <f aca="false">IF(OR(LEN(A603&amp;"")=0,$P$3=0),0,IF(AND(B603&gt;=Painel!$B$8,B603&lt;=Painel!$G$8,OR(Painel!$L$8="Todos",C603=Painel!$L$8),OR(Painel!$Q$8="Todos",D603=Painel!$Q$8),OR(Painel!$V$8="Todas",E603=Painel!$V$8)),1,0))</f>
        <v>0</v>
      </c>
      <c r="L603" s="61" t="str">
        <f aca="false">IF(LEN(A603&amp;"")=0,"",J603-I603)</f>
        <v/>
      </c>
      <c r="M603" s="1" t="n">
        <f aca="false">IF(LEN(A603&amp;"")=0,0,IF(COUNTIFS(Base!$A$7:$A$1006,A603)&gt;1,1,0))</f>
        <v>0</v>
      </c>
      <c r="N603" s="1" t="n">
        <f aca="false">IF(LEN(A603&amp;"")=0,0,IF(ABS(L603)&gt;0.005,1,0))</f>
        <v>0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customFormat="false" ht="23" hidden="false" customHeight="true" outlineLevel="0" collapsed="false">
      <c r="A604" s="1" t="str">
        <f aca="false">IF(LEN(Base!A604&amp;"")=0,"",Base!A604)</f>
        <v/>
      </c>
      <c r="B604" s="60" t="str">
        <f aca="false">IF(LEN(A604&amp;"")=0,"",Base!D604)</f>
        <v/>
      </c>
      <c r="C604" s="1" t="str">
        <f aca="false">IF(LEN(A604&amp;"")=0,"",Base!C604)</f>
        <v/>
      </c>
      <c r="D604" s="1" t="str">
        <f aca="false">IF(LEN(A604&amp;"")=0,"",Base!G604)</f>
        <v/>
      </c>
      <c r="E604" s="1" t="str">
        <f aca="false">IF(LEN(A604&amp;"")=0,"",Base!E604)</f>
        <v/>
      </c>
      <c r="F604" s="61" t="str">
        <f aca="false">IF(LEN(A604&amp;"")=0,"",IF(Base!I604="-",0,Base!I604))</f>
        <v/>
      </c>
      <c r="G604" s="61" t="str">
        <f aca="false">IF(LEN(A604&amp;"")=0,"",SUM(Base!F604,F604,Base!K604))</f>
        <v/>
      </c>
      <c r="H604" s="61" t="str">
        <f aca="false">IF(LEN(A604&amp;"")=0,"",Base!L604)</f>
        <v/>
      </c>
      <c r="I604" s="61" t="str">
        <f aca="false">IF(LEN(A604&amp;"")=0,"",G604-H604)</f>
        <v/>
      </c>
      <c r="J604" s="61" t="str">
        <f aca="false">IF(LEN(A604&amp;"")=0,"",Base!M604)</f>
        <v/>
      </c>
      <c r="K604" s="1" t="n">
        <f aca="false">IF(OR(LEN(A604&amp;"")=0,$P$3=0),0,IF(AND(B604&gt;=Painel!$B$8,B604&lt;=Painel!$G$8,OR(Painel!$L$8="Todos",C604=Painel!$L$8),OR(Painel!$Q$8="Todos",D604=Painel!$Q$8),OR(Painel!$V$8="Todas",E604=Painel!$V$8)),1,0))</f>
        <v>0</v>
      </c>
      <c r="L604" s="61" t="str">
        <f aca="false">IF(LEN(A604&amp;"")=0,"",J604-I604)</f>
        <v/>
      </c>
      <c r="M604" s="1" t="n">
        <f aca="false">IF(LEN(A604&amp;"")=0,0,IF(COUNTIFS(Base!$A$7:$A$1006,A604)&gt;1,1,0))</f>
        <v>0</v>
      </c>
      <c r="N604" s="1" t="n">
        <f aca="false">IF(LEN(A604&amp;"")=0,0,IF(ABS(L604)&gt;0.005,1,0))</f>
        <v>0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customFormat="false" ht="23" hidden="false" customHeight="true" outlineLevel="0" collapsed="false">
      <c r="A605" s="1" t="str">
        <f aca="false">IF(LEN(Base!A605&amp;"")=0,"",Base!A605)</f>
        <v/>
      </c>
      <c r="B605" s="60" t="str">
        <f aca="false">IF(LEN(A605&amp;"")=0,"",Base!D605)</f>
        <v/>
      </c>
      <c r="C605" s="1" t="str">
        <f aca="false">IF(LEN(A605&amp;"")=0,"",Base!C605)</f>
        <v/>
      </c>
      <c r="D605" s="1" t="str">
        <f aca="false">IF(LEN(A605&amp;"")=0,"",Base!G605)</f>
        <v/>
      </c>
      <c r="E605" s="1" t="str">
        <f aca="false">IF(LEN(A605&amp;"")=0,"",Base!E605)</f>
        <v/>
      </c>
      <c r="F605" s="61" t="str">
        <f aca="false">IF(LEN(A605&amp;"")=0,"",IF(Base!I605="-",0,Base!I605))</f>
        <v/>
      </c>
      <c r="G605" s="61" t="str">
        <f aca="false">IF(LEN(A605&amp;"")=0,"",SUM(Base!F605,F605,Base!K605))</f>
        <v/>
      </c>
      <c r="H605" s="61" t="str">
        <f aca="false">IF(LEN(A605&amp;"")=0,"",Base!L605)</f>
        <v/>
      </c>
      <c r="I605" s="61" t="str">
        <f aca="false">IF(LEN(A605&amp;"")=0,"",G605-H605)</f>
        <v/>
      </c>
      <c r="J605" s="61" t="str">
        <f aca="false">IF(LEN(A605&amp;"")=0,"",Base!M605)</f>
        <v/>
      </c>
      <c r="K605" s="1" t="n">
        <f aca="false">IF(OR(LEN(A605&amp;"")=0,$P$3=0),0,IF(AND(B605&gt;=Painel!$B$8,B605&lt;=Painel!$G$8,OR(Painel!$L$8="Todos",C605=Painel!$L$8),OR(Painel!$Q$8="Todos",D605=Painel!$Q$8),OR(Painel!$V$8="Todas",E605=Painel!$V$8)),1,0))</f>
        <v>0</v>
      </c>
      <c r="L605" s="61" t="str">
        <f aca="false">IF(LEN(A605&amp;"")=0,"",J605-I605)</f>
        <v/>
      </c>
      <c r="M605" s="1" t="n">
        <f aca="false">IF(LEN(A605&amp;"")=0,0,IF(COUNTIFS(Base!$A$7:$A$1006,A605)&gt;1,1,0))</f>
        <v>0</v>
      </c>
      <c r="N605" s="1" t="n">
        <f aca="false">IF(LEN(A605&amp;"")=0,0,IF(ABS(L605)&gt;0.005,1,0))</f>
        <v>0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customFormat="false" ht="23" hidden="false" customHeight="true" outlineLevel="0" collapsed="false">
      <c r="A606" s="1" t="str">
        <f aca="false">IF(LEN(Base!A606&amp;"")=0,"",Base!A606)</f>
        <v/>
      </c>
      <c r="B606" s="60" t="str">
        <f aca="false">IF(LEN(A606&amp;"")=0,"",Base!D606)</f>
        <v/>
      </c>
      <c r="C606" s="1" t="str">
        <f aca="false">IF(LEN(A606&amp;"")=0,"",Base!C606)</f>
        <v/>
      </c>
      <c r="D606" s="1" t="str">
        <f aca="false">IF(LEN(A606&amp;"")=0,"",Base!G606)</f>
        <v/>
      </c>
      <c r="E606" s="1" t="str">
        <f aca="false">IF(LEN(A606&amp;"")=0,"",Base!E606)</f>
        <v/>
      </c>
      <c r="F606" s="61" t="str">
        <f aca="false">IF(LEN(A606&amp;"")=0,"",IF(Base!I606="-",0,Base!I606))</f>
        <v/>
      </c>
      <c r="G606" s="61" t="str">
        <f aca="false">IF(LEN(A606&amp;"")=0,"",SUM(Base!F606,F606,Base!K606))</f>
        <v/>
      </c>
      <c r="H606" s="61" t="str">
        <f aca="false">IF(LEN(A606&amp;"")=0,"",Base!L606)</f>
        <v/>
      </c>
      <c r="I606" s="61" t="str">
        <f aca="false">IF(LEN(A606&amp;"")=0,"",G606-H606)</f>
        <v/>
      </c>
      <c r="J606" s="61" t="str">
        <f aca="false">IF(LEN(A606&amp;"")=0,"",Base!M606)</f>
        <v/>
      </c>
      <c r="K606" s="1" t="n">
        <f aca="false">IF(OR(LEN(A606&amp;"")=0,$P$3=0),0,IF(AND(B606&gt;=Painel!$B$8,B606&lt;=Painel!$G$8,OR(Painel!$L$8="Todos",C606=Painel!$L$8),OR(Painel!$Q$8="Todos",D606=Painel!$Q$8),OR(Painel!$V$8="Todas",E606=Painel!$V$8)),1,0))</f>
        <v>0</v>
      </c>
      <c r="L606" s="61" t="str">
        <f aca="false">IF(LEN(A606&amp;"")=0,"",J606-I606)</f>
        <v/>
      </c>
      <c r="M606" s="1" t="n">
        <f aca="false">IF(LEN(A606&amp;"")=0,0,IF(COUNTIFS(Base!$A$7:$A$1006,A606)&gt;1,1,0))</f>
        <v>0</v>
      </c>
      <c r="N606" s="1" t="n">
        <f aca="false">IF(LEN(A606&amp;"")=0,0,IF(ABS(L606)&gt;0.005,1,0))</f>
        <v>0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customFormat="false" ht="23" hidden="false" customHeight="true" outlineLevel="0" collapsed="false">
      <c r="A607" s="1" t="str">
        <f aca="false">IF(LEN(Base!A607&amp;"")=0,"",Base!A607)</f>
        <v/>
      </c>
      <c r="B607" s="60" t="str">
        <f aca="false">IF(LEN(A607&amp;"")=0,"",Base!D607)</f>
        <v/>
      </c>
      <c r="C607" s="1" t="str">
        <f aca="false">IF(LEN(A607&amp;"")=0,"",Base!C607)</f>
        <v/>
      </c>
      <c r="D607" s="1" t="str">
        <f aca="false">IF(LEN(A607&amp;"")=0,"",Base!G607)</f>
        <v/>
      </c>
      <c r="E607" s="1" t="str">
        <f aca="false">IF(LEN(A607&amp;"")=0,"",Base!E607)</f>
        <v/>
      </c>
      <c r="F607" s="61" t="str">
        <f aca="false">IF(LEN(A607&amp;"")=0,"",IF(Base!I607="-",0,Base!I607))</f>
        <v/>
      </c>
      <c r="G607" s="61" t="str">
        <f aca="false">IF(LEN(A607&amp;"")=0,"",SUM(Base!F607,F607,Base!K607))</f>
        <v/>
      </c>
      <c r="H607" s="61" t="str">
        <f aca="false">IF(LEN(A607&amp;"")=0,"",Base!L607)</f>
        <v/>
      </c>
      <c r="I607" s="61" t="str">
        <f aca="false">IF(LEN(A607&amp;"")=0,"",G607-H607)</f>
        <v/>
      </c>
      <c r="J607" s="61" t="str">
        <f aca="false">IF(LEN(A607&amp;"")=0,"",Base!M607)</f>
        <v/>
      </c>
      <c r="K607" s="1" t="n">
        <f aca="false">IF(OR(LEN(A607&amp;"")=0,$P$3=0),0,IF(AND(B607&gt;=Painel!$B$8,B607&lt;=Painel!$G$8,OR(Painel!$L$8="Todos",C607=Painel!$L$8),OR(Painel!$Q$8="Todos",D607=Painel!$Q$8),OR(Painel!$V$8="Todas",E607=Painel!$V$8)),1,0))</f>
        <v>0</v>
      </c>
      <c r="L607" s="61" t="str">
        <f aca="false">IF(LEN(A607&amp;"")=0,"",J607-I607)</f>
        <v/>
      </c>
      <c r="M607" s="1" t="n">
        <f aca="false">IF(LEN(A607&amp;"")=0,0,IF(COUNTIFS(Base!$A$7:$A$1006,A607)&gt;1,1,0))</f>
        <v>0</v>
      </c>
      <c r="N607" s="1" t="n">
        <f aca="false">IF(LEN(A607&amp;"")=0,0,IF(ABS(L607)&gt;0.005,1,0))</f>
        <v>0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customFormat="false" ht="23" hidden="false" customHeight="true" outlineLevel="0" collapsed="false">
      <c r="A608" s="1" t="str">
        <f aca="false">IF(LEN(Base!A608&amp;"")=0,"",Base!A608)</f>
        <v/>
      </c>
      <c r="B608" s="60" t="str">
        <f aca="false">IF(LEN(A608&amp;"")=0,"",Base!D608)</f>
        <v/>
      </c>
      <c r="C608" s="1" t="str">
        <f aca="false">IF(LEN(A608&amp;"")=0,"",Base!C608)</f>
        <v/>
      </c>
      <c r="D608" s="1" t="str">
        <f aca="false">IF(LEN(A608&amp;"")=0,"",Base!G608)</f>
        <v/>
      </c>
      <c r="E608" s="1" t="str">
        <f aca="false">IF(LEN(A608&amp;"")=0,"",Base!E608)</f>
        <v/>
      </c>
      <c r="F608" s="61" t="str">
        <f aca="false">IF(LEN(A608&amp;"")=0,"",IF(Base!I608="-",0,Base!I608))</f>
        <v/>
      </c>
      <c r="G608" s="61" t="str">
        <f aca="false">IF(LEN(A608&amp;"")=0,"",SUM(Base!F608,F608,Base!K608))</f>
        <v/>
      </c>
      <c r="H608" s="61" t="str">
        <f aca="false">IF(LEN(A608&amp;"")=0,"",Base!L608)</f>
        <v/>
      </c>
      <c r="I608" s="61" t="str">
        <f aca="false">IF(LEN(A608&amp;"")=0,"",G608-H608)</f>
        <v/>
      </c>
      <c r="J608" s="61" t="str">
        <f aca="false">IF(LEN(A608&amp;"")=0,"",Base!M608)</f>
        <v/>
      </c>
      <c r="K608" s="1" t="n">
        <f aca="false">IF(OR(LEN(A608&amp;"")=0,$P$3=0),0,IF(AND(B608&gt;=Painel!$B$8,B608&lt;=Painel!$G$8,OR(Painel!$L$8="Todos",C608=Painel!$L$8),OR(Painel!$Q$8="Todos",D608=Painel!$Q$8),OR(Painel!$V$8="Todas",E608=Painel!$V$8)),1,0))</f>
        <v>0</v>
      </c>
      <c r="L608" s="61" t="str">
        <f aca="false">IF(LEN(A608&amp;"")=0,"",J608-I608)</f>
        <v/>
      </c>
      <c r="M608" s="1" t="n">
        <f aca="false">IF(LEN(A608&amp;"")=0,0,IF(COUNTIFS(Base!$A$7:$A$1006,A608)&gt;1,1,0))</f>
        <v>0</v>
      </c>
      <c r="N608" s="1" t="n">
        <f aca="false">IF(LEN(A608&amp;"")=0,0,IF(ABS(L608)&gt;0.005,1,0))</f>
        <v>0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customFormat="false" ht="23" hidden="false" customHeight="true" outlineLevel="0" collapsed="false">
      <c r="A609" s="1" t="str">
        <f aca="false">IF(LEN(Base!A609&amp;"")=0,"",Base!A609)</f>
        <v/>
      </c>
      <c r="B609" s="60" t="str">
        <f aca="false">IF(LEN(A609&amp;"")=0,"",Base!D609)</f>
        <v/>
      </c>
      <c r="C609" s="1" t="str">
        <f aca="false">IF(LEN(A609&amp;"")=0,"",Base!C609)</f>
        <v/>
      </c>
      <c r="D609" s="1" t="str">
        <f aca="false">IF(LEN(A609&amp;"")=0,"",Base!G609)</f>
        <v/>
      </c>
      <c r="E609" s="1" t="str">
        <f aca="false">IF(LEN(A609&amp;"")=0,"",Base!E609)</f>
        <v/>
      </c>
      <c r="F609" s="61" t="str">
        <f aca="false">IF(LEN(A609&amp;"")=0,"",IF(Base!I609="-",0,Base!I609))</f>
        <v/>
      </c>
      <c r="G609" s="61" t="str">
        <f aca="false">IF(LEN(A609&amp;"")=0,"",SUM(Base!F609,F609,Base!K609))</f>
        <v/>
      </c>
      <c r="H609" s="61" t="str">
        <f aca="false">IF(LEN(A609&amp;"")=0,"",Base!L609)</f>
        <v/>
      </c>
      <c r="I609" s="61" t="str">
        <f aca="false">IF(LEN(A609&amp;"")=0,"",G609-H609)</f>
        <v/>
      </c>
      <c r="J609" s="61" t="str">
        <f aca="false">IF(LEN(A609&amp;"")=0,"",Base!M609)</f>
        <v/>
      </c>
      <c r="K609" s="1" t="n">
        <f aca="false">IF(OR(LEN(A609&amp;"")=0,$P$3=0),0,IF(AND(B609&gt;=Painel!$B$8,B609&lt;=Painel!$G$8,OR(Painel!$L$8="Todos",C609=Painel!$L$8),OR(Painel!$Q$8="Todos",D609=Painel!$Q$8),OR(Painel!$V$8="Todas",E609=Painel!$V$8)),1,0))</f>
        <v>0</v>
      </c>
      <c r="L609" s="61" t="str">
        <f aca="false">IF(LEN(A609&amp;"")=0,"",J609-I609)</f>
        <v/>
      </c>
      <c r="M609" s="1" t="n">
        <f aca="false">IF(LEN(A609&amp;"")=0,0,IF(COUNTIFS(Base!$A$7:$A$1006,A609)&gt;1,1,0))</f>
        <v>0</v>
      </c>
      <c r="N609" s="1" t="n">
        <f aca="false">IF(LEN(A609&amp;"")=0,0,IF(ABS(L609)&gt;0.005,1,0))</f>
        <v>0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customFormat="false" ht="23" hidden="false" customHeight="true" outlineLevel="0" collapsed="false">
      <c r="A610" s="1" t="str">
        <f aca="false">IF(LEN(Base!A610&amp;"")=0,"",Base!A610)</f>
        <v/>
      </c>
      <c r="B610" s="60" t="str">
        <f aca="false">IF(LEN(A610&amp;"")=0,"",Base!D610)</f>
        <v/>
      </c>
      <c r="C610" s="1" t="str">
        <f aca="false">IF(LEN(A610&amp;"")=0,"",Base!C610)</f>
        <v/>
      </c>
      <c r="D610" s="1" t="str">
        <f aca="false">IF(LEN(A610&amp;"")=0,"",Base!G610)</f>
        <v/>
      </c>
      <c r="E610" s="1" t="str">
        <f aca="false">IF(LEN(A610&amp;"")=0,"",Base!E610)</f>
        <v/>
      </c>
      <c r="F610" s="61" t="str">
        <f aca="false">IF(LEN(A610&amp;"")=0,"",IF(Base!I610="-",0,Base!I610))</f>
        <v/>
      </c>
      <c r="G610" s="61" t="str">
        <f aca="false">IF(LEN(A610&amp;"")=0,"",SUM(Base!F610,F610,Base!K610))</f>
        <v/>
      </c>
      <c r="H610" s="61" t="str">
        <f aca="false">IF(LEN(A610&amp;"")=0,"",Base!L610)</f>
        <v/>
      </c>
      <c r="I610" s="61" t="str">
        <f aca="false">IF(LEN(A610&amp;"")=0,"",G610-H610)</f>
        <v/>
      </c>
      <c r="J610" s="61" t="str">
        <f aca="false">IF(LEN(A610&amp;"")=0,"",Base!M610)</f>
        <v/>
      </c>
      <c r="K610" s="1" t="n">
        <f aca="false">IF(OR(LEN(A610&amp;"")=0,$P$3=0),0,IF(AND(B610&gt;=Painel!$B$8,B610&lt;=Painel!$G$8,OR(Painel!$L$8="Todos",C610=Painel!$L$8),OR(Painel!$Q$8="Todos",D610=Painel!$Q$8),OR(Painel!$V$8="Todas",E610=Painel!$V$8)),1,0))</f>
        <v>0</v>
      </c>
      <c r="L610" s="61" t="str">
        <f aca="false">IF(LEN(A610&amp;"")=0,"",J610-I610)</f>
        <v/>
      </c>
      <c r="M610" s="1" t="n">
        <f aca="false">IF(LEN(A610&amp;"")=0,0,IF(COUNTIFS(Base!$A$7:$A$1006,A610)&gt;1,1,0))</f>
        <v>0</v>
      </c>
      <c r="N610" s="1" t="n">
        <f aca="false">IF(LEN(A610&amp;"")=0,0,IF(ABS(L610)&gt;0.005,1,0))</f>
        <v>0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customFormat="false" ht="23" hidden="false" customHeight="true" outlineLevel="0" collapsed="false">
      <c r="A611" s="1" t="str">
        <f aca="false">IF(LEN(Base!A611&amp;"")=0,"",Base!A611)</f>
        <v/>
      </c>
      <c r="B611" s="60" t="str">
        <f aca="false">IF(LEN(A611&amp;"")=0,"",Base!D611)</f>
        <v/>
      </c>
      <c r="C611" s="1" t="str">
        <f aca="false">IF(LEN(A611&amp;"")=0,"",Base!C611)</f>
        <v/>
      </c>
      <c r="D611" s="1" t="str">
        <f aca="false">IF(LEN(A611&amp;"")=0,"",Base!G611)</f>
        <v/>
      </c>
      <c r="E611" s="1" t="str">
        <f aca="false">IF(LEN(A611&amp;"")=0,"",Base!E611)</f>
        <v/>
      </c>
      <c r="F611" s="61" t="str">
        <f aca="false">IF(LEN(A611&amp;"")=0,"",IF(Base!I611="-",0,Base!I611))</f>
        <v/>
      </c>
      <c r="G611" s="61" t="str">
        <f aca="false">IF(LEN(A611&amp;"")=0,"",SUM(Base!F611,F611,Base!K611))</f>
        <v/>
      </c>
      <c r="H611" s="61" t="str">
        <f aca="false">IF(LEN(A611&amp;"")=0,"",Base!L611)</f>
        <v/>
      </c>
      <c r="I611" s="61" t="str">
        <f aca="false">IF(LEN(A611&amp;"")=0,"",G611-H611)</f>
        <v/>
      </c>
      <c r="J611" s="61" t="str">
        <f aca="false">IF(LEN(A611&amp;"")=0,"",Base!M611)</f>
        <v/>
      </c>
      <c r="K611" s="1" t="n">
        <f aca="false">IF(OR(LEN(A611&amp;"")=0,$P$3=0),0,IF(AND(B611&gt;=Painel!$B$8,B611&lt;=Painel!$G$8,OR(Painel!$L$8="Todos",C611=Painel!$L$8),OR(Painel!$Q$8="Todos",D611=Painel!$Q$8),OR(Painel!$V$8="Todas",E611=Painel!$V$8)),1,0))</f>
        <v>0</v>
      </c>
      <c r="L611" s="61" t="str">
        <f aca="false">IF(LEN(A611&amp;"")=0,"",J611-I611)</f>
        <v/>
      </c>
      <c r="M611" s="1" t="n">
        <f aca="false">IF(LEN(A611&amp;"")=0,0,IF(COUNTIFS(Base!$A$7:$A$1006,A611)&gt;1,1,0))</f>
        <v>0</v>
      </c>
      <c r="N611" s="1" t="n">
        <f aca="false">IF(LEN(A611&amp;"")=0,0,IF(ABS(L611)&gt;0.005,1,0))</f>
        <v>0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customFormat="false" ht="23" hidden="false" customHeight="true" outlineLevel="0" collapsed="false">
      <c r="A612" s="1" t="str">
        <f aca="false">IF(LEN(Base!A612&amp;"")=0,"",Base!A612)</f>
        <v/>
      </c>
      <c r="B612" s="60" t="str">
        <f aca="false">IF(LEN(A612&amp;"")=0,"",Base!D612)</f>
        <v/>
      </c>
      <c r="C612" s="1" t="str">
        <f aca="false">IF(LEN(A612&amp;"")=0,"",Base!C612)</f>
        <v/>
      </c>
      <c r="D612" s="1" t="str">
        <f aca="false">IF(LEN(A612&amp;"")=0,"",Base!G612)</f>
        <v/>
      </c>
      <c r="E612" s="1" t="str">
        <f aca="false">IF(LEN(A612&amp;"")=0,"",Base!E612)</f>
        <v/>
      </c>
      <c r="F612" s="61" t="str">
        <f aca="false">IF(LEN(A612&amp;"")=0,"",IF(Base!I612="-",0,Base!I612))</f>
        <v/>
      </c>
      <c r="G612" s="61" t="str">
        <f aca="false">IF(LEN(A612&amp;"")=0,"",SUM(Base!F612,F612,Base!K612))</f>
        <v/>
      </c>
      <c r="H612" s="61" t="str">
        <f aca="false">IF(LEN(A612&amp;"")=0,"",Base!L612)</f>
        <v/>
      </c>
      <c r="I612" s="61" t="str">
        <f aca="false">IF(LEN(A612&amp;"")=0,"",G612-H612)</f>
        <v/>
      </c>
      <c r="J612" s="61" t="str">
        <f aca="false">IF(LEN(A612&amp;"")=0,"",Base!M612)</f>
        <v/>
      </c>
      <c r="K612" s="1" t="n">
        <f aca="false">IF(OR(LEN(A612&amp;"")=0,$P$3=0),0,IF(AND(B612&gt;=Painel!$B$8,B612&lt;=Painel!$G$8,OR(Painel!$L$8="Todos",C612=Painel!$L$8),OR(Painel!$Q$8="Todos",D612=Painel!$Q$8),OR(Painel!$V$8="Todas",E612=Painel!$V$8)),1,0))</f>
        <v>0</v>
      </c>
      <c r="L612" s="61" t="str">
        <f aca="false">IF(LEN(A612&amp;"")=0,"",J612-I612)</f>
        <v/>
      </c>
      <c r="M612" s="1" t="n">
        <f aca="false">IF(LEN(A612&amp;"")=0,0,IF(COUNTIFS(Base!$A$7:$A$1006,A612)&gt;1,1,0))</f>
        <v>0</v>
      </c>
      <c r="N612" s="1" t="n">
        <f aca="false">IF(LEN(A612&amp;"")=0,0,IF(ABS(L612)&gt;0.005,1,0))</f>
        <v>0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customFormat="false" ht="23" hidden="false" customHeight="true" outlineLevel="0" collapsed="false">
      <c r="A613" s="1" t="str">
        <f aca="false">IF(LEN(Base!A613&amp;"")=0,"",Base!A613)</f>
        <v/>
      </c>
      <c r="B613" s="60" t="str">
        <f aca="false">IF(LEN(A613&amp;"")=0,"",Base!D613)</f>
        <v/>
      </c>
      <c r="C613" s="1" t="str">
        <f aca="false">IF(LEN(A613&amp;"")=0,"",Base!C613)</f>
        <v/>
      </c>
      <c r="D613" s="1" t="str">
        <f aca="false">IF(LEN(A613&amp;"")=0,"",Base!G613)</f>
        <v/>
      </c>
      <c r="E613" s="1" t="str">
        <f aca="false">IF(LEN(A613&amp;"")=0,"",Base!E613)</f>
        <v/>
      </c>
      <c r="F613" s="61" t="str">
        <f aca="false">IF(LEN(A613&amp;"")=0,"",IF(Base!I613="-",0,Base!I613))</f>
        <v/>
      </c>
      <c r="G613" s="61" t="str">
        <f aca="false">IF(LEN(A613&amp;"")=0,"",SUM(Base!F613,F613,Base!K613))</f>
        <v/>
      </c>
      <c r="H613" s="61" t="str">
        <f aca="false">IF(LEN(A613&amp;"")=0,"",Base!L613)</f>
        <v/>
      </c>
      <c r="I613" s="61" t="str">
        <f aca="false">IF(LEN(A613&amp;"")=0,"",G613-H613)</f>
        <v/>
      </c>
      <c r="J613" s="61" t="str">
        <f aca="false">IF(LEN(A613&amp;"")=0,"",Base!M613)</f>
        <v/>
      </c>
      <c r="K613" s="1" t="n">
        <f aca="false">IF(OR(LEN(A613&amp;"")=0,$P$3=0),0,IF(AND(B613&gt;=Painel!$B$8,B613&lt;=Painel!$G$8,OR(Painel!$L$8="Todos",C613=Painel!$L$8),OR(Painel!$Q$8="Todos",D613=Painel!$Q$8),OR(Painel!$V$8="Todas",E613=Painel!$V$8)),1,0))</f>
        <v>0</v>
      </c>
      <c r="L613" s="61" t="str">
        <f aca="false">IF(LEN(A613&amp;"")=0,"",J613-I613)</f>
        <v/>
      </c>
      <c r="M613" s="1" t="n">
        <f aca="false">IF(LEN(A613&amp;"")=0,0,IF(COUNTIFS(Base!$A$7:$A$1006,A613)&gt;1,1,0))</f>
        <v>0</v>
      </c>
      <c r="N613" s="1" t="n">
        <f aca="false">IF(LEN(A613&amp;"")=0,0,IF(ABS(L613)&gt;0.005,1,0))</f>
        <v>0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customFormat="false" ht="23" hidden="false" customHeight="true" outlineLevel="0" collapsed="false">
      <c r="A614" s="1" t="str">
        <f aca="false">IF(LEN(Base!A614&amp;"")=0,"",Base!A614)</f>
        <v/>
      </c>
      <c r="B614" s="60" t="str">
        <f aca="false">IF(LEN(A614&amp;"")=0,"",Base!D614)</f>
        <v/>
      </c>
      <c r="C614" s="1" t="str">
        <f aca="false">IF(LEN(A614&amp;"")=0,"",Base!C614)</f>
        <v/>
      </c>
      <c r="D614" s="1" t="str">
        <f aca="false">IF(LEN(A614&amp;"")=0,"",Base!G614)</f>
        <v/>
      </c>
      <c r="E614" s="1" t="str">
        <f aca="false">IF(LEN(A614&amp;"")=0,"",Base!E614)</f>
        <v/>
      </c>
      <c r="F614" s="61" t="str">
        <f aca="false">IF(LEN(A614&amp;"")=0,"",IF(Base!I614="-",0,Base!I614))</f>
        <v/>
      </c>
      <c r="G614" s="61" t="str">
        <f aca="false">IF(LEN(A614&amp;"")=0,"",SUM(Base!F614,F614,Base!K614))</f>
        <v/>
      </c>
      <c r="H614" s="61" t="str">
        <f aca="false">IF(LEN(A614&amp;"")=0,"",Base!L614)</f>
        <v/>
      </c>
      <c r="I614" s="61" t="str">
        <f aca="false">IF(LEN(A614&amp;"")=0,"",G614-H614)</f>
        <v/>
      </c>
      <c r="J614" s="61" t="str">
        <f aca="false">IF(LEN(A614&amp;"")=0,"",Base!M614)</f>
        <v/>
      </c>
      <c r="K614" s="1" t="n">
        <f aca="false">IF(OR(LEN(A614&amp;"")=0,$P$3=0),0,IF(AND(B614&gt;=Painel!$B$8,B614&lt;=Painel!$G$8,OR(Painel!$L$8="Todos",C614=Painel!$L$8),OR(Painel!$Q$8="Todos",D614=Painel!$Q$8),OR(Painel!$V$8="Todas",E614=Painel!$V$8)),1,0))</f>
        <v>0</v>
      </c>
      <c r="L614" s="61" t="str">
        <f aca="false">IF(LEN(A614&amp;"")=0,"",J614-I614)</f>
        <v/>
      </c>
      <c r="M614" s="1" t="n">
        <f aca="false">IF(LEN(A614&amp;"")=0,0,IF(COUNTIFS(Base!$A$7:$A$1006,A614)&gt;1,1,0))</f>
        <v>0</v>
      </c>
      <c r="N614" s="1" t="n">
        <f aca="false">IF(LEN(A614&amp;"")=0,0,IF(ABS(L614)&gt;0.005,1,0))</f>
        <v>0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customFormat="false" ht="23" hidden="false" customHeight="true" outlineLevel="0" collapsed="false">
      <c r="A615" s="1" t="str">
        <f aca="false">IF(LEN(Base!A615&amp;"")=0,"",Base!A615)</f>
        <v/>
      </c>
      <c r="B615" s="60" t="str">
        <f aca="false">IF(LEN(A615&amp;"")=0,"",Base!D615)</f>
        <v/>
      </c>
      <c r="C615" s="1" t="str">
        <f aca="false">IF(LEN(A615&amp;"")=0,"",Base!C615)</f>
        <v/>
      </c>
      <c r="D615" s="1" t="str">
        <f aca="false">IF(LEN(A615&amp;"")=0,"",Base!G615)</f>
        <v/>
      </c>
      <c r="E615" s="1" t="str">
        <f aca="false">IF(LEN(A615&amp;"")=0,"",Base!E615)</f>
        <v/>
      </c>
      <c r="F615" s="61" t="str">
        <f aca="false">IF(LEN(A615&amp;"")=0,"",IF(Base!I615="-",0,Base!I615))</f>
        <v/>
      </c>
      <c r="G615" s="61" t="str">
        <f aca="false">IF(LEN(A615&amp;"")=0,"",SUM(Base!F615,F615,Base!K615))</f>
        <v/>
      </c>
      <c r="H615" s="61" t="str">
        <f aca="false">IF(LEN(A615&amp;"")=0,"",Base!L615)</f>
        <v/>
      </c>
      <c r="I615" s="61" t="str">
        <f aca="false">IF(LEN(A615&amp;"")=0,"",G615-H615)</f>
        <v/>
      </c>
      <c r="J615" s="61" t="str">
        <f aca="false">IF(LEN(A615&amp;"")=0,"",Base!M615)</f>
        <v/>
      </c>
      <c r="K615" s="1" t="n">
        <f aca="false">IF(OR(LEN(A615&amp;"")=0,$P$3=0),0,IF(AND(B615&gt;=Painel!$B$8,B615&lt;=Painel!$G$8,OR(Painel!$L$8="Todos",C615=Painel!$L$8),OR(Painel!$Q$8="Todos",D615=Painel!$Q$8),OR(Painel!$V$8="Todas",E615=Painel!$V$8)),1,0))</f>
        <v>0</v>
      </c>
      <c r="L615" s="61" t="str">
        <f aca="false">IF(LEN(A615&amp;"")=0,"",J615-I615)</f>
        <v/>
      </c>
      <c r="M615" s="1" t="n">
        <f aca="false">IF(LEN(A615&amp;"")=0,0,IF(COUNTIFS(Base!$A$7:$A$1006,A615)&gt;1,1,0))</f>
        <v>0</v>
      </c>
      <c r="N615" s="1" t="n">
        <f aca="false">IF(LEN(A615&amp;"")=0,0,IF(ABS(L615)&gt;0.005,1,0))</f>
        <v>0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customFormat="false" ht="23" hidden="false" customHeight="true" outlineLevel="0" collapsed="false">
      <c r="A616" s="1" t="str">
        <f aca="false">IF(LEN(Base!A616&amp;"")=0,"",Base!A616)</f>
        <v/>
      </c>
      <c r="B616" s="60" t="str">
        <f aca="false">IF(LEN(A616&amp;"")=0,"",Base!D616)</f>
        <v/>
      </c>
      <c r="C616" s="1" t="str">
        <f aca="false">IF(LEN(A616&amp;"")=0,"",Base!C616)</f>
        <v/>
      </c>
      <c r="D616" s="1" t="str">
        <f aca="false">IF(LEN(A616&amp;"")=0,"",Base!G616)</f>
        <v/>
      </c>
      <c r="E616" s="1" t="str">
        <f aca="false">IF(LEN(A616&amp;"")=0,"",Base!E616)</f>
        <v/>
      </c>
      <c r="F616" s="61" t="str">
        <f aca="false">IF(LEN(A616&amp;"")=0,"",IF(Base!I616="-",0,Base!I616))</f>
        <v/>
      </c>
      <c r="G616" s="61" t="str">
        <f aca="false">IF(LEN(A616&amp;"")=0,"",SUM(Base!F616,F616,Base!K616))</f>
        <v/>
      </c>
      <c r="H616" s="61" t="str">
        <f aca="false">IF(LEN(A616&amp;"")=0,"",Base!L616)</f>
        <v/>
      </c>
      <c r="I616" s="61" t="str">
        <f aca="false">IF(LEN(A616&amp;"")=0,"",G616-H616)</f>
        <v/>
      </c>
      <c r="J616" s="61" t="str">
        <f aca="false">IF(LEN(A616&amp;"")=0,"",Base!M616)</f>
        <v/>
      </c>
      <c r="K616" s="1" t="n">
        <f aca="false">IF(OR(LEN(A616&amp;"")=0,$P$3=0),0,IF(AND(B616&gt;=Painel!$B$8,B616&lt;=Painel!$G$8,OR(Painel!$L$8="Todos",C616=Painel!$L$8),OR(Painel!$Q$8="Todos",D616=Painel!$Q$8),OR(Painel!$V$8="Todas",E616=Painel!$V$8)),1,0))</f>
        <v>0</v>
      </c>
      <c r="L616" s="61" t="str">
        <f aca="false">IF(LEN(A616&amp;"")=0,"",J616-I616)</f>
        <v/>
      </c>
      <c r="M616" s="1" t="n">
        <f aca="false">IF(LEN(A616&amp;"")=0,0,IF(COUNTIFS(Base!$A$7:$A$1006,A616)&gt;1,1,0))</f>
        <v>0</v>
      </c>
      <c r="N616" s="1" t="n">
        <f aca="false">IF(LEN(A616&amp;"")=0,0,IF(ABS(L616)&gt;0.005,1,0))</f>
        <v>0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customFormat="false" ht="23" hidden="false" customHeight="true" outlineLevel="0" collapsed="false">
      <c r="A617" s="1" t="str">
        <f aca="false">IF(LEN(Base!A617&amp;"")=0,"",Base!A617)</f>
        <v/>
      </c>
      <c r="B617" s="60" t="str">
        <f aca="false">IF(LEN(A617&amp;"")=0,"",Base!D617)</f>
        <v/>
      </c>
      <c r="C617" s="1" t="str">
        <f aca="false">IF(LEN(A617&amp;"")=0,"",Base!C617)</f>
        <v/>
      </c>
      <c r="D617" s="1" t="str">
        <f aca="false">IF(LEN(A617&amp;"")=0,"",Base!G617)</f>
        <v/>
      </c>
      <c r="E617" s="1" t="str">
        <f aca="false">IF(LEN(A617&amp;"")=0,"",Base!E617)</f>
        <v/>
      </c>
      <c r="F617" s="61" t="str">
        <f aca="false">IF(LEN(A617&amp;"")=0,"",IF(Base!I617="-",0,Base!I617))</f>
        <v/>
      </c>
      <c r="G617" s="61" t="str">
        <f aca="false">IF(LEN(A617&amp;"")=0,"",SUM(Base!F617,F617,Base!K617))</f>
        <v/>
      </c>
      <c r="H617" s="61" t="str">
        <f aca="false">IF(LEN(A617&amp;"")=0,"",Base!L617)</f>
        <v/>
      </c>
      <c r="I617" s="61" t="str">
        <f aca="false">IF(LEN(A617&amp;"")=0,"",G617-H617)</f>
        <v/>
      </c>
      <c r="J617" s="61" t="str">
        <f aca="false">IF(LEN(A617&amp;"")=0,"",Base!M617)</f>
        <v/>
      </c>
      <c r="K617" s="1" t="n">
        <f aca="false">IF(OR(LEN(A617&amp;"")=0,$P$3=0),0,IF(AND(B617&gt;=Painel!$B$8,B617&lt;=Painel!$G$8,OR(Painel!$L$8="Todos",C617=Painel!$L$8),OR(Painel!$Q$8="Todos",D617=Painel!$Q$8),OR(Painel!$V$8="Todas",E617=Painel!$V$8)),1,0))</f>
        <v>0</v>
      </c>
      <c r="L617" s="61" t="str">
        <f aca="false">IF(LEN(A617&amp;"")=0,"",J617-I617)</f>
        <v/>
      </c>
      <c r="M617" s="1" t="n">
        <f aca="false">IF(LEN(A617&amp;"")=0,0,IF(COUNTIFS(Base!$A$7:$A$1006,A617)&gt;1,1,0))</f>
        <v>0</v>
      </c>
      <c r="N617" s="1" t="n">
        <f aca="false">IF(LEN(A617&amp;"")=0,0,IF(ABS(L617)&gt;0.005,1,0))</f>
        <v>0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customFormat="false" ht="23" hidden="false" customHeight="true" outlineLevel="0" collapsed="false">
      <c r="A618" s="1" t="str">
        <f aca="false">IF(LEN(Base!A618&amp;"")=0,"",Base!A618)</f>
        <v/>
      </c>
      <c r="B618" s="60" t="str">
        <f aca="false">IF(LEN(A618&amp;"")=0,"",Base!D618)</f>
        <v/>
      </c>
      <c r="C618" s="1" t="str">
        <f aca="false">IF(LEN(A618&amp;"")=0,"",Base!C618)</f>
        <v/>
      </c>
      <c r="D618" s="1" t="str">
        <f aca="false">IF(LEN(A618&amp;"")=0,"",Base!G618)</f>
        <v/>
      </c>
      <c r="E618" s="1" t="str">
        <f aca="false">IF(LEN(A618&amp;"")=0,"",Base!E618)</f>
        <v/>
      </c>
      <c r="F618" s="61" t="str">
        <f aca="false">IF(LEN(A618&amp;"")=0,"",IF(Base!I618="-",0,Base!I618))</f>
        <v/>
      </c>
      <c r="G618" s="61" t="str">
        <f aca="false">IF(LEN(A618&amp;"")=0,"",SUM(Base!F618,F618,Base!K618))</f>
        <v/>
      </c>
      <c r="H618" s="61" t="str">
        <f aca="false">IF(LEN(A618&amp;"")=0,"",Base!L618)</f>
        <v/>
      </c>
      <c r="I618" s="61" t="str">
        <f aca="false">IF(LEN(A618&amp;"")=0,"",G618-H618)</f>
        <v/>
      </c>
      <c r="J618" s="61" t="str">
        <f aca="false">IF(LEN(A618&amp;"")=0,"",Base!M618)</f>
        <v/>
      </c>
      <c r="K618" s="1" t="n">
        <f aca="false">IF(OR(LEN(A618&amp;"")=0,$P$3=0),0,IF(AND(B618&gt;=Painel!$B$8,B618&lt;=Painel!$G$8,OR(Painel!$L$8="Todos",C618=Painel!$L$8),OR(Painel!$Q$8="Todos",D618=Painel!$Q$8),OR(Painel!$V$8="Todas",E618=Painel!$V$8)),1,0))</f>
        <v>0</v>
      </c>
      <c r="L618" s="61" t="str">
        <f aca="false">IF(LEN(A618&amp;"")=0,"",J618-I618)</f>
        <v/>
      </c>
      <c r="M618" s="1" t="n">
        <f aca="false">IF(LEN(A618&amp;"")=0,0,IF(COUNTIFS(Base!$A$7:$A$1006,A618)&gt;1,1,0))</f>
        <v>0</v>
      </c>
      <c r="N618" s="1" t="n">
        <f aca="false">IF(LEN(A618&amp;"")=0,0,IF(ABS(L618)&gt;0.005,1,0))</f>
        <v>0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customFormat="false" ht="23" hidden="false" customHeight="true" outlineLevel="0" collapsed="false">
      <c r="A619" s="1" t="str">
        <f aca="false">IF(LEN(Base!A619&amp;"")=0,"",Base!A619)</f>
        <v/>
      </c>
      <c r="B619" s="60" t="str">
        <f aca="false">IF(LEN(A619&amp;"")=0,"",Base!D619)</f>
        <v/>
      </c>
      <c r="C619" s="1" t="str">
        <f aca="false">IF(LEN(A619&amp;"")=0,"",Base!C619)</f>
        <v/>
      </c>
      <c r="D619" s="1" t="str">
        <f aca="false">IF(LEN(A619&amp;"")=0,"",Base!G619)</f>
        <v/>
      </c>
      <c r="E619" s="1" t="str">
        <f aca="false">IF(LEN(A619&amp;"")=0,"",Base!E619)</f>
        <v/>
      </c>
      <c r="F619" s="61" t="str">
        <f aca="false">IF(LEN(A619&amp;"")=0,"",IF(Base!I619="-",0,Base!I619))</f>
        <v/>
      </c>
      <c r="G619" s="61" t="str">
        <f aca="false">IF(LEN(A619&amp;"")=0,"",SUM(Base!F619,F619,Base!K619))</f>
        <v/>
      </c>
      <c r="H619" s="61" t="str">
        <f aca="false">IF(LEN(A619&amp;"")=0,"",Base!L619)</f>
        <v/>
      </c>
      <c r="I619" s="61" t="str">
        <f aca="false">IF(LEN(A619&amp;"")=0,"",G619-H619)</f>
        <v/>
      </c>
      <c r="J619" s="61" t="str">
        <f aca="false">IF(LEN(A619&amp;"")=0,"",Base!M619)</f>
        <v/>
      </c>
      <c r="K619" s="1" t="n">
        <f aca="false">IF(OR(LEN(A619&amp;"")=0,$P$3=0),0,IF(AND(B619&gt;=Painel!$B$8,B619&lt;=Painel!$G$8,OR(Painel!$L$8="Todos",C619=Painel!$L$8),OR(Painel!$Q$8="Todos",D619=Painel!$Q$8),OR(Painel!$V$8="Todas",E619=Painel!$V$8)),1,0))</f>
        <v>0</v>
      </c>
      <c r="L619" s="61" t="str">
        <f aca="false">IF(LEN(A619&amp;"")=0,"",J619-I619)</f>
        <v/>
      </c>
      <c r="M619" s="1" t="n">
        <f aca="false">IF(LEN(A619&amp;"")=0,0,IF(COUNTIFS(Base!$A$7:$A$1006,A619)&gt;1,1,0))</f>
        <v>0</v>
      </c>
      <c r="N619" s="1" t="n">
        <f aca="false">IF(LEN(A619&amp;"")=0,0,IF(ABS(L619)&gt;0.005,1,0))</f>
        <v>0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customFormat="false" ht="23" hidden="false" customHeight="true" outlineLevel="0" collapsed="false">
      <c r="A620" s="1" t="str">
        <f aca="false">IF(LEN(Base!A620&amp;"")=0,"",Base!A620)</f>
        <v/>
      </c>
      <c r="B620" s="60" t="str">
        <f aca="false">IF(LEN(A620&amp;"")=0,"",Base!D620)</f>
        <v/>
      </c>
      <c r="C620" s="1" t="str">
        <f aca="false">IF(LEN(A620&amp;"")=0,"",Base!C620)</f>
        <v/>
      </c>
      <c r="D620" s="1" t="str">
        <f aca="false">IF(LEN(A620&amp;"")=0,"",Base!G620)</f>
        <v/>
      </c>
      <c r="E620" s="1" t="str">
        <f aca="false">IF(LEN(A620&amp;"")=0,"",Base!E620)</f>
        <v/>
      </c>
      <c r="F620" s="61" t="str">
        <f aca="false">IF(LEN(A620&amp;"")=0,"",IF(Base!I620="-",0,Base!I620))</f>
        <v/>
      </c>
      <c r="G620" s="61" t="str">
        <f aca="false">IF(LEN(A620&amp;"")=0,"",SUM(Base!F620,F620,Base!K620))</f>
        <v/>
      </c>
      <c r="H620" s="61" t="str">
        <f aca="false">IF(LEN(A620&amp;"")=0,"",Base!L620)</f>
        <v/>
      </c>
      <c r="I620" s="61" t="str">
        <f aca="false">IF(LEN(A620&amp;"")=0,"",G620-H620)</f>
        <v/>
      </c>
      <c r="J620" s="61" t="str">
        <f aca="false">IF(LEN(A620&amp;"")=0,"",Base!M620)</f>
        <v/>
      </c>
      <c r="K620" s="1" t="n">
        <f aca="false">IF(OR(LEN(A620&amp;"")=0,$P$3=0),0,IF(AND(B620&gt;=Painel!$B$8,B620&lt;=Painel!$G$8,OR(Painel!$L$8="Todos",C620=Painel!$L$8),OR(Painel!$Q$8="Todos",D620=Painel!$Q$8),OR(Painel!$V$8="Todas",E620=Painel!$V$8)),1,0))</f>
        <v>0</v>
      </c>
      <c r="L620" s="61" t="str">
        <f aca="false">IF(LEN(A620&amp;"")=0,"",J620-I620)</f>
        <v/>
      </c>
      <c r="M620" s="1" t="n">
        <f aca="false">IF(LEN(A620&amp;"")=0,0,IF(COUNTIFS(Base!$A$7:$A$1006,A620)&gt;1,1,0))</f>
        <v>0</v>
      </c>
      <c r="N620" s="1" t="n">
        <f aca="false">IF(LEN(A620&amp;"")=0,0,IF(ABS(L620)&gt;0.005,1,0))</f>
        <v>0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customFormat="false" ht="23" hidden="false" customHeight="true" outlineLevel="0" collapsed="false">
      <c r="A621" s="1" t="str">
        <f aca="false">IF(LEN(Base!A621&amp;"")=0,"",Base!A621)</f>
        <v/>
      </c>
      <c r="B621" s="60" t="str">
        <f aca="false">IF(LEN(A621&amp;"")=0,"",Base!D621)</f>
        <v/>
      </c>
      <c r="C621" s="1" t="str">
        <f aca="false">IF(LEN(A621&amp;"")=0,"",Base!C621)</f>
        <v/>
      </c>
      <c r="D621" s="1" t="str">
        <f aca="false">IF(LEN(A621&amp;"")=0,"",Base!G621)</f>
        <v/>
      </c>
      <c r="E621" s="1" t="str">
        <f aca="false">IF(LEN(A621&amp;"")=0,"",Base!E621)</f>
        <v/>
      </c>
      <c r="F621" s="61" t="str">
        <f aca="false">IF(LEN(A621&amp;"")=0,"",IF(Base!I621="-",0,Base!I621))</f>
        <v/>
      </c>
      <c r="G621" s="61" t="str">
        <f aca="false">IF(LEN(A621&amp;"")=0,"",SUM(Base!F621,F621,Base!K621))</f>
        <v/>
      </c>
      <c r="H621" s="61" t="str">
        <f aca="false">IF(LEN(A621&amp;"")=0,"",Base!L621)</f>
        <v/>
      </c>
      <c r="I621" s="61" t="str">
        <f aca="false">IF(LEN(A621&amp;"")=0,"",G621-H621)</f>
        <v/>
      </c>
      <c r="J621" s="61" t="str">
        <f aca="false">IF(LEN(A621&amp;"")=0,"",Base!M621)</f>
        <v/>
      </c>
      <c r="K621" s="1" t="n">
        <f aca="false">IF(OR(LEN(A621&amp;"")=0,$P$3=0),0,IF(AND(B621&gt;=Painel!$B$8,B621&lt;=Painel!$G$8,OR(Painel!$L$8="Todos",C621=Painel!$L$8),OR(Painel!$Q$8="Todos",D621=Painel!$Q$8),OR(Painel!$V$8="Todas",E621=Painel!$V$8)),1,0))</f>
        <v>0</v>
      </c>
      <c r="L621" s="61" t="str">
        <f aca="false">IF(LEN(A621&amp;"")=0,"",J621-I621)</f>
        <v/>
      </c>
      <c r="M621" s="1" t="n">
        <f aca="false">IF(LEN(A621&amp;"")=0,0,IF(COUNTIFS(Base!$A$7:$A$1006,A621)&gt;1,1,0))</f>
        <v>0</v>
      </c>
      <c r="N621" s="1" t="n">
        <f aca="false">IF(LEN(A621&amp;"")=0,0,IF(ABS(L621)&gt;0.005,1,0))</f>
        <v>0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customFormat="false" ht="23" hidden="false" customHeight="true" outlineLevel="0" collapsed="false">
      <c r="A622" s="1" t="str">
        <f aca="false">IF(LEN(Base!A622&amp;"")=0,"",Base!A622)</f>
        <v/>
      </c>
      <c r="B622" s="60" t="str">
        <f aca="false">IF(LEN(A622&amp;"")=0,"",Base!D622)</f>
        <v/>
      </c>
      <c r="C622" s="1" t="str">
        <f aca="false">IF(LEN(A622&amp;"")=0,"",Base!C622)</f>
        <v/>
      </c>
      <c r="D622" s="1" t="str">
        <f aca="false">IF(LEN(A622&amp;"")=0,"",Base!G622)</f>
        <v/>
      </c>
      <c r="E622" s="1" t="str">
        <f aca="false">IF(LEN(A622&amp;"")=0,"",Base!E622)</f>
        <v/>
      </c>
      <c r="F622" s="61" t="str">
        <f aca="false">IF(LEN(A622&amp;"")=0,"",IF(Base!I622="-",0,Base!I622))</f>
        <v/>
      </c>
      <c r="G622" s="61" t="str">
        <f aca="false">IF(LEN(A622&amp;"")=0,"",SUM(Base!F622,F622,Base!K622))</f>
        <v/>
      </c>
      <c r="H622" s="61" t="str">
        <f aca="false">IF(LEN(A622&amp;"")=0,"",Base!L622)</f>
        <v/>
      </c>
      <c r="I622" s="61" t="str">
        <f aca="false">IF(LEN(A622&amp;"")=0,"",G622-H622)</f>
        <v/>
      </c>
      <c r="J622" s="61" t="str">
        <f aca="false">IF(LEN(A622&amp;"")=0,"",Base!M622)</f>
        <v/>
      </c>
      <c r="K622" s="1" t="n">
        <f aca="false">IF(OR(LEN(A622&amp;"")=0,$P$3=0),0,IF(AND(B622&gt;=Painel!$B$8,B622&lt;=Painel!$G$8,OR(Painel!$L$8="Todos",C622=Painel!$L$8),OR(Painel!$Q$8="Todos",D622=Painel!$Q$8),OR(Painel!$V$8="Todas",E622=Painel!$V$8)),1,0))</f>
        <v>0</v>
      </c>
      <c r="L622" s="61" t="str">
        <f aca="false">IF(LEN(A622&amp;"")=0,"",J622-I622)</f>
        <v/>
      </c>
      <c r="M622" s="1" t="n">
        <f aca="false">IF(LEN(A622&amp;"")=0,0,IF(COUNTIFS(Base!$A$7:$A$1006,A622)&gt;1,1,0))</f>
        <v>0</v>
      </c>
      <c r="N622" s="1" t="n">
        <f aca="false">IF(LEN(A622&amp;"")=0,0,IF(ABS(L622)&gt;0.005,1,0))</f>
        <v>0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customFormat="false" ht="23" hidden="false" customHeight="true" outlineLevel="0" collapsed="false">
      <c r="A623" s="1" t="str">
        <f aca="false">IF(LEN(Base!A623&amp;"")=0,"",Base!A623)</f>
        <v/>
      </c>
      <c r="B623" s="60" t="str">
        <f aca="false">IF(LEN(A623&amp;"")=0,"",Base!D623)</f>
        <v/>
      </c>
      <c r="C623" s="1" t="str">
        <f aca="false">IF(LEN(A623&amp;"")=0,"",Base!C623)</f>
        <v/>
      </c>
      <c r="D623" s="1" t="str">
        <f aca="false">IF(LEN(A623&amp;"")=0,"",Base!G623)</f>
        <v/>
      </c>
      <c r="E623" s="1" t="str">
        <f aca="false">IF(LEN(A623&amp;"")=0,"",Base!E623)</f>
        <v/>
      </c>
      <c r="F623" s="61" t="str">
        <f aca="false">IF(LEN(A623&amp;"")=0,"",IF(Base!I623="-",0,Base!I623))</f>
        <v/>
      </c>
      <c r="G623" s="61" t="str">
        <f aca="false">IF(LEN(A623&amp;"")=0,"",SUM(Base!F623,F623,Base!K623))</f>
        <v/>
      </c>
      <c r="H623" s="61" t="str">
        <f aca="false">IF(LEN(A623&amp;"")=0,"",Base!L623)</f>
        <v/>
      </c>
      <c r="I623" s="61" t="str">
        <f aca="false">IF(LEN(A623&amp;"")=0,"",G623-H623)</f>
        <v/>
      </c>
      <c r="J623" s="61" t="str">
        <f aca="false">IF(LEN(A623&amp;"")=0,"",Base!M623)</f>
        <v/>
      </c>
      <c r="K623" s="1" t="n">
        <f aca="false">IF(OR(LEN(A623&amp;"")=0,$P$3=0),0,IF(AND(B623&gt;=Painel!$B$8,B623&lt;=Painel!$G$8,OR(Painel!$L$8="Todos",C623=Painel!$L$8),OR(Painel!$Q$8="Todos",D623=Painel!$Q$8),OR(Painel!$V$8="Todas",E623=Painel!$V$8)),1,0))</f>
        <v>0</v>
      </c>
      <c r="L623" s="61" t="str">
        <f aca="false">IF(LEN(A623&amp;"")=0,"",J623-I623)</f>
        <v/>
      </c>
      <c r="M623" s="1" t="n">
        <f aca="false">IF(LEN(A623&amp;"")=0,0,IF(COUNTIFS(Base!$A$7:$A$1006,A623)&gt;1,1,0))</f>
        <v>0</v>
      </c>
      <c r="N623" s="1" t="n">
        <f aca="false">IF(LEN(A623&amp;"")=0,0,IF(ABS(L623)&gt;0.005,1,0))</f>
        <v>0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customFormat="false" ht="23" hidden="false" customHeight="true" outlineLevel="0" collapsed="false">
      <c r="A624" s="1" t="str">
        <f aca="false">IF(LEN(Base!A624&amp;"")=0,"",Base!A624)</f>
        <v/>
      </c>
      <c r="B624" s="60" t="str">
        <f aca="false">IF(LEN(A624&amp;"")=0,"",Base!D624)</f>
        <v/>
      </c>
      <c r="C624" s="1" t="str">
        <f aca="false">IF(LEN(A624&amp;"")=0,"",Base!C624)</f>
        <v/>
      </c>
      <c r="D624" s="1" t="str">
        <f aca="false">IF(LEN(A624&amp;"")=0,"",Base!G624)</f>
        <v/>
      </c>
      <c r="E624" s="1" t="str">
        <f aca="false">IF(LEN(A624&amp;"")=0,"",Base!E624)</f>
        <v/>
      </c>
      <c r="F624" s="61" t="str">
        <f aca="false">IF(LEN(A624&amp;"")=0,"",IF(Base!I624="-",0,Base!I624))</f>
        <v/>
      </c>
      <c r="G624" s="61" t="str">
        <f aca="false">IF(LEN(A624&amp;"")=0,"",SUM(Base!F624,F624,Base!K624))</f>
        <v/>
      </c>
      <c r="H624" s="61" t="str">
        <f aca="false">IF(LEN(A624&amp;"")=0,"",Base!L624)</f>
        <v/>
      </c>
      <c r="I624" s="61" t="str">
        <f aca="false">IF(LEN(A624&amp;"")=0,"",G624-H624)</f>
        <v/>
      </c>
      <c r="J624" s="61" t="str">
        <f aca="false">IF(LEN(A624&amp;"")=0,"",Base!M624)</f>
        <v/>
      </c>
      <c r="K624" s="1" t="n">
        <f aca="false">IF(OR(LEN(A624&amp;"")=0,$P$3=0),0,IF(AND(B624&gt;=Painel!$B$8,B624&lt;=Painel!$G$8,OR(Painel!$L$8="Todos",C624=Painel!$L$8),OR(Painel!$Q$8="Todos",D624=Painel!$Q$8),OR(Painel!$V$8="Todas",E624=Painel!$V$8)),1,0))</f>
        <v>0</v>
      </c>
      <c r="L624" s="61" t="str">
        <f aca="false">IF(LEN(A624&amp;"")=0,"",J624-I624)</f>
        <v/>
      </c>
      <c r="M624" s="1" t="n">
        <f aca="false">IF(LEN(A624&amp;"")=0,0,IF(COUNTIFS(Base!$A$7:$A$1006,A624)&gt;1,1,0))</f>
        <v>0</v>
      </c>
      <c r="N624" s="1" t="n">
        <f aca="false">IF(LEN(A624&amp;"")=0,0,IF(ABS(L624)&gt;0.005,1,0))</f>
        <v>0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customFormat="false" ht="23" hidden="false" customHeight="true" outlineLevel="0" collapsed="false">
      <c r="A625" s="1" t="str">
        <f aca="false">IF(LEN(Base!A625&amp;"")=0,"",Base!A625)</f>
        <v/>
      </c>
      <c r="B625" s="60" t="str">
        <f aca="false">IF(LEN(A625&amp;"")=0,"",Base!D625)</f>
        <v/>
      </c>
      <c r="C625" s="1" t="str">
        <f aca="false">IF(LEN(A625&amp;"")=0,"",Base!C625)</f>
        <v/>
      </c>
      <c r="D625" s="1" t="str">
        <f aca="false">IF(LEN(A625&amp;"")=0,"",Base!G625)</f>
        <v/>
      </c>
      <c r="E625" s="1" t="str">
        <f aca="false">IF(LEN(A625&amp;"")=0,"",Base!E625)</f>
        <v/>
      </c>
      <c r="F625" s="61" t="str">
        <f aca="false">IF(LEN(A625&amp;"")=0,"",IF(Base!I625="-",0,Base!I625))</f>
        <v/>
      </c>
      <c r="G625" s="61" t="str">
        <f aca="false">IF(LEN(A625&amp;"")=0,"",SUM(Base!F625,F625,Base!K625))</f>
        <v/>
      </c>
      <c r="H625" s="61" t="str">
        <f aca="false">IF(LEN(A625&amp;"")=0,"",Base!L625)</f>
        <v/>
      </c>
      <c r="I625" s="61" t="str">
        <f aca="false">IF(LEN(A625&amp;"")=0,"",G625-H625)</f>
        <v/>
      </c>
      <c r="J625" s="61" t="str">
        <f aca="false">IF(LEN(A625&amp;"")=0,"",Base!M625)</f>
        <v/>
      </c>
      <c r="K625" s="1" t="n">
        <f aca="false">IF(OR(LEN(A625&amp;"")=0,$P$3=0),0,IF(AND(B625&gt;=Painel!$B$8,B625&lt;=Painel!$G$8,OR(Painel!$L$8="Todos",C625=Painel!$L$8),OR(Painel!$Q$8="Todos",D625=Painel!$Q$8),OR(Painel!$V$8="Todas",E625=Painel!$V$8)),1,0))</f>
        <v>0</v>
      </c>
      <c r="L625" s="61" t="str">
        <f aca="false">IF(LEN(A625&amp;"")=0,"",J625-I625)</f>
        <v/>
      </c>
      <c r="M625" s="1" t="n">
        <f aca="false">IF(LEN(A625&amp;"")=0,0,IF(COUNTIFS(Base!$A$7:$A$1006,A625)&gt;1,1,0))</f>
        <v>0</v>
      </c>
      <c r="N625" s="1" t="n">
        <f aca="false">IF(LEN(A625&amp;"")=0,0,IF(ABS(L625)&gt;0.005,1,0))</f>
        <v>0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customFormat="false" ht="23" hidden="false" customHeight="true" outlineLevel="0" collapsed="false">
      <c r="A626" s="1" t="str">
        <f aca="false">IF(LEN(Base!A626&amp;"")=0,"",Base!A626)</f>
        <v/>
      </c>
      <c r="B626" s="60" t="str">
        <f aca="false">IF(LEN(A626&amp;"")=0,"",Base!D626)</f>
        <v/>
      </c>
      <c r="C626" s="1" t="str">
        <f aca="false">IF(LEN(A626&amp;"")=0,"",Base!C626)</f>
        <v/>
      </c>
      <c r="D626" s="1" t="str">
        <f aca="false">IF(LEN(A626&amp;"")=0,"",Base!G626)</f>
        <v/>
      </c>
      <c r="E626" s="1" t="str">
        <f aca="false">IF(LEN(A626&amp;"")=0,"",Base!E626)</f>
        <v/>
      </c>
      <c r="F626" s="61" t="str">
        <f aca="false">IF(LEN(A626&amp;"")=0,"",IF(Base!I626="-",0,Base!I626))</f>
        <v/>
      </c>
      <c r="G626" s="61" t="str">
        <f aca="false">IF(LEN(A626&amp;"")=0,"",SUM(Base!F626,F626,Base!K626))</f>
        <v/>
      </c>
      <c r="H626" s="61" t="str">
        <f aca="false">IF(LEN(A626&amp;"")=0,"",Base!L626)</f>
        <v/>
      </c>
      <c r="I626" s="61" t="str">
        <f aca="false">IF(LEN(A626&amp;"")=0,"",G626-H626)</f>
        <v/>
      </c>
      <c r="J626" s="61" t="str">
        <f aca="false">IF(LEN(A626&amp;"")=0,"",Base!M626)</f>
        <v/>
      </c>
      <c r="K626" s="1" t="n">
        <f aca="false">IF(OR(LEN(A626&amp;"")=0,$P$3=0),0,IF(AND(B626&gt;=Painel!$B$8,B626&lt;=Painel!$G$8,OR(Painel!$L$8="Todos",C626=Painel!$L$8),OR(Painel!$Q$8="Todos",D626=Painel!$Q$8),OR(Painel!$V$8="Todas",E626=Painel!$V$8)),1,0))</f>
        <v>0</v>
      </c>
      <c r="L626" s="61" t="str">
        <f aca="false">IF(LEN(A626&amp;"")=0,"",J626-I626)</f>
        <v/>
      </c>
      <c r="M626" s="1" t="n">
        <f aca="false">IF(LEN(A626&amp;"")=0,0,IF(COUNTIFS(Base!$A$7:$A$1006,A626)&gt;1,1,0))</f>
        <v>0</v>
      </c>
      <c r="N626" s="1" t="n">
        <f aca="false">IF(LEN(A626&amp;"")=0,0,IF(ABS(L626)&gt;0.005,1,0))</f>
        <v>0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customFormat="false" ht="23" hidden="false" customHeight="true" outlineLevel="0" collapsed="false">
      <c r="A627" s="1" t="str">
        <f aca="false">IF(LEN(Base!A627&amp;"")=0,"",Base!A627)</f>
        <v/>
      </c>
      <c r="B627" s="60" t="str">
        <f aca="false">IF(LEN(A627&amp;"")=0,"",Base!D627)</f>
        <v/>
      </c>
      <c r="C627" s="1" t="str">
        <f aca="false">IF(LEN(A627&amp;"")=0,"",Base!C627)</f>
        <v/>
      </c>
      <c r="D627" s="1" t="str">
        <f aca="false">IF(LEN(A627&amp;"")=0,"",Base!G627)</f>
        <v/>
      </c>
      <c r="E627" s="1" t="str">
        <f aca="false">IF(LEN(A627&amp;"")=0,"",Base!E627)</f>
        <v/>
      </c>
      <c r="F627" s="61" t="str">
        <f aca="false">IF(LEN(A627&amp;"")=0,"",IF(Base!I627="-",0,Base!I627))</f>
        <v/>
      </c>
      <c r="G627" s="61" t="str">
        <f aca="false">IF(LEN(A627&amp;"")=0,"",SUM(Base!F627,F627,Base!K627))</f>
        <v/>
      </c>
      <c r="H627" s="61" t="str">
        <f aca="false">IF(LEN(A627&amp;"")=0,"",Base!L627)</f>
        <v/>
      </c>
      <c r="I627" s="61" t="str">
        <f aca="false">IF(LEN(A627&amp;"")=0,"",G627-H627)</f>
        <v/>
      </c>
      <c r="J627" s="61" t="str">
        <f aca="false">IF(LEN(A627&amp;"")=0,"",Base!M627)</f>
        <v/>
      </c>
      <c r="K627" s="1" t="n">
        <f aca="false">IF(OR(LEN(A627&amp;"")=0,$P$3=0),0,IF(AND(B627&gt;=Painel!$B$8,B627&lt;=Painel!$G$8,OR(Painel!$L$8="Todos",C627=Painel!$L$8),OR(Painel!$Q$8="Todos",D627=Painel!$Q$8),OR(Painel!$V$8="Todas",E627=Painel!$V$8)),1,0))</f>
        <v>0</v>
      </c>
      <c r="L627" s="61" t="str">
        <f aca="false">IF(LEN(A627&amp;"")=0,"",J627-I627)</f>
        <v/>
      </c>
      <c r="M627" s="1" t="n">
        <f aca="false">IF(LEN(A627&amp;"")=0,0,IF(COUNTIFS(Base!$A$7:$A$1006,A627)&gt;1,1,0))</f>
        <v>0</v>
      </c>
      <c r="N627" s="1" t="n">
        <f aca="false">IF(LEN(A627&amp;"")=0,0,IF(ABS(L627)&gt;0.005,1,0))</f>
        <v>0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customFormat="false" ht="23" hidden="false" customHeight="true" outlineLevel="0" collapsed="false">
      <c r="A628" s="1" t="str">
        <f aca="false">IF(LEN(Base!A628&amp;"")=0,"",Base!A628)</f>
        <v/>
      </c>
      <c r="B628" s="60" t="str">
        <f aca="false">IF(LEN(A628&amp;"")=0,"",Base!D628)</f>
        <v/>
      </c>
      <c r="C628" s="1" t="str">
        <f aca="false">IF(LEN(A628&amp;"")=0,"",Base!C628)</f>
        <v/>
      </c>
      <c r="D628" s="1" t="str">
        <f aca="false">IF(LEN(A628&amp;"")=0,"",Base!G628)</f>
        <v/>
      </c>
      <c r="E628" s="1" t="str">
        <f aca="false">IF(LEN(A628&amp;"")=0,"",Base!E628)</f>
        <v/>
      </c>
      <c r="F628" s="61" t="str">
        <f aca="false">IF(LEN(A628&amp;"")=0,"",IF(Base!I628="-",0,Base!I628))</f>
        <v/>
      </c>
      <c r="G628" s="61" t="str">
        <f aca="false">IF(LEN(A628&amp;"")=0,"",SUM(Base!F628,F628,Base!K628))</f>
        <v/>
      </c>
      <c r="H628" s="61" t="str">
        <f aca="false">IF(LEN(A628&amp;"")=0,"",Base!L628)</f>
        <v/>
      </c>
      <c r="I628" s="61" t="str">
        <f aca="false">IF(LEN(A628&amp;"")=0,"",G628-H628)</f>
        <v/>
      </c>
      <c r="J628" s="61" t="str">
        <f aca="false">IF(LEN(A628&amp;"")=0,"",Base!M628)</f>
        <v/>
      </c>
      <c r="K628" s="1" t="n">
        <f aca="false">IF(OR(LEN(A628&amp;"")=0,$P$3=0),0,IF(AND(B628&gt;=Painel!$B$8,B628&lt;=Painel!$G$8,OR(Painel!$L$8="Todos",C628=Painel!$L$8),OR(Painel!$Q$8="Todos",D628=Painel!$Q$8),OR(Painel!$V$8="Todas",E628=Painel!$V$8)),1,0))</f>
        <v>0</v>
      </c>
      <c r="L628" s="61" t="str">
        <f aca="false">IF(LEN(A628&amp;"")=0,"",J628-I628)</f>
        <v/>
      </c>
      <c r="M628" s="1" t="n">
        <f aca="false">IF(LEN(A628&amp;"")=0,0,IF(COUNTIFS(Base!$A$7:$A$1006,A628)&gt;1,1,0))</f>
        <v>0</v>
      </c>
      <c r="N628" s="1" t="n">
        <f aca="false">IF(LEN(A628&amp;"")=0,0,IF(ABS(L628)&gt;0.005,1,0))</f>
        <v>0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customFormat="false" ht="23" hidden="false" customHeight="true" outlineLevel="0" collapsed="false">
      <c r="A629" s="1" t="str">
        <f aca="false">IF(LEN(Base!A629&amp;"")=0,"",Base!A629)</f>
        <v/>
      </c>
      <c r="B629" s="60" t="str">
        <f aca="false">IF(LEN(A629&amp;"")=0,"",Base!D629)</f>
        <v/>
      </c>
      <c r="C629" s="1" t="str">
        <f aca="false">IF(LEN(A629&amp;"")=0,"",Base!C629)</f>
        <v/>
      </c>
      <c r="D629" s="1" t="str">
        <f aca="false">IF(LEN(A629&amp;"")=0,"",Base!G629)</f>
        <v/>
      </c>
      <c r="E629" s="1" t="str">
        <f aca="false">IF(LEN(A629&amp;"")=0,"",Base!E629)</f>
        <v/>
      </c>
      <c r="F629" s="61" t="str">
        <f aca="false">IF(LEN(A629&amp;"")=0,"",IF(Base!I629="-",0,Base!I629))</f>
        <v/>
      </c>
      <c r="G629" s="61" t="str">
        <f aca="false">IF(LEN(A629&amp;"")=0,"",SUM(Base!F629,F629,Base!K629))</f>
        <v/>
      </c>
      <c r="H629" s="61" t="str">
        <f aca="false">IF(LEN(A629&amp;"")=0,"",Base!L629)</f>
        <v/>
      </c>
      <c r="I629" s="61" t="str">
        <f aca="false">IF(LEN(A629&amp;"")=0,"",G629-H629)</f>
        <v/>
      </c>
      <c r="J629" s="61" t="str">
        <f aca="false">IF(LEN(A629&amp;"")=0,"",Base!M629)</f>
        <v/>
      </c>
      <c r="K629" s="1" t="n">
        <f aca="false">IF(OR(LEN(A629&amp;"")=0,$P$3=0),0,IF(AND(B629&gt;=Painel!$B$8,B629&lt;=Painel!$G$8,OR(Painel!$L$8="Todos",C629=Painel!$L$8),OR(Painel!$Q$8="Todos",D629=Painel!$Q$8),OR(Painel!$V$8="Todas",E629=Painel!$V$8)),1,0))</f>
        <v>0</v>
      </c>
      <c r="L629" s="61" t="str">
        <f aca="false">IF(LEN(A629&amp;"")=0,"",J629-I629)</f>
        <v/>
      </c>
      <c r="M629" s="1" t="n">
        <f aca="false">IF(LEN(A629&amp;"")=0,0,IF(COUNTIFS(Base!$A$7:$A$1006,A629)&gt;1,1,0))</f>
        <v>0</v>
      </c>
      <c r="N629" s="1" t="n">
        <f aca="false">IF(LEN(A629&amp;"")=0,0,IF(ABS(L629)&gt;0.005,1,0))</f>
        <v>0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customFormat="false" ht="23" hidden="false" customHeight="true" outlineLevel="0" collapsed="false">
      <c r="A630" s="1" t="str">
        <f aca="false">IF(LEN(Base!A630&amp;"")=0,"",Base!A630)</f>
        <v/>
      </c>
      <c r="B630" s="60" t="str">
        <f aca="false">IF(LEN(A630&amp;"")=0,"",Base!D630)</f>
        <v/>
      </c>
      <c r="C630" s="1" t="str">
        <f aca="false">IF(LEN(A630&amp;"")=0,"",Base!C630)</f>
        <v/>
      </c>
      <c r="D630" s="1" t="str">
        <f aca="false">IF(LEN(A630&amp;"")=0,"",Base!G630)</f>
        <v/>
      </c>
      <c r="E630" s="1" t="str">
        <f aca="false">IF(LEN(A630&amp;"")=0,"",Base!E630)</f>
        <v/>
      </c>
      <c r="F630" s="61" t="str">
        <f aca="false">IF(LEN(A630&amp;"")=0,"",IF(Base!I630="-",0,Base!I630))</f>
        <v/>
      </c>
      <c r="G630" s="61" t="str">
        <f aca="false">IF(LEN(A630&amp;"")=0,"",SUM(Base!F630,F630,Base!K630))</f>
        <v/>
      </c>
      <c r="H630" s="61" t="str">
        <f aca="false">IF(LEN(A630&amp;"")=0,"",Base!L630)</f>
        <v/>
      </c>
      <c r="I630" s="61" t="str">
        <f aca="false">IF(LEN(A630&amp;"")=0,"",G630-H630)</f>
        <v/>
      </c>
      <c r="J630" s="61" t="str">
        <f aca="false">IF(LEN(A630&amp;"")=0,"",Base!M630)</f>
        <v/>
      </c>
      <c r="K630" s="1" t="n">
        <f aca="false">IF(OR(LEN(A630&amp;"")=0,$P$3=0),0,IF(AND(B630&gt;=Painel!$B$8,B630&lt;=Painel!$G$8,OR(Painel!$L$8="Todos",C630=Painel!$L$8),OR(Painel!$Q$8="Todos",D630=Painel!$Q$8),OR(Painel!$V$8="Todas",E630=Painel!$V$8)),1,0))</f>
        <v>0</v>
      </c>
      <c r="L630" s="61" t="str">
        <f aca="false">IF(LEN(A630&amp;"")=0,"",J630-I630)</f>
        <v/>
      </c>
      <c r="M630" s="1" t="n">
        <f aca="false">IF(LEN(A630&amp;"")=0,0,IF(COUNTIFS(Base!$A$7:$A$1006,A630)&gt;1,1,0))</f>
        <v>0</v>
      </c>
      <c r="N630" s="1" t="n">
        <f aca="false">IF(LEN(A630&amp;"")=0,0,IF(ABS(L630)&gt;0.005,1,0))</f>
        <v>0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customFormat="false" ht="23" hidden="false" customHeight="true" outlineLevel="0" collapsed="false">
      <c r="A631" s="1" t="str">
        <f aca="false">IF(LEN(Base!A631&amp;"")=0,"",Base!A631)</f>
        <v/>
      </c>
      <c r="B631" s="60" t="str">
        <f aca="false">IF(LEN(A631&amp;"")=0,"",Base!D631)</f>
        <v/>
      </c>
      <c r="C631" s="1" t="str">
        <f aca="false">IF(LEN(A631&amp;"")=0,"",Base!C631)</f>
        <v/>
      </c>
      <c r="D631" s="1" t="str">
        <f aca="false">IF(LEN(A631&amp;"")=0,"",Base!G631)</f>
        <v/>
      </c>
      <c r="E631" s="1" t="str">
        <f aca="false">IF(LEN(A631&amp;"")=0,"",Base!E631)</f>
        <v/>
      </c>
      <c r="F631" s="61" t="str">
        <f aca="false">IF(LEN(A631&amp;"")=0,"",IF(Base!I631="-",0,Base!I631))</f>
        <v/>
      </c>
      <c r="G631" s="61" t="str">
        <f aca="false">IF(LEN(A631&amp;"")=0,"",SUM(Base!F631,F631,Base!K631))</f>
        <v/>
      </c>
      <c r="H631" s="61" t="str">
        <f aca="false">IF(LEN(A631&amp;"")=0,"",Base!L631)</f>
        <v/>
      </c>
      <c r="I631" s="61" t="str">
        <f aca="false">IF(LEN(A631&amp;"")=0,"",G631-H631)</f>
        <v/>
      </c>
      <c r="J631" s="61" t="str">
        <f aca="false">IF(LEN(A631&amp;"")=0,"",Base!M631)</f>
        <v/>
      </c>
      <c r="K631" s="1" t="n">
        <f aca="false">IF(OR(LEN(A631&amp;"")=0,$P$3=0),0,IF(AND(B631&gt;=Painel!$B$8,B631&lt;=Painel!$G$8,OR(Painel!$L$8="Todos",C631=Painel!$L$8),OR(Painel!$Q$8="Todos",D631=Painel!$Q$8),OR(Painel!$V$8="Todas",E631=Painel!$V$8)),1,0))</f>
        <v>0</v>
      </c>
      <c r="L631" s="61" t="str">
        <f aca="false">IF(LEN(A631&amp;"")=0,"",J631-I631)</f>
        <v/>
      </c>
      <c r="M631" s="1" t="n">
        <f aca="false">IF(LEN(A631&amp;"")=0,0,IF(COUNTIFS(Base!$A$7:$A$1006,A631)&gt;1,1,0))</f>
        <v>0</v>
      </c>
      <c r="N631" s="1" t="n">
        <f aca="false">IF(LEN(A631&amp;"")=0,0,IF(ABS(L631)&gt;0.005,1,0))</f>
        <v>0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customFormat="false" ht="23" hidden="false" customHeight="true" outlineLevel="0" collapsed="false">
      <c r="A632" s="1" t="str">
        <f aca="false">IF(LEN(Base!A632&amp;"")=0,"",Base!A632)</f>
        <v/>
      </c>
      <c r="B632" s="60" t="str">
        <f aca="false">IF(LEN(A632&amp;"")=0,"",Base!D632)</f>
        <v/>
      </c>
      <c r="C632" s="1" t="str">
        <f aca="false">IF(LEN(A632&amp;"")=0,"",Base!C632)</f>
        <v/>
      </c>
      <c r="D632" s="1" t="str">
        <f aca="false">IF(LEN(A632&amp;"")=0,"",Base!G632)</f>
        <v/>
      </c>
      <c r="E632" s="1" t="str">
        <f aca="false">IF(LEN(A632&amp;"")=0,"",Base!E632)</f>
        <v/>
      </c>
      <c r="F632" s="61" t="str">
        <f aca="false">IF(LEN(A632&amp;"")=0,"",IF(Base!I632="-",0,Base!I632))</f>
        <v/>
      </c>
      <c r="G632" s="61" t="str">
        <f aca="false">IF(LEN(A632&amp;"")=0,"",SUM(Base!F632,F632,Base!K632))</f>
        <v/>
      </c>
      <c r="H632" s="61" t="str">
        <f aca="false">IF(LEN(A632&amp;"")=0,"",Base!L632)</f>
        <v/>
      </c>
      <c r="I632" s="61" t="str">
        <f aca="false">IF(LEN(A632&amp;"")=0,"",G632-H632)</f>
        <v/>
      </c>
      <c r="J632" s="61" t="str">
        <f aca="false">IF(LEN(A632&amp;"")=0,"",Base!M632)</f>
        <v/>
      </c>
      <c r="K632" s="1" t="n">
        <f aca="false">IF(OR(LEN(A632&amp;"")=0,$P$3=0),0,IF(AND(B632&gt;=Painel!$B$8,B632&lt;=Painel!$G$8,OR(Painel!$L$8="Todos",C632=Painel!$L$8),OR(Painel!$Q$8="Todos",D632=Painel!$Q$8),OR(Painel!$V$8="Todas",E632=Painel!$V$8)),1,0))</f>
        <v>0</v>
      </c>
      <c r="L632" s="61" t="str">
        <f aca="false">IF(LEN(A632&amp;"")=0,"",J632-I632)</f>
        <v/>
      </c>
      <c r="M632" s="1" t="n">
        <f aca="false">IF(LEN(A632&amp;"")=0,0,IF(COUNTIFS(Base!$A$7:$A$1006,A632)&gt;1,1,0))</f>
        <v>0</v>
      </c>
      <c r="N632" s="1" t="n">
        <f aca="false">IF(LEN(A632&amp;"")=0,0,IF(ABS(L632)&gt;0.005,1,0))</f>
        <v>0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customFormat="false" ht="23" hidden="false" customHeight="true" outlineLevel="0" collapsed="false">
      <c r="A633" s="1" t="str">
        <f aca="false">IF(LEN(Base!A633&amp;"")=0,"",Base!A633)</f>
        <v/>
      </c>
      <c r="B633" s="60" t="str">
        <f aca="false">IF(LEN(A633&amp;"")=0,"",Base!D633)</f>
        <v/>
      </c>
      <c r="C633" s="1" t="str">
        <f aca="false">IF(LEN(A633&amp;"")=0,"",Base!C633)</f>
        <v/>
      </c>
      <c r="D633" s="1" t="str">
        <f aca="false">IF(LEN(A633&amp;"")=0,"",Base!G633)</f>
        <v/>
      </c>
      <c r="E633" s="1" t="str">
        <f aca="false">IF(LEN(A633&amp;"")=0,"",Base!E633)</f>
        <v/>
      </c>
      <c r="F633" s="61" t="str">
        <f aca="false">IF(LEN(A633&amp;"")=0,"",IF(Base!I633="-",0,Base!I633))</f>
        <v/>
      </c>
      <c r="G633" s="61" t="str">
        <f aca="false">IF(LEN(A633&amp;"")=0,"",SUM(Base!F633,F633,Base!K633))</f>
        <v/>
      </c>
      <c r="H633" s="61" t="str">
        <f aca="false">IF(LEN(A633&amp;"")=0,"",Base!L633)</f>
        <v/>
      </c>
      <c r="I633" s="61" t="str">
        <f aca="false">IF(LEN(A633&amp;"")=0,"",G633-H633)</f>
        <v/>
      </c>
      <c r="J633" s="61" t="str">
        <f aca="false">IF(LEN(A633&amp;"")=0,"",Base!M633)</f>
        <v/>
      </c>
      <c r="K633" s="1" t="n">
        <f aca="false">IF(OR(LEN(A633&amp;"")=0,$P$3=0),0,IF(AND(B633&gt;=Painel!$B$8,B633&lt;=Painel!$G$8,OR(Painel!$L$8="Todos",C633=Painel!$L$8),OR(Painel!$Q$8="Todos",D633=Painel!$Q$8),OR(Painel!$V$8="Todas",E633=Painel!$V$8)),1,0))</f>
        <v>0</v>
      </c>
      <c r="L633" s="61" t="str">
        <f aca="false">IF(LEN(A633&amp;"")=0,"",J633-I633)</f>
        <v/>
      </c>
      <c r="M633" s="1" t="n">
        <f aca="false">IF(LEN(A633&amp;"")=0,0,IF(COUNTIFS(Base!$A$7:$A$1006,A633)&gt;1,1,0))</f>
        <v>0</v>
      </c>
      <c r="N633" s="1" t="n">
        <f aca="false">IF(LEN(A633&amp;"")=0,0,IF(ABS(L633)&gt;0.005,1,0))</f>
        <v>0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customFormat="false" ht="23" hidden="false" customHeight="true" outlineLevel="0" collapsed="false">
      <c r="A634" s="1" t="str">
        <f aca="false">IF(LEN(Base!A634&amp;"")=0,"",Base!A634)</f>
        <v/>
      </c>
      <c r="B634" s="60" t="str">
        <f aca="false">IF(LEN(A634&amp;"")=0,"",Base!D634)</f>
        <v/>
      </c>
      <c r="C634" s="1" t="str">
        <f aca="false">IF(LEN(A634&amp;"")=0,"",Base!C634)</f>
        <v/>
      </c>
      <c r="D634" s="1" t="str">
        <f aca="false">IF(LEN(A634&amp;"")=0,"",Base!G634)</f>
        <v/>
      </c>
      <c r="E634" s="1" t="str">
        <f aca="false">IF(LEN(A634&amp;"")=0,"",Base!E634)</f>
        <v/>
      </c>
      <c r="F634" s="61" t="str">
        <f aca="false">IF(LEN(A634&amp;"")=0,"",IF(Base!I634="-",0,Base!I634))</f>
        <v/>
      </c>
      <c r="G634" s="61" t="str">
        <f aca="false">IF(LEN(A634&amp;"")=0,"",SUM(Base!F634,F634,Base!K634))</f>
        <v/>
      </c>
      <c r="H634" s="61" t="str">
        <f aca="false">IF(LEN(A634&amp;"")=0,"",Base!L634)</f>
        <v/>
      </c>
      <c r="I634" s="61" t="str">
        <f aca="false">IF(LEN(A634&amp;"")=0,"",G634-H634)</f>
        <v/>
      </c>
      <c r="J634" s="61" t="str">
        <f aca="false">IF(LEN(A634&amp;"")=0,"",Base!M634)</f>
        <v/>
      </c>
      <c r="K634" s="1" t="n">
        <f aca="false">IF(OR(LEN(A634&amp;"")=0,$P$3=0),0,IF(AND(B634&gt;=Painel!$B$8,B634&lt;=Painel!$G$8,OR(Painel!$L$8="Todos",C634=Painel!$L$8),OR(Painel!$Q$8="Todos",D634=Painel!$Q$8),OR(Painel!$V$8="Todas",E634=Painel!$V$8)),1,0))</f>
        <v>0</v>
      </c>
      <c r="L634" s="61" t="str">
        <f aca="false">IF(LEN(A634&amp;"")=0,"",J634-I634)</f>
        <v/>
      </c>
      <c r="M634" s="1" t="n">
        <f aca="false">IF(LEN(A634&amp;"")=0,0,IF(COUNTIFS(Base!$A$7:$A$1006,A634)&gt;1,1,0))</f>
        <v>0</v>
      </c>
      <c r="N634" s="1" t="n">
        <f aca="false">IF(LEN(A634&amp;"")=0,0,IF(ABS(L634)&gt;0.005,1,0))</f>
        <v>0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customFormat="false" ht="23" hidden="false" customHeight="true" outlineLevel="0" collapsed="false">
      <c r="A635" s="1" t="str">
        <f aca="false">IF(LEN(Base!A635&amp;"")=0,"",Base!A635)</f>
        <v/>
      </c>
      <c r="B635" s="60" t="str">
        <f aca="false">IF(LEN(A635&amp;"")=0,"",Base!D635)</f>
        <v/>
      </c>
      <c r="C635" s="1" t="str">
        <f aca="false">IF(LEN(A635&amp;"")=0,"",Base!C635)</f>
        <v/>
      </c>
      <c r="D635" s="1" t="str">
        <f aca="false">IF(LEN(A635&amp;"")=0,"",Base!G635)</f>
        <v/>
      </c>
      <c r="E635" s="1" t="str">
        <f aca="false">IF(LEN(A635&amp;"")=0,"",Base!E635)</f>
        <v/>
      </c>
      <c r="F635" s="61" t="str">
        <f aca="false">IF(LEN(A635&amp;"")=0,"",IF(Base!I635="-",0,Base!I635))</f>
        <v/>
      </c>
      <c r="G635" s="61" t="str">
        <f aca="false">IF(LEN(A635&amp;"")=0,"",SUM(Base!F635,F635,Base!K635))</f>
        <v/>
      </c>
      <c r="H635" s="61" t="str">
        <f aca="false">IF(LEN(A635&amp;"")=0,"",Base!L635)</f>
        <v/>
      </c>
      <c r="I635" s="61" t="str">
        <f aca="false">IF(LEN(A635&amp;"")=0,"",G635-H635)</f>
        <v/>
      </c>
      <c r="J635" s="61" t="str">
        <f aca="false">IF(LEN(A635&amp;"")=0,"",Base!M635)</f>
        <v/>
      </c>
      <c r="K635" s="1" t="n">
        <f aca="false">IF(OR(LEN(A635&amp;"")=0,$P$3=0),0,IF(AND(B635&gt;=Painel!$B$8,B635&lt;=Painel!$G$8,OR(Painel!$L$8="Todos",C635=Painel!$L$8),OR(Painel!$Q$8="Todos",D635=Painel!$Q$8),OR(Painel!$V$8="Todas",E635=Painel!$V$8)),1,0))</f>
        <v>0</v>
      </c>
      <c r="L635" s="61" t="str">
        <f aca="false">IF(LEN(A635&amp;"")=0,"",J635-I635)</f>
        <v/>
      </c>
      <c r="M635" s="1" t="n">
        <f aca="false">IF(LEN(A635&amp;"")=0,0,IF(COUNTIFS(Base!$A$7:$A$1006,A635)&gt;1,1,0))</f>
        <v>0</v>
      </c>
      <c r="N635" s="1" t="n">
        <f aca="false">IF(LEN(A635&amp;"")=0,0,IF(ABS(L635)&gt;0.005,1,0))</f>
        <v>0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customFormat="false" ht="23" hidden="false" customHeight="true" outlineLevel="0" collapsed="false">
      <c r="A636" s="1" t="str">
        <f aca="false">IF(LEN(Base!A636&amp;"")=0,"",Base!A636)</f>
        <v/>
      </c>
      <c r="B636" s="60" t="str">
        <f aca="false">IF(LEN(A636&amp;"")=0,"",Base!D636)</f>
        <v/>
      </c>
      <c r="C636" s="1" t="str">
        <f aca="false">IF(LEN(A636&amp;"")=0,"",Base!C636)</f>
        <v/>
      </c>
      <c r="D636" s="1" t="str">
        <f aca="false">IF(LEN(A636&amp;"")=0,"",Base!G636)</f>
        <v/>
      </c>
      <c r="E636" s="1" t="str">
        <f aca="false">IF(LEN(A636&amp;"")=0,"",Base!E636)</f>
        <v/>
      </c>
      <c r="F636" s="61" t="str">
        <f aca="false">IF(LEN(A636&amp;"")=0,"",IF(Base!I636="-",0,Base!I636))</f>
        <v/>
      </c>
      <c r="G636" s="61" t="str">
        <f aca="false">IF(LEN(A636&amp;"")=0,"",SUM(Base!F636,F636,Base!K636))</f>
        <v/>
      </c>
      <c r="H636" s="61" t="str">
        <f aca="false">IF(LEN(A636&amp;"")=0,"",Base!L636)</f>
        <v/>
      </c>
      <c r="I636" s="61" t="str">
        <f aca="false">IF(LEN(A636&amp;"")=0,"",G636-H636)</f>
        <v/>
      </c>
      <c r="J636" s="61" t="str">
        <f aca="false">IF(LEN(A636&amp;"")=0,"",Base!M636)</f>
        <v/>
      </c>
      <c r="K636" s="1" t="n">
        <f aca="false">IF(OR(LEN(A636&amp;"")=0,$P$3=0),0,IF(AND(B636&gt;=Painel!$B$8,B636&lt;=Painel!$G$8,OR(Painel!$L$8="Todos",C636=Painel!$L$8),OR(Painel!$Q$8="Todos",D636=Painel!$Q$8),OR(Painel!$V$8="Todas",E636=Painel!$V$8)),1,0))</f>
        <v>0</v>
      </c>
      <c r="L636" s="61" t="str">
        <f aca="false">IF(LEN(A636&amp;"")=0,"",J636-I636)</f>
        <v/>
      </c>
      <c r="M636" s="1" t="n">
        <f aca="false">IF(LEN(A636&amp;"")=0,0,IF(COUNTIFS(Base!$A$7:$A$1006,A636)&gt;1,1,0))</f>
        <v>0</v>
      </c>
      <c r="N636" s="1" t="n">
        <f aca="false">IF(LEN(A636&amp;"")=0,0,IF(ABS(L636)&gt;0.005,1,0))</f>
        <v>0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customFormat="false" ht="23" hidden="false" customHeight="true" outlineLevel="0" collapsed="false">
      <c r="A637" s="1" t="str">
        <f aca="false">IF(LEN(Base!A637&amp;"")=0,"",Base!A637)</f>
        <v/>
      </c>
      <c r="B637" s="60" t="str">
        <f aca="false">IF(LEN(A637&amp;"")=0,"",Base!D637)</f>
        <v/>
      </c>
      <c r="C637" s="1" t="str">
        <f aca="false">IF(LEN(A637&amp;"")=0,"",Base!C637)</f>
        <v/>
      </c>
      <c r="D637" s="1" t="str">
        <f aca="false">IF(LEN(A637&amp;"")=0,"",Base!G637)</f>
        <v/>
      </c>
      <c r="E637" s="1" t="str">
        <f aca="false">IF(LEN(A637&amp;"")=0,"",Base!E637)</f>
        <v/>
      </c>
      <c r="F637" s="61" t="str">
        <f aca="false">IF(LEN(A637&amp;"")=0,"",IF(Base!I637="-",0,Base!I637))</f>
        <v/>
      </c>
      <c r="G637" s="61" t="str">
        <f aca="false">IF(LEN(A637&amp;"")=0,"",SUM(Base!F637,F637,Base!K637))</f>
        <v/>
      </c>
      <c r="H637" s="61" t="str">
        <f aca="false">IF(LEN(A637&amp;"")=0,"",Base!L637)</f>
        <v/>
      </c>
      <c r="I637" s="61" t="str">
        <f aca="false">IF(LEN(A637&amp;"")=0,"",G637-H637)</f>
        <v/>
      </c>
      <c r="J637" s="61" t="str">
        <f aca="false">IF(LEN(A637&amp;"")=0,"",Base!M637)</f>
        <v/>
      </c>
      <c r="K637" s="1" t="n">
        <f aca="false">IF(OR(LEN(A637&amp;"")=0,$P$3=0),0,IF(AND(B637&gt;=Painel!$B$8,B637&lt;=Painel!$G$8,OR(Painel!$L$8="Todos",C637=Painel!$L$8),OR(Painel!$Q$8="Todos",D637=Painel!$Q$8),OR(Painel!$V$8="Todas",E637=Painel!$V$8)),1,0))</f>
        <v>0</v>
      </c>
      <c r="L637" s="61" t="str">
        <f aca="false">IF(LEN(A637&amp;"")=0,"",J637-I637)</f>
        <v/>
      </c>
      <c r="M637" s="1" t="n">
        <f aca="false">IF(LEN(A637&amp;"")=0,0,IF(COUNTIFS(Base!$A$7:$A$1006,A637)&gt;1,1,0))</f>
        <v>0</v>
      </c>
      <c r="N637" s="1" t="n">
        <f aca="false">IF(LEN(A637&amp;"")=0,0,IF(ABS(L637)&gt;0.005,1,0))</f>
        <v>0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customFormat="false" ht="23" hidden="false" customHeight="true" outlineLevel="0" collapsed="false">
      <c r="A638" s="1" t="str">
        <f aca="false">IF(LEN(Base!A638&amp;"")=0,"",Base!A638)</f>
        <v/>
      </c>
      <c r="B638" s="60" t="str">
        <f aca="false">IF(LEN(A638&amp;"")=0,"",Base!D638)</f>
        <v/>
      </c>
      <c r="C638" s="1" t="str">
        <f aca="false">IF(LEN(A638&amp;"")=0,"",Base!C638)</f>
        <v/>
      </c>
      <c r="D638" s="1" t="str">
        <f aca="false">IF(LEN(A638&amp;"")=0,"",Base!G638)</f>
        <v/>
      </c>
      <c r="E638" s="1" t="str">
        <f aca="false">IF(LEN(A638&amp;"")=0,"",Base!E638)</f>
        <v/>
      </c>
      <c r="F638" s="61" t="str">
        <f aca="false">IF(LEN(A638&amp;"")=0,"",IF(Base!I638="-",0,Base!I638))</f>
        <v/>
      </c>
      <c r="G638" s="61" t="str">
        <f aca="false">IF(LEN(A638&amp;"")=0,"",SUM(Base!F638,F638,Base!K638))</f>
        <v/>
      </c>
      <c r="H638" s="61" t="str">
        <f aca="false">IF(LEN(A638&amp;"")=0,"",Base!L638)</f>
        <v/>
      </c>
      <c r="I638" s="61" t="str">
        <f aca="false">IF(LEN(A638&amp;"")=0,"",G638-H638)</f>
        <v/>
      </c>
      <c r="J638" s="61" t="str">
        <f aca="false">IF(LEN(A638&amp;"")=0,"",Base!M638)</f>
        <v/>
      </c>
      <c r="K638" s="1" t="n">
        <f aca="false">IF(OR(LEN(A638&amp;"")=0,$P$3=0),0,IF(AND(B638&gt;=Painel!$B$8,B638&lt;=Painel!$G$8,OR(Painel!$L$8="Todos",C638=Painel!$L$8),OR(Painel!$Q$8="Todos",D638=Painel!$Q$8),OR(Painel!$V$8="Todas",E638=Painel!$V$8)),1,0))</f>
        <v>0</v>
      </c>
      <c r="L638" s="61" t="str">
        <f aca="false">IF(LEN(A638&amp;"")=0,"",J638-I638)</f>
        <v/>
      </c>
      <c r="M638" s="1" t="n">
        <f aca="false">IF(LEN(A638&amp;"")=0,0,IF(COUNTIFS(Base!$A$7:$A$1006,A638)&gt;1,1,0))</f>
        <v>0</v>
      </c>
      <c r="N638" s="1" t="n">
        <f aca="false">IF(LEN(A638&amp;"")=0,0,IF(ABS(L638)&gt;0.005,1,0))</f>
        <v>0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customFormat="false" ht="23" hidden="false" customHeight="true" outlineLevel="0" collapsed="false">
      <c r="A639" s="1" t="str">
        <f aca="false">IF(LEN(Base!A639&amp;"")=0,"",Base!A639)</f>
        <v/>
      </c>
      <c r="B639" s="60" t="str">
        <f aca="false">IF(LEN(A639&amp;"")=0,"",Base!D639)</f>
        <v/>
      </c>
      <c r="C639" s="1" t="str">
        <f aca="false">IF(LEN(A639&amp;"")=0,"",Base!C639)</f>
        <v/>
      </c>
      <c r="D639" s="1" t="str">
        <f aca="false">IF(LEN(A639&amp;"")=0,"",Base!G639)</f>
        <v/>
      </c>
      <c r="E639" s="1" t="str">
        <f aca="false">IF(LEN(A639&amp;"")=0,"",Base!E639)</f>
        <v/>
      </c>
      <c r="F639" s="61" t="str">
        <f aca="false">IF(LEN(A639&amp;"")=0,"",IF(Base!I639="-",0,Base!I639))</f>
        <v/>
      </c>
      <c r="G639" s="61" t="str">
        <f aca="false">IF(LEN(A639&amp;"")=0,"",SUM(Base!F639,F639,Base!K639))</f>
        <v/>
      </c>
      <c r="H639" s="61" t="str">
        <f aca="false">IF(LEN(A639&amp;"")=0,"",Base!L639)</f>
        <v/>
      </c>
      <c r="I639" s="61" t="str">
        <f aca="false">IF(LEN(A639&amp;"")=0,"",G639-H639)</f>
        <v/>
      </c>
      <c r="J639" s="61" t="str">
        <f aca="false">IF(LEN(A639&amp;"")=0,"",Base!M639)</f>
        <v/>
      </c>
      <c r="K639" s="1" t="n">
        <f aca="false">IF(OR(LEN(A639&amp;"")=0,$P$3=0),0,IF(AND(B639&gt;=Painel!$B$8,B639&lt;=Painel!$G$8,OR(Painel!$L$8="Todos",C639=Painel!$L$8),OR(Painel!$Q$8="Todos",D639=Painel!$Q$8),OR(Painel!$V$8="Todas",E639=Painel!$V$8)),1,0))</f>
        <v>0</v>
      </c>
      <c r="L639" s="61" t="str">
        <f aca="false">IF(LEN(A639&amp;"")=0,"",J639-I639)</f>
        <v/>
      </c>
      <c r="M639" s="1" t="n">
        <f aca="false">IF(LEN(A639&amp;"")=0,0,IF(COUNTIFS(Base!$A$7:$A$1006,A639)&gt;1,1,0))</f>
        <v>0</v>
      </c>
      <c r="N639" s="1" t="n">
        <f aca="false">IF(LEN(A639&amp;"")=0,0,IF(ABS(L639)&gt;0.005,1,0))</f>
        <v>0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customFormat="false" ht="23" hidden="false" customHeight="true" outlineLevel="0" collapsed="false">
      <c r="A640" s="1" t="str">
        <f aca="false">IF(LEN(Base!A640&amp;"")=0,"",Base!A640)</f>
        <v/>
      </c>
      <c r="B640" s="60" t="str">
        <f aca="false">IF(LEN(A640&amp;"")=0,"",Base!D640)</f>
        <v/>
      </c>
      <c r="C640" s="1" t="str">
        <f aca="false">IF(LEN(A640&amp;"")=0,"",Base!C640)</f>
        <v/>
      </c>
      <c r="D640" s="1" t="str">
        <f aca="false">IF(LEN(A640&amp;"")=0,"",Base!G640)</f>
        <v/>
      </c>
      <c r="E640" s="1" t="str">
        <f aca="false">IF(LEN(A640&amp;"")=0,"",Base!E640)</f>
        <v/>
      </c>
      <c r="F640" s="61" t="str">
        <f aca="false">IF(LEN(A640&amp;"")=0,"",IF(Base!I640="-",0,Base!I640))</f>
        <v/>
      </c>
      <c r="G640" s="61" t="str">
        <f aca="false">IF(LEN(A640&amp;"")=0,"",SUM(Base!F640,F640,Base!K640))</f>
        <v/>
      </c>
      <c r="H640" s="61" t="str">
        <f aca="false">IF(LEN(A640&amp;"")=0,"",Base!L640)</f>
        <v/>
      </c>
      <c r="I640" s="61" t="str">
        <f aca="false">IF(LEN(A640&amp;"")=0,"",G640-H640)</f>
        <v/>
      </c>
      <c r="J640" s="61" t="str">
        <f aca="false">IF(LEN(A640&amp;"")=0,"",Base!M640)</f>
        <v/>
      </c>
      <c r="K640" s="1" t="n">
        <f aca="false">IF(OR(LEN(A640&amp;"")=0,$P$3=0),0,IF(AND(B640&gt;=Painel!$B$8,B640&lt;=Painel!$G$8,OR(Painel!$L$8="Todos",C640=Painel!$L$8),OR(Painel!$Q$8="Todos",D640=Painel!$Q$8),OR(Painel!$V$8="Todas",E640=Painel!$V$8)),1,0))</f>
        <v>0</v>
      </c>
      <c r="L640" s="61" t="str">
        <f aca="false">IF(LEN(A640&amp;"")=0,"",J640-I640)</f>
        <v/>
      </c>
      <c r="M640" s="1" t="n">
        <f aca="false">IF(LEN(A640&amp;"")=0,0,IF(COUNTIFS(Base!$A$7:$A$1006,A640)&gt;1,1,0))</f>
        <v>0</v>
      </c>
      <c r="N640" s="1" t="n">
        <f aca="false">IF(LEN(A640&amp;"")=0,0,IF(ABS(L640)&gt;0.005,1,0))</f>
        <v>0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customFormat="false" ht="23" hidden="false" customHeight="true" outlineLevel="0" collapsed="false">
      <c r="A641" s="1" t="str">
        <f aca="false">IF(LEN(Base!A641&amp;"")=0,"",Base!A641)</f>
        <v/>
      </c>
      <c r="B641" s="60" t="str">
        <f aca="false">IF(LEN(A641&amp;"")=0,"",Base!D641)</f>
        <v/>
      </c>
      <c r="C641" s="1" t="str">
        <f aca="false">IF(LEN(A641&amp;"")=0,"",Base!C641)</f>
        <v/>
      </c>
      <c r="D641" s="1" t="str">
        <f aca="false">IF(LEN(A641&amp;"")=0,"",Base!G641)</f>
        <v/>
      </c>
      <c r="E641" s="1" t="str">
        <f aca="false">IF(LEN(A641&amp;"")=0,"",Base!E641)</f>
        <v/>
      </c>
      <c r="F641" s="61" t="str">
        <f aca="false">IF(LEN(A641&amp;"")=0,"",IF(Base!I641="-",0,Base!I641))</f>
        <v/>
      </c>
      <c r="G641" s="61" t="str">
        <f aca="false">IF(LEN(A641&amp;"")=0,"",SUM(Base!F641,F641,Base!K641))</f>
        <v/>
      </c>
      <c r="H641" s="61" t="str">
        <f aca="false">IF(LEN(A641&amp;"")=0,"",Base!L641)</f>
        <v/>
      </c>
      <c r="I641" s="61" t="str">
        <f aca="false">IF(LEN(A641&amp;"")=0,"",G641-H641)</f>
        <v/>
      </c>
      <c r="J641" s="61" t="str">
        <f aca="false">IF(LEN(A641&amp;"")=0,"",Base!M641)</f>
        <v/>
      </c>
      <c r="K641" s="1" t="n">
        <f aca="false">IF(OR(LEN(A641&amp;"")=0,$P$3=0),0,IF(AND(B641&gt;=Painel!$B$8,B641&lt;=Painel!$G$8,OR(Painel!$L$8="Todos",C641=Painel!$L$8),OR(Painel!$Q$8="Todos",D641=Painel!$Q$8),OR(Painel!$V$8="Todas",E641=Painel!$V$8)),1,0))</f>
        <v>0</v>
      </c>
      <c r="L641" s="61" t="str">
        <f aca="false">IF(LEN(A641&amp;"")=0,"",J641-I641)</f>
        <v/>
      </c>
      <c r="M641" s="1" t="n">
        <f aca="false">IF(LEN(A641&amp;"")=0,0,IF(COUNTIFS(Base!$A$7:$A$1006,A641)&gt;1,1,0))</f>
        <v>0</v>
      </c>
      <c r="N641" s="1" t="n">
        <f aca="false">IF(LEN(A641&amp;"")=0,0,IF(ABS(L641)&gt;0.005,1,0))</f>
        <v>0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customFormat="false" ht="23" hidden="false" customHeight="true" outlineLevel="0" collapsed="false">
      <c r="A642" s="1" t="str">
        <f aca="false">IF(LEN(Base!A642&amp;"")=0,"",Base!A642)</f>
        <v/>
      </c>
      <c r="B642" s="60" t="str">
        <f aca="false">IF(LEN(A642&amp;"")=0,"",Base!D642)</f>
        <v/>
      </c>
      <c r="C642" s="1" t="str">
        <f aca="false">IF(LEN(A642&amp;"")=0,"",Base!C642)</f>
        <v/>
      </c>
      <c r="D642" s="1" t="str">
        <f aca="false">IF(LEN(A642&amp;"")=0,"",Base!G642)</f>
        <v/>
      </c>
      <c r="E642" s="1" t="str">
        <f aca="false">IF(LEN(A642&amp;"")=0,"",Base!E642)</f>
        <v/>
      </c>
      <c r="F642" s="61" t="str">
        <f aca="false">IF(LEN(A642&amp;"")=0,"",IF(Base!I642="-",0,Base!I642))</f>
        <v/>
      </c>
      <c r="G642" s="61" t="str">
        <f aca="false">IF(LEN(A642&amp;"")=0,"",SUM(Base!F642,F642,Base!K642))</f>
        <v/>
      </c>
      <c r="H642" s="61" t="str">
        <f aca="false">IF(LEN(A642&amp;"")=0,"",Base!L642)</f>
        <v/>
      </c>
      <c r="I642" s="61" t="str">
        <f aca="false">IF(LEN(A642&amp;"")=0,"",G642-H642)</f>
        <v/>
      </c>
      <c r="J642" s="61" t="str">
        <f aca="false">IF(LEN(A642&amp;"")=0,"",Base!M642)</f>
        <v/>
      </c>
      <c r="K642" s="1" t="n">
        <f aca="false">IF(OR(LEN(A642&amp;"")=0,$P$3=0),0,IF(AND(B642&gt;=Painel!$B$8,B642&lt;=Painel!$G$8,OR(Painel!$L$8="Todos",C642=Painel!$L$8),OR(Painel!$Q$8="Todos",D642=Painel!$Q$8),OR(Painel!$V$8="Todas",E642=Painel!$V$8)),1,0))</f>
        <v>0</v>
      </c>
      <c r="L642" s="61" t="str">
        <f aca="false">IF(LEN(A642&amp;"")=0,"",J642-I642)</f>
        <v/>
      </c>
      <c r="M642" s="1" t="n">
        <f aca="false">IF(LEN(A642&amp;"")=0,0,IF(COUNTIFS(Base!$A$7:$A$1006,A642)&gt;1,1,0))</f>
        <v>0</v>
      </c>
      <c r="N642" s="1" t="n">
        <f aca="false">IF(LEN(A642&amp;"")=0,0,IF(ABS(L642)&gt;0.005,1,0))</f>
        <v>0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customFormat="false" ht="23" hidden="false" customHeight="true" outlineLevel="0" collapsed="false">
      <c r="A643" s="1" t="str">
        <f aca="false">IF(LEN(Base!A643&amp;"")=0,"",Base!A643)</f>
        <v/>
      </c>
      <c r="B643" s="60" t="str">
        <f aca="false">IF(LEN(A643&amp;"")=0,"",Base!D643)</f>
        <v/>
      </c>
      <c r="C643" s="1" t="str">
        <f aca="false">IF(LEN(A643&amp;"")=0,"",Base!C643)</f>
        <v/>
      </c>
      <c r="D643" s="1" t="str">
        <f aca="false">IF(LEN(A643&amp;"")=0,"",Base!G643)</f>
        <v/>
      </c>
      <c r="E643" s="1" t="str">
        <f aca="false">IF(LEN(A643&amp;"")=0,"",Base!E643)</f>
        <v/>
      </c>
      <c r="F643" s="61" t="str">
        <f aca="false">IF(LEN(A643&amp;"")=0,"",IF(Base!I643="-",0,Base!I643))</f>
        <v/>
      </c>
      <c r="G643" s="61" t="str">
        <f aca="false">IF(LEN(A643&amp;"")=0,"",SUM(Base!F643,F643,Base!K643))</f>
        <v/>
      </c>
      <c r="H643" s="61" t="str">
        <f aca="false">IF(LEN(A643&amp;"")=0,"",Base!L643)</f>
        <v/>
      </c>
      <c r="I643" s="61" t="str">
        <f aca="false">IF(LEN(A643&amp;"")=0,"",G643-H643)</f>
        <v/>
      </c>
      <c r="J643" s="61" t="str">
        <f aca="false">IF(LEN(A643&amp;"")=0,"",Base!M643)</f>
        <v/>
      </c>
      <c r="K643" s="1" t="n">
        <f aca="false">IF(OR(LEN(A643&amp;"")=0,$P$3=0),0,IF(AND(B643&gt;=Painel!$B$8,B643&lt;=Painel!$G$8,OR(Painel!$L$8="Todos",C643=Painel!$L$8),OR(Painel!$Q$8="Todos",D643=Painel!$Q$8),OR(Painel!$V$8="Todas",E643=Painel!$V$8)),1,0))</f>
        <v>0</v>
      </c>
      <c r="L643" s="61" t="str">
        <f aca="false">IF(LEN(A643&amp;"")=0,"",J643-I643)</f>
        <v/>
      </c>
      <c r="M643" s="1" t="n">
        <f aca="false">IF(LEN(A643&amp;"")=0,0,IF(COUNTIFS(Base!$A$7:$A$1006,A643)&gt;1,1,0))</f>
        <v>0</v>
      </c>
      <c r="N643" s="1" t="n">
        <f aca="false">IF(LEN(A643&amp;"")=0,0,IF(ABS(L643)&gt;0.005,1,0))</f>
        <v>0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customFormat="false" ht="23" hidden="false" customHeight="true" outlineLevel="0" collapsed="false">
      <c r="A644" s="1" t="str">
        <f aca="false">IF(LEN(Base!A644&amp;"")=0,"",Base!A644)</f>
        <v/>
      </c>
      <c r="B644" s="60" t="str">
        <f aca="false">IF(LEN(A644&amp;"")=0,"",Base!D644)</f>
        <v/>
      </c>
      <c r="C644" s="1" t="str">
        <f aca="false">IF(LEN(A644&amp;"")=0,"",Base!C644)</f>
        <v/>
      </c>
      <c r="D644" s="1" t="str">
        <f aca="false">IF(LEN(A644&amp;"")=0,"",Base!G644)</f>
        <v/>
      </c>
      <c r="E644" s="1" t="str">
        <f aca="false">IF(LEN(A644&amp;"")=0,"",Base!E644)</f>
        <v/>
      </c>
      <c r="F644" s="61" t="str">
        <f aca="false">IF(LEN(A644&amp;"")=0,"",IF(Base!I644="-",0,Base!I644))</f>
        <v/>
      </c>
      <c r="G644" s="61" t="str">
        <f aca="false">IF(LEN(A644&amp;"")=0,"",SUM(Base!F644,F644,Base!K644))</f>
        <v/>
      </c>
      <c r="H644" s="61" t="str">
        <f aca="false">IF(LEN(A644&amp;"")=0,"",Base!L644)</f>
        <v/>
      </c>
      <c r="I644" s="61" t="str">
        <f aca="false">IF(LEN(A644&amp;"")=0,"",G644-H644)</f>
        <v/>
      </c>
      <c r="J644" s="61" t="str">
        <f aca="false">IF(LEN(A644&amp;"")=0,"",Base!M644)</f>
        <v/>
      </c>
      <c r="K644" s="1" t="n">
        <f aca="false">IF(OR(LEN(A644&amp;"")=0,$P$3=0),0,IF(AND(B644&gt;=Painel!$B$8,B644&lt;=Painel!$G$8,OR(Painel!$L$8="Todos",C644=Painel!$L$8),OR(Painel!$Q$8="Todos",D644=Painel!$Q$8),OR(Painel!$V$8="Todas",E644=Painel!$V$8)),1,0))</f>
        <v>0</v>
      </c>
      <c r="L644" s="61" t="str">
        <f aca="false">IF(LEN(A644&amp;"")=0,"",J644-I644)</f>
        <v/>
      </c>
      <c r="M644" s="1" t="n">
        <f aca="false">IF(LEN(A644&amp;"")=0,0,IF(COUNTIFS(Base!$A$7:$A$1006,A644)&gt;1,1,0))</f>
        <v>0</v>
      </c>
      <c r="N644" s="1" t="n">
        <f aca="false">IF(LEN(A644&amp;"")=0,0,IF(ABS(L644)&gt;0.005,1,0))</f>
        <v>0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customFormat="false" ht="23" hidden="false" customHeight="true" outlineLevel="0" collapsed="false">
      <c r="A645" s="1" t="str">
        <f aca="false">IF(LEN(Base!A645&amp;"")=0,"",Base!A645)</f>
        <v/>
      </c>
      <c r="B645" s="60" t="str">
        <f aca="false">IF(LEN(A645&amp;"")=0,"",Base!D645)</f>
        <v/>
      </c>
      <c r="C645" s="1" t="str">
        <f aca="false">IF(LEN(A645&amp;"")=0,"",Base!C645)</f>
        <v/>
      </c>
      <c r="D645" s="1" t="str">
        <f aca="false">IF(LEN(A645&amp;"")=0,"",Base!G645)</f>
        <v/>
      </c>
      <c r="E645" s="1" t="str">
        <f aca="false">IF(LEN(A645&amp;"")=0,"",Base!E645)</f>
        <v/>
      </c>
      <c r="F645" s="61" t="str">
        <f aca="false">IF(LEN(A645&amp;"")=0,"",IF(Base!I645="-",0,Base!I645))</f>
        <v/>
      </c>
      <c r="G645" s="61" t="str">
        <f aca="false">IF(LEN(A645&amp;"")=0,"",SUM(Base!F645,F645,Base!K645))</f>
        <v/>
      </c>
      <c r="H645" s="61" t="str">
        <f aca="false">IF(LEN(A645&amp;"")=0,"",Base!L645)</f>
        <v/>
      </c>
      <c r="I645" s="61" t="str">
        <f aca="false">IF(LEN(A645&amp;"")=0,"",G645-H645)</f>
        <v/>
      </c>
      <c r="J645" s="61" t="str">
        <f aca="false">IF(LEN(A645&amp;"")=0,"",Base!M645)</f>
        <v/>
      </c>
      <c r="K645" s="1" t="n">
        <f aca="false">IF(OR(LEN(A645&amp;"")=0,$P$3=0),0,IF(AND(B645&gt;=Painel!$B$8,B645&lt;=Painel!$G$8,OR(Painel!$L$8="Todos",C645=Painel!$L$8),OR(Painel!$Q$8="Todos",D645=Painel!$Q$8),OR(Painel!$V$8="Todas",E645=Painel!$V$8)),1,0))</f>
        <v>0</v>
      </c>
      <c r="L645" s="61" t="str">
        <f aca="false">IF(LEN(A645&amp;"")=0,"",J645-I645)</f>
        <v/>
      </c>
      <c r="M645" s="1" t="n">
        <f aca="false">IF(LEN(A645&amp;"")=0,0,IF(COUNTIFS(Base!$A$7:$A$1006,A645)&gt;1,1,0))</f>
        <v>0</v>
      </c>
      <c r="N645" s="1" t="n">
        <f aca="false">IF(LEN(A645&amp;"")=0,0,IF(ABS(L645)&gt;0.005,1,0))</f>
        <v>0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customFormat="false" ht="23" hidden="false" customHeight="true" outlineLevel="0" collapsed="false">
      <c r="A646" s="1" t="str">
        <f aca="false">IF(LEN(Base!A646&amp;"")=0,"",Base!A646)</f>
        <v/>
      </c>
      <c r="B646" s="60" t="str">
        <f aca="false">IF(LEN(A646&amp;"")=0,"",Base!D646)</f>
        <v/>
      </c>
      <c r="C646" s="1" t="str">
        <f aca="false">IF(LEN(A646&amp;"")=0,"",Base!C646)</f>
        <v/>
      </c>
      <c r="D646" s="1" t="str">
        <f aca="false">IF(LEN(A646&amp;"")=0,"",Base!G646)</f>
        <v/>
      </c>
      <c r="E646" s="1" t="str">
        <f aca="false">IF(LEN(A646&amp;"")=0,"",Base!E646)</f>
        <v/>
      </c>
      <c r="F646" s="61" t="str">
        <f aca="false">IF(LEN(A646&amp;"")=0,"",IF(Base!I646="-",0,Base!I646))</f>
        <v/>
      </c>
      <c r="G646" s="61" t="str">
        <f aca="false">IF(LEN(A646&amp;"")=0,"",SUM(Base!F646,F646,Base!K646))</f>
        <v/>
      </c>
      <c r="H646" s="61" t="str">
        <f aca="false">IF(LEN(A646&amp;"")=0,"",Base!L646)</f>
        <v/>
      </c>
      <c r="I646" s="61" t="str">
        <f aca="false">IF(LEN(A646&amp;"")=0,"",G646-H646)</f>
        <v/>
      </c>
      <c r="J646" s="61" t="str">
        <f aca="false">IF(LEN(A646&amp;"")=0,"",Base!M646)</f>
        <v/>
      </c>
      <c r="K646" s="1" t="n">
        <f aca="false">IF(OR(LEN(A646&amp;"")=0,$P$3=0),0,IF(AND(B646&gt;=Painel!$B$8,B646&lt;=Painel!$G$8,OR(Painel!$L$8="Todos",C646=Painel!$L$8),OR(Painel!$Q$8="Todos",D646=Painel!$Q$8),OR(Painel!$V$8="Todas",E646=Painel!$V$8)),1,0))</f>
        <v>0</v>
      </c>
      <c r="L646" s="61" t="str">
        <f aca="false">IF(LEN(A646&amp;"")=0,"",J646-I646)</f>
        <v/>
      </c>
      <c r="M646" s="1" t="n">
        <f aca="false">IF(LEN(A646&amp;"")=0,0,IF(COUNTIFS(Base!$A$7:$A$1006,A646)&gt;1,1,0))</f>
        <v>0</v>
      </c>
      <c r="N646" s="1" t="n">
        <f aca="false">IF(LEN(A646&amp;"")=0,0,IF(ABS(L646)&gt;0.005,1,0))</f>
        <v>0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customFormat="false" ht="23" hidden="false" customHeight="true" outlineLevel="0" collapsed="false">
      <c r="A647" s="1" t="str">
        <f aca="false">IF(LEN(Base!A647&amp;"")=0,"",Base!A647)</f>
        <v/>
      </c>
      <c r="B647" s="60" t="str">
        <f aca="false">IF(LEN(A647&amp;"")=0,"",Base!D647)</f>
        <v/>
      </c>
      <c r="C647" s="1" t="str">
        <f aca="false">IF(LEN(A647&amp;"")=0,"",Base!C647)</f>
        <v/>
      </c>
      <c r="D647" s="1" t="str">
        <f aca="false">IF(LEN(A647&amp;"")=0,"",Base!G647)</f>
        <v/>
      </c>
      <c r="E647" s="1" t="str">
        <f aca="false">IF(LEN(A647&amp;"")=0,"",Base!E647)</f>
        <v/>
      </c>
      <c r="F647" s="61" t="str">
        <f aca="false">IF(LEN(A647&amp;"")=0,"",IF(Base!I647="-",0,Base!I647))</f>
        <v/>
      </c>
      <c r="G647" s="61" t="str">
        <f aca="false">IF(LEN(A647&amp;"")=0,"",SUM(Base!F647,F647,Base!K647))</f>
        <v/>
      </c>
      <c r="H647" s="61" t="str">
        <f aca="false">IF(LEN(A647&amp;"")=0,"",Base!L647)</f>
        <v/>
      </c>
      <c r="I647" s="61" t="str">
        <f aca="false">IF(LEN(A647&amp;"")=0,"",G647-H647)</f>
        <v/>
      </c>
      <c r="J647" s="61" t="str">
        <f aca="false">IF(LEN(A647&amp;"")=0,"",Base!M647)</f>
        <v/>
      </c>
      <c r="K647" s="1" t="n">
        <f aca="false">IF(OR(LEN(A647&amp;"")=0,$P$3=0),0,IF(AND(B647&gt;=Painel!$B$8,B647&lt;=Painel!$G$8,OR(Painel!$L$8="Todos",C647=Painel!$L$8),OR(Painel!$Q$8="Todos",D647=Painel!$Q$8),OR(Painel!$V$8="Todas",E647=Painel!$V$8)),1,0))</f>
        <v>0</v>
      </c>
      <c r="L647" s="61" t="str">
        <f aca="false">IF(LEN(A647&amp;"")=0,"",J647-I647)</f>
        <v/>
      </c>
      <c r="M647" s="1" t="n">
        <f aca="false">IF(LEN(A647&amp;"")=0,0,IF(COUNTIFS(Base!$A$7:$A$1006,A647)&gt;1,1,0))</f>
        <v>0</v>
      </c>
      <c r="N647" s="1" t="n">
        <f aca="false">IF(LEN(A647&amp;"")=0,0,IF(ABS(L647)&gt;0.005,1,0))</f>
        <v>0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customFormat="false" ht="23" hidden="false" customHeight="true" outlineLevel="0" collapsed="false">
      <c r="A648" s="1" t="str">
        <f aca="false">IF(LEN(Base!A648&amp;"")=0,"",Base!A648)</f>
        <v/>
      </c>
      <c r="B648" s="60" t="str">
        <f aca="false">IF(LEN(A648&amp;"")=0,"",Base!D648)</f>
        <v/>
      </c>
      <c r="C648" s="1" t="str">
        <f aca="false">IF(LEN(A648&amp;"")=0,"",Base!C648)</f>
        <v/>
      </c>
      <c r="D648" s="1" t="str">
        <f aca="false">IF(LEN(A648&amp;"")=0,"",Base!G648)</f>
        <v/>
      </c>
      <c r="E648" s="1" t="str">
        <f aca="false">IF(LEN(A648&amp;"")=0,"",Base!E648)</f>
        <v/>
      </c>
      <c r="F648" s="61" t="str">
        <f aca="false">IF(LEN(A648&amp;"")=0,"",IF(Base!I648="-",0,Base!I648))</f>
        <v/>
      </c>
      <c r="G648" s="61" t="str">
        <f aca="false">IF(LEN(A648&amp;"")=0,"",SUM(Base!F648,F648,Base!K648))</f>
        <v/>
      </c>
      <c r="H648" s="61" t="str">
        <f aca="false">IF(LEN(A648&amp;"")=0,"",Base!L648)</f>
        <v/>
      </c>
      <c r="I648" s="61" t="str">
        <f aca="false">IF(LEN(A648&amp;"")=0,"",G648-H648)</f>
        <v/>
      </c>
      <c r="J648" s="61" t="str">
        <f aca="false">IF(LEN(A648&amp;"")=0,"",Base!M648)</f>
        <v/>
      </c>
      <c r="K648" s="1" t="n">
        <f aca="false">IF(OR(LEN(A648&amp;"")=0,$P$3=0),0,IF(AND(B648&gt;=Painel!$B$8,B648&lt;=Painel!$G$8,OR(Painel!$L$8="Todos",C648=Painel!$L$8),OR(Painel!$Q$8="Todos",D648=Painel!$Q$8),OR(Painel!$V$8="Todas",E648=Painel!$V$8)),1,0))</f>
        <v>0</v>
      </c>
      <c r="L648" s="61" t="str">
        <f aca="false">IF(LEN(A648&amp;"")=0,"",J648-I648)</f>
        <v/>
      </c>
      <c r="M648" s="1" t="n">
        <f aca="false">IF(LEN(A648&amp;"")=0,0,IF(COUNTIFS(Base!$A$7:$A$1006,A648)&gt;1,1,0))</f>
        <v>0</v>
      </c>
      <c r="N648" s="1" t="n">
        <f aca="false">IF(LEN(A648&amp;"")=0,0,IF(ABS(L648)&gt;0.005,1,0))</f>
        <v>0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customFormat="false" ht="23" hidden="false" customHeight="true" outlineLevel="0" collapsed="false">
      <c r="A649" s="1" t="str">
        <f aca="false">IF(LEN(Base!A649&amp;"")=0,"",Base!A649)</f>
        <v/>
      </c>
      <c r="B649" s="60" t="str">
        <f aca="false">IF(LEN(A649&amp;"")=0,"",Base!D649)</f>
        <v/>
      </c>
      <c r="C649" s="1" t="str">
        <f aca="false">IF(LEN(A649&amp;"")=0,"",Base!C649)</f>
        <v/>
      </c>
      <c r="D649" s="1" t="str">
        <f aca="false">IF(LEN(A649&amp;"")=0,"",Base!G649)</f>
        <v/>
      </c>
      <c r="E649" s="1" t="str">
        <f aca="false">IF(LEN(A649&amp;"")=0,"",Base!E649)</f>
        <v/>
      </c>
      <c r="F649" s="61" t="str">
        <f aca="false">IF(LEN(A649&amp;"")=0,"",IF(Base!I649="-",0,Base!I649))</f>
        <v/>
      </c>
      <c r="G649" s="61" t="str">
        <f aca="false">IF(LEN(A649&amp;"")=0,"",SUM(Base!F649,F649,Base!K649))</f>
        <v/>
      </c>
      <c r="H649" s="61" t="str">
        <f aca="false">IF(LEN(A649&amp;"")=0,"",Base!L649)</f>
        <v/>
      </c>
      <c r="I649" s="61" t="str">
        <f aca="false">IF(LEN(A649&amp;"")=0,"",G649-H649)</f>
        <v/>
      </c>
      <c r="J649" s="61" t="str">
        <f aca="false">IF(LEN(A649&amp;"")=0,"",Base!M649)</f>
        <v/>
      </c>
      <c r="K649" s="1" t="n">
        <f aca="false">IF(OR(LEN(A649&amp;"")=0,$P$3=0),0,IF(AND(B649&gt;=Painel!$B$8,B649&lt;=Painel!$G$8,OR(Painel!$L$8="Todos",C649=Painel!$L$8),OR(Painel!$Q$8="Todos",D649=Painel!$Q$8),OR(Painel!$V$8="Todas",E649=Painel!$V$8)),1,0))</f>
        <v>0</v>
      </c>
      <c r="L649" s="61" t="str">
        <f aca="false">IF(LEN(A649&amp;"")=0,"",J649-I649)</f>
        <v/>
      </c>
      <c r="M649" s="1" t="n">
        <f aca="false">IF(LEN(A649&amp;"")=0,0,IF(COUNTIFS(Base!$A$7:$A$1006,A649)&gt;1,1,0))</f>
        <v>0</v>
      </c>
      <c r="N649" s="1" t="n">
        <f aca="false">IF(LEN(A649&amp;"")=0,0,IF(ABS(L649)&gt;0.005,1,0))</f>
        <v>0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customFormat="false" ht="23" hidden="false" customHeight="true" outlineLevel="0" collapsed="false">
      <c r="A650" s="1" t="str">
        <f aca="false">IF(LEN(Base!A650&amp;"")=0,"",Base!A650)</f>
        <v/>
      </c>
      <c r="B650" s="60" t="str">
        <f aca="false">IF(LEN(A650&amp;"")=0,"",Base!D650)</f>
        <v/>
      </c>
      <c r="C650" s="1" t="str">
        <f aca="false">IF(LEN(A650&amp;"")=0,"",Base!C650)</f>
        <v/>
      </c>
      <c r="D650" s="1" t="str">
        <f aca="false">IF(LEN(A650&amp;"")=0,"",Base!G650)</f>
        <v/>
      </c>
      <c r="E650" s="1" t="str">
        <f aca="false">IF(LEN(A650&amp;"")=0,"",Base!E650)</f>
        <v/>
      </c>
      <c r="F650" s="61" t="str">
        <f aca="false">IF(LEN(A650&amp;"")=0,"",IF(Base!I650="-",0,Base!I650))</f>
        <v/>
      </c>
      <c r="G650" s="61" t="str">
        <f aca="false">IF(LEN(A650&amp;"")=0,"",SUM(Base!F650,F650,Base!K650))</f>
        <v/>
      </c>
      <c r="H650" s="61" t="str">
        <f aca="false">IF(LEN(A650&amp;"")=0,"",Base!L650)</f>
        <v/>
      </c>
      <c r="I650" s="61" t="str">
        <f aca="false">IF(LEN(A650&amp;"")=0,"",G650-H650)</f>
        <v/>
      </c>
      <c r="J650" s="61" t="str">
        <f aca="false">IF(LEN(A650&amp;"")=0,"",Base!M650)</f>
        <v/>
      </c>
      <c r="K650" s="1" t="n">
        <f aca="false">IF(OR(LEN(A650&amp;"")=0,$P$3=0),0,IF(AND(B650&gt;=Painel!$B$8,B650&lt;=Painel!$G$8,OR(Painel!$L$8="Todos",C650=Painel!$L$8),OR(Painel!$Q$8="Todos",D650=Painel!$Q$8),OR(Painel!$V$8="Todas",E650=Painel!$V$8)),1,0))</f>
        <v>0</v>
      </c>
      <c r="L650" s="61" t="str">
        <f aca="false">IF(LEN(A650&amp;"")=0,"",J650-I650)</f>
        <v/>
      </c>
      <c r="M650" s="1" t="n">
        <f aca="false">IF(LEN(A650&amp;"")=0,0,IF(COUNTIFS(Base!$A$7:$A$1006,A650)&gt;1,1,0))</f>
        <v>0</v>
      </c>
      <c r="N650" s="1" t="n">
        <f aca="false">IF(LEN(A650&amp;"")=0,0,IF(ABS(L650)&gt;0.005,1,0))</f>
        <v>0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customFormat="false" ht="23" hidden="false" customHeight="true" outlineLevel="0" collapsed="false">
      <c r="A651" s="1" t="str">
        <f aca="false">IF(LEN(Base!A651&amp;"")=0,"",Base!A651)</f>
        <v/>
      </c>
      <c r="B651" s="60" t="str">
        <f aca="false">IF(LEN(A651&amp;"")=0,"",Base!D651)</f>
        <v/>
      </c>
      <c r="C651" s="1" t="str">
        <f aca="false">IF(LEN(A651&amp;"")=0,"",Base!C651)</f>
        <v/>
      </c>
      <c r="D651" s="1" t="str">
        <f aca="false">IF(LEN(A651&amp;"")=0,"",Base!G651)</f>
        <v/>
      </c>
      <c r="E651" s="1" t="str">
        <f aca="false">IF(LEN(A651&amp;"")=0,"",Base!E651)</f>
        <v/>
      </c>
      <c r="F651" s="61" t="str">
        <f aca="false">IF(LEN(A651&amp;"")=0,"",IF(Base!I651="-",0,Base!I651))</f>
        <v/>
      </c>
      <c r="G651" s="61" t="str">
        <f aca="false">IF(LEN(A651&amp;"")=0,"",SUM(Base!F651,F651,Base!K651))</f>
        <v/>
      </c>
      <c r="H651" s="61" t="str">
        <f aca="false">IF(LEN(A651&amp;"")=0,"",Base!L651)</f>
        <v/>
      </c>
      <c r="I651" s="61" t="str">
        <f aca="false">IF(LEN(A651&amp;"")=0,"",G651-H651)</f>
        <v/>
      </c>
      <c r="J651" s="61" t="str">
        <f aca="false">IF(LEN(A651&amp;"")=0,"",Base!M651)</f>
        <v/>
      </c>
      <c r="K651" s="1" t="n">
        <f aca="false">IF(OR(LEN(A651&amp;"")=0,$P$3=0),0,IF(AND(B651&gt;=Painel!$B$8,B651&lt;=Painel!$G$8,OR(Painel!$L$8="Todos",C651=Painel!$L$8),OR(Painel!$Q$8="Todos",D651=Painel!$Q$8),OR(Painel!$V$8="Todas",E651=Painel!$V$8)),1,0))</f>
        <v>0</v>
      </c>
      <c r="L651" s="61" t="str">
        <f aca="false">IF(LEN(A651&amp;"")=0,"",J651-I651)</f>
        <v/>
      </c>
      <c r="M651" s="1" t="n">
        <f aca="false">IF(LEN(A651&amp;"")=0,0,IF(COUNTIFS(Base!$A$7:$A$1006,A651)&gt;1,1,0))</f>
        <v>0</v>
      </c>
      <c r="N651" s="1" t="n">
        <f aca="false">IF(LEN(A651&amp;"")=0,0,IF(ABS(L651)&gt;0.005,1,0))</f>
        <v>0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customFormat="false" ht="23" hidden="false" customHeight="true" outlineLevel="0" collapsed="false">
      <c r="A652" s="1" t="str">
        <f aca="false">IF(LEN(Base!A652&amp;"")=0,"",Base!A652)</f>
        <v/>
      </c>
      <c r="B652" s="60" t="str">
        <f aca="false">IF(LEN(A652&amp;"")=0,"",Base!D652)</f>
        <v/>
      </c>
      <c r="C652" s="1" t="str">
        <f aca="false">IF(LEN(A652&amp;"")=0,"",Base!C652)</f>
        <v/>
      </c>
      <c r="D652" s="1" t="str">
        <f aca="false">IF(LEN(A652&amp;"")=0,"",Base!G652)</f>
        <v/>
      </c>
      <c r="E652" s="1" t="str">
        <f aca="false">IF(LEN(A652&amp;"")=0,"",Base!E652)</f>
        <v/>
      </c>
      <c r="F652" s="61" t="str">
        <f aca="false">IF(LEN(A652&amp;"")=0,"",IF(Base!I652="-",0,Base!I652))</f>
        <v/>
      </c>
      <c r="G652" s="61" t="str">
        <f aca="false">IF(LEN(A652&amp;"")=0,"",SUM(Base!F652,F652,Base!K652))</f>
        <v/>
      </c>
      <c r="H652" s="61" t="str">
        <f aca="false">IF(LEN(A652&amp;"")=0,"",Base!L652)</f>
        <v/>
      </c>
      <c r="I652" s="61" t="str">
        <f aca="false">IF(LEN(A652&amp;"")=0,"",G652-H652)</f>
        <v/>
      </c>
      <c r="J652" s="61" t="str">
        <f aca="false">IF(LEN(A652&amp;"")=0,"",Base!M652)</f>
        <v/>
      </c>
      <c r="K652" s="1" t="n">
        <f aca="false">IF(OR(LEN(A652&amp;"")=0,$P$3=0),0,IF(AND(B652&gt;=Painel!$B$8,B652&lt;=Painel!$G$8,OR(Painel!$L$8="Todos",C652=Painel!$L$8),OR(Painel!$Q$8="Todos",D652=Painel!$Q$8),OR(Painel!$V$8="Todas",E652=Painel!$V$8)),1,0))</f>
        <v>0</v>
      </c>
      <c r="L652" s="61" t="str">
        <f aca="false">IF(LEN(A652&amp;"")=0,"",J652-I652)</f>
        <v/>
      </c>
      <c r="M652" s="1" t="n">
        <f aca="false">IF(LEN(A652&amp;"")=0,0,IF(COUNTIFS(Base!$A$7:$A$1006,A652)&gt;1,1,0))</f>
        <v>0</v>
      </c>
      <c r="N652" s="1" t="n">
        <f aca="false">IF(LEN(A652&amp;"")=0,0,IF(ABS(L652)&gt;0.005,1,0))</f>
        <v>0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customFormat="false" ht="23" hidden="false" customHeight="true" outlineLevel="0" collapsed="false">
      <c r="A653" s="1" t="str">
        <f aca="false">IF(LEN(Base!A653&amp;"")=0,"",Base!A653)</f>
        <v/>
      </c>
      <c r="B653" s="60" t="str">
        <f aca="false">IF(LEN(A653&amp;"")=0,"",Base!D653)</f>
        <v/>
      </c>
      <c r="C653" s="1" t="str">
        <f aca="false">IF(LEN(A653&amp;"")=0,"",Base!C653)</f>
        <v/>
      </c>
      <c r="D653" s="1" t="str">
        <f aca="false">IF(LEN(A653&amp;"")=0,"",Base!G653)</f>
        <v/>
      </c>
      <c r="E653" s="1" t="str">
        <f aca="false">IF(LEN(A653&amp;"")=0,"",Base!E653)</f>
        <v/>
      </c>
      <c r="F653" s="61" t="str">
        <f aca="false">IF(LEN(A653&amp;"")=0,"",IF(Base!I653="-",0,Base!I653))</f>
        <v/>
      </c>
      <c r="G653" s="61" t="str">
        <f aca="false">IF(LEN(A653&amp;"")=0,"",SUM(Base!F653,F653,Base!K653))</f>
        <v/>
      </c>
      <c r="H653" s="61" t="str">
        <f aca="false">IF(LEN(A653&amp;"")=0,"",Base!L653)</f>
        <v/>
      </c>
      <c r="I653" s="61" t="str">
        <f aca="false">IF(LEN(A653&amp;"")=0,"",G653-H653)</f>
        <v/>
      </c>
      <c r="J653" s="61" t="str">
        <f aca="false">IF(LEN(A653&amp;"")=0,"",Base!M653)</f>
        <v/>
      </c>
      <c r="K653" s="1" t="n">
        <f aca="false">IF(OR(LEN(A653&amp;"")=0,$P$3=0),0,IF(AND(B653&gt;=Painel!$B$8,B653&lt;=Painel!$G$8,OR(Painel!$L$8="Todos",C653=Painel!$L$8),OR(Painel!$Q$8="Todos",D653=Painel!$Q$8),OR(Painel!$V$8="Todas",E653=Painel!$V$8)),1,0))</f>
        <v>0</v>
      </c>
      <c r="L653" s="61" t="str">
        <f aca="false">IF(LEN(A653&amp;"")=0,"",J653-I653)</f>
        <v/>
      </c>
      <c r="M653" s="1" t="n">
        <f aca="false">IF(LEN(A653&amp;"")=0,0,IF(COUNTIFS(Base!$A$7:$A$1006,A653)&gt;1,1,0))</f>
        <v>0</v>
      </c>
      <c r="N653" s="1" t="n">
        <f aca="false">IF(LEN(A653&amp;"")=0,0,IF(ABS(L653)&gt;0.005,1,0))</f>
        <v>0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customFormat="false" ht="23" hidden="false" customHeight="true" outlineLevel="0" collapsed="false">
      <c r="A654" s="1" t="str">
        <f aca="false">IF(LEN(Base!A654&amp;"")=0,"",Base!A654)</f>
        <v/>
      </c>
      <c r="B654" s="60" t="str">
        <f aca="false">IF(LEN(A654&amp;"")=0,"",Base!D654)</f>
        <v/>
      </c>
      <c r="C654" s="1" t="str">
        <f aca="false">IF(LEN(A654&amp;"")=0,"",Base!C654)</f>
        <v/>
      </c>
      <c r="D654" s="1" t="str">
        <f aca="false">IF(LEN(A654&amp;"")=0,"",Base!G654)</f>
        <v/>
      </c>
      <c r="E654" s="1" t="str">
        <f aca="false">IF(LEN(A654&amp;"")=0,"",Base!E654)</f>
        <v/>
      </c>
      <c r="F654" s="61" t="str">
        <f aca="false">IF(LEN(A654&amp;"")=0,"",IF(Base!I654="-",0,Base!I654))</f>
        <v/>
      </c>
      <c r="G654" s="61" t="str">
        <f aca="false">IF(LEN(A654&amp;"")=0,"",SUM(Base!F654,F654,Base!K654))</f>
        <v/>
      </c>
      <c r="H654" s="61" t="str">
        <f aca="false">IF(LEN(A654&amp;"")=0,"",Base!L654)</f>
        <v/>
      </c>
      <c r="I654" s="61" t="str">
        <f aca="false">IF(LEN(A654&amp;"")=0,"",G654-H654)</f>
        <v/>
      </c>
      <c r="J654" s="61" t="str">
        <f aca="false">IF(LEN(A654&amp;"")=0,"",Base!M654)</f>
        <v/>
      </c>
      <c r="K654" s="1" t="n">
        <f aca="false">IF(OR(LEN(A654&amp;"")=0,$P$3=0),0,IF(AND(B654&gt;=Painel!$B$8,B654&lt;=Painel!$G$8,OR(Painel!$L$8="Todos",C654=Painel!$L$8),OR(Painel!$Q$8="Todos",D654=Painel!$Q$8),OR(Painel!$V$8="Todas",E654=Painel!$V$8)),1,0))</f>
        <v>0</v>
      </c>
      <c r="L654" s="61" t="str">
        <f aca="false">IF(LEN(A654&amp;"")=0,"",J654-I654)</f>
        <v/>
      </c>
      <c r="M654" s="1" t="n">
        <f aca="false">IF(LEN(A654&amp;"")=0,0,IF(COUNTIFS(Base!$A$7:$A$1006,A654)&gt;1,1,0))</f>
        <v>0</v>
      </c>
      <c r="N654" s="1" t="n">
        <f aca="false">IF(LEN(A654&amp;"")=0,0,IF(ABS(L654)&gt;0.005,1,0))</f>
        <v>0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customFormat="false" ht="23" hidden="false" customHeight="true" outlineLevel="0" collapsed="false">
      <c r="A655" s="1" t="str">
        <f aca="false">IF(LEN(Base!A655&amp;"")=0,"",Base!A655)</f>
        <v/>
      </c>
      <c r="B655" s="60" t="str">
        <f aca="false">IF(LEN(A655&amp;"")=0,"",Base!D655)</f>
        <v/>
      </c>
      <c r="C655" s="1" t="str">
        <f aca="false">IF(LEN(A655&amp;"")=0,"",Base!C655)</f>
        <v/>
      </c>
      <c r="D655" s="1" t="str">
        <f aca="false">IF(LEN(A655&amp;"")=0,"",Base!G655)</f>
        <v/>
      </c>
      <c r="E655" s="1" t="str">
        <f aca="false">IF(LEN(A655&amp;"")=0,"",Base!E655)</f>
        <v/>
      </c>
      <c r="F655" s="61" t="str">
        <f aca="false">IF(LEN(A655&amp;"")=0,"",IF(Base!I655="-",0,Base!I655))</f>
        <v/>
      </c>
      <c r="G655" s="61" t="str">
        <f aca="false">IF(LEN(A655&amp;"")=0,"",SUM(Base!F655,F655,Base!K655))</f>
        <v/>
      </c>
      <c r="H655" s="61" t="str">
        <f aca="false">IF(LEN(A655&amp;"")=0,"",Base!L655)</f>
        <v/>
      </c>
      <c r="I655" s="61" t="str">
        <f aca="false">IF(LEN(A655&amp;"")=0,"",G655-H655)</f>
        <v/>
      </c>
      <c r="J655" s="61" t="str">
        <f aca="false">IF(LEN(A655&amp;"")=0,"",Base!M655)</f>
        <v/>
      </c>
      <c r="K655" s="1" t="n">
        <f aca="false">IF(OR(LEN(A655&amp;"")=0,$P$3=0),0,IF(AND(B655&gt;=Painel!$B$8,B655&lt;=Painel!$G$8,OR(Painel!$L$8="Todos",C655=Painel!$L$8),OR(Painel!$Q$8="Todos",D655=Painel!$Q$8),OR(Painel!$V$8="Todas",E655=Painel!$V$8)),1,0))</f>
        <v>0</v>
      </c>
      <c r="L655" s="61" t="str">
        <f aca="false">IF(LEN(A655&amp;"")=0,"",J655-I655)</f>
        <v/>
      </c>
      <c r="M655" s="1" t="n">
        <f aca="false">IF(LEN(A655&amp;"")=0,0,IF(COUNTIFS(Base!$A$7:$A$1006,A655)&gt;1,1,0))</f>
        <v>0</v>
      </c>
      <c r="N655" s="1" t="n">
        <f aca="false">IF(LEN(A655&amp;"")=0,0,IF(ABS(L655)&gt;0.005,1,0))</f>
        <v>0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customFormat="false" ht="23" hidden="false" customHeight="true" outlineLevel="0" collapsed="false">
      <c r="A656" s="1" t="str">
        <f aca="false">IF(LEN(Base!A656&amp;"")=0,"",Base!A656)</f>
        <v/>
      </c>
      <c r="B656" s="60" t="str">
        <f aca="false">IF(LEN(A656&amp;"")=0,"",Base!D656)</f>
        <v/>
      </c>
      <c r="C656" s="1" t="str">
        <f aca="false">IF(LEN(A656&amp;"")=0,"",Base!C656)</f>
        <v/>
      </c>
      <c r="D656" s="1" t="str">
        <f aca="false">IF(LEN(A656&amp;"")=0,"",Base!G656)</f>
        <v/>
      </c>
      <c r="E656" s="1" t="str">
        <f aca="false">IF(LEN(A656&amp;"")=0,"",Base!E656)</f>
        <v/>
      </c>
      <c r="F656" s="61" t="str">
        <f aca="false">IF(LEN(A656&amp;"")=0,"",IF(Base!I656="-",0,Base!I656))</f>
        <v/>
      </c>
      <c r="G656" s="61" t="str">
        <f aca="false">IF(LEN(A656&amp;"")=0,"",SUM(Base!F656,F656,Base!K656))</f>
        <v/>
      </c>
      <c r="H656" s="61" t="str">
        <f aca="false">IF(LEN(A656&amp;"")=0,"",Base!L656)</f>
        <v/>
      </c>
      <c r="I656" s="61" t="str">
        <f aca="false">IF(LEN(A656&amp;"")=0,"",G656-H656)</f>
        <v/>
      </c>
      <c r="J656" s="61" t="str">
        <f aca="false">IF(LEN(A656&amp;"")=0,"",Base!M656)</f>
        <v/>
      </c>
      <c r="K656" s="1" t="n">
        <f aca="false">IF(OR(LEN(A656&amp;"")=0,$P$3=0),0,IF(AND(B656&gt;=Painel!$B$8,B656&lt;=Painel!$G$8,OR(Painel!$L$8="Todos",C656=Painel!$L$8),OR(Painel!$Q$8="Todos",D656=Painel!$Q$8),OR(Painel!$V$8="Todas",E656=Painel!$V$8)),1,0))</f>
        <v>0</v>
      </c>
      <c r="L656" s="61" t="str">
        <f aca="false">IF(LEN(A656&amp;"")=0,"",J656-I656)</f>
        <v/>
      </c>
      <c r="M656" s="1" t="n">
        <f aca="false">IF(LEN(A656&amp;"")=0,0,IF(COUNTIFS(Base!$A$7:$A$1006,A656)&gt;1,1,0))</f>
        <v>0</v>
      </c>
      <c r="N656" s="1" t="n">
        <f aca="false">IF(LEN(A656&amp;"")=0,0,IF(ABS(L656)&gt;0.005,1,0))</f>
        <v>0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customFormat="false" ht="23" hidden="false" customHeight="true" outlineLevel="0" collapsed="false">
      <c r="A657" s="1" t="str">
        <f aca="false">IF(LEN(Base!A657&amp;"")=0,"",Base!A657)</f>
        <v/>
      </c>
      <c r="B657" s="60" t="str">
        <f aca="false">IF(LEN(A657&amp;"")=0,"",Base!D657)</f>
        <v/>
      </c>
      <c r="C657" s="1" t="str">
        <f aca="false">IF(LEN(A657&amp;"")=0,"",Base!C657)</f>
        <v/>
      </c>
      <c r="D657" s="1" t="str">
        <f aca="false">IF(LEN(A657&amp;"")=0,"",Base!G657)</f>
        <v/>
      </c>
      <c r="E657" s="1" t="str">
        <f aca="false">IF(LEN(A657&amp;"")=0,"",Base!E657)</f>
        <v/>
      </c>
      <c r="F657" s="61" t="str">
        <f aca="false">IF(LEN(A657&amp;"")=0,"",IF(Base!I657="-",0,Base!I657))</f>
        <v/>
      </c>
      <c r="G657" s="61" t="str">
        <f aca="false">IF(LEN(A657&amp;"")=0,"",SUM(Base!F657,F657,Base!K657))</f>
        <v/>
      </c>
      <c r="H657" s="61" t="str">
        <f aca="false">IF(LEN(A657&amp;"")=0,"",Base!L657)</f>
        <v/>
      </c>
      <c r="I657" s="61" t="str">
        <f aca="false">IF(LEN(A657&amp;"")=0,"",G657-H657)</f>
        <v/>
      </c>
      <c r="J657" s="61" t="str">
        <f aca="false">IF(LEN(A657&amp;"")=0,"",Base!M657)</f>
        <v/>
      </c>
      <c r="K657" s="1" t="n">
        <f aca="false">IF(OR(LEN(A657&amp;"")=0,$P$3=0),0,IF(AND(B657&gt;=Painel!$B$8,B657&lt;=Painel!$G$8,OR(Painel!$L$8="Todos",C657=Painel!$L$8),OR(Painel!$Q$8="Todos",D657=Painel!$Q$8),OR(Painel!$V$8="Todas",E657=Painel!$V$8)),1,0))</f>
        <v>0</v>
      </c>
      <c r="L657" s="61" t="str">
        <f aca="false">IF(LEN(A657&amp;"")=0,"",J657-I657)</f>
        <v/>
      </c>
      <c r="M657" s="1" t="n">
        <f aca="false">IF(LEN(A657&amp;"")=0,0,IF(COUNTIFS(Base!$A$7:$A$1006,A657)&gt;1,1,0))</f>
        <v>0</v>
      </c>
      <c r="N657" s="1" t="n">
        <f aca="false">IF(LEN(A657&amp;"")=0,0,IF(ABS(L657)&gt;0.005,1,0))</f>
        <v>0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customFormat="false" ht="23" hidden="false" customHeight="true" outlineLevel="0" collapsed="false">
      <c r="A658" s="1" t="str">
        <f aca="false">IF(LEN(Base!A658&amp;"")=0,"",Base!A658)</f>
        <v/>
      </c>
      <c r="B658" s="60" t="str">
        <f aca="false">IF(LEN(A658&amp;"")=0,"",Base!D658)</f>
        <v/>
      </c>
      <c r="C658" s="1" t="str">
        <f aca="false">IF(LEN(A658&amp;"")=0,"",Base!C658)</f>
        <v/>
      </c>
      <c r="D658" s="1" t="str">
        <f aca="false">IF(LEN(A658&amp;"")=0,"",Base!G658)</f>
        <v/>
      </c>
      <c r="E658" s="1" t="str">
        <f aca="false">IF(LEN(A658&amp;"")=0,"",Base!E658)</f>
        <v/>
      </c>
      <c r="F658" s="61" t="str">
        <f aca="false">IF(LEN(A658&amp;"")=0,"",IF(Base!I658="-",0,Base!I658))</f>
        <v/>
      </c>
      <c r="G658" s="61" t="str">
        <f aca="false">IF(LEN(A658&amp;"")=0,"",SUM(Base!F658,F658,Base!K658))</f>
        <v/>
      </c>
      <c r="H658" s="61" t="str">
        <f aca="false">IF(LEN(A658&amp;"")=0,"",Base!L658)</f>
        <v/>
      </c>
      <c r="I658" s="61" t="str">
        <f aca="false">IF(LEN(A658&amp;"")=0,"",G658-H658)</f>
        <v/>
      </c>
      <c r="J658" s="61" t="str">
        <f aca="false">IF(LEN(A658&amp;"")=0,"",Base!M658)</f>
        <v/>
      </c>
      <c r="K658" s="1" t="n">
        <f aca="false">IF(OR(LEN(A658&amp;"")=0,$P$3=0),0,IF(AND(B658&gt;=Painel!$B$8,B658&lt;=Painel!$G$8,OR(Painel!$L$8="Todos",C658=Painel!$L$8),OR(Painel!$Q$8="Todos",D658=Painel!$Q$8),OR(Painel!$V$8="Todas",E658=Painel!$V$8)),1,0))</f>
        <v>0</v>
      </c>
      <c r="L658" s="61" t="str">
        <f aca="false">IF(LEN(A658&amp;"")=0,"",J658-I658)</f>
        <v/>
      </c>
      <c r="M658" s="1" t="n">
        <f aca="false">IF(LEN(A658&amp;"")=0,0,IF(COUNTIFS(Base!$A$7:$A$1006,A658)&gt;1,1,0))</f>
        <v>0</v>
      </c>
      <c r="N658" s="1" t="n">
        <f aca="false">IF(LEN(A658&amp;"")=0,0,IF(ABS(L658)&gt;0.005,1,0))</f>
        <v>0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customFormat="false" ht="23" hidden="false" customHeight="true" outlineLevel="0" collapsed="false">
      <c r="A659" s="1" t="str">
        <f aca="false">IF(LEN(Base!A659&amp;"")=0,"",Base!A659)</f>
        <v/>
      </c>
      <c r="B659" s="60" t="str">
        <f aca="false">IF(LEN(A659&amp;"")=0,"",Base!D659)</f>
        <v/>
      </c>
      <c r="C659" s="1" t="str">
        <f aca="false">IF(LEN(A659&amp;"")=0,"",Base!C659)</f>
        <v/>
      </c>
      <c r="D659" s="1" t="str">
        <f aca="false">IF(LEN(A659&amp;"")=0,"",Base!G659)</f>
        <v/>
      </c>
      <c r="E659" s="1" t="str">
        <f aca="false">IF(LEN(A659&amp;"")=0,"",Base!E659)</f>
        <v/>
      </c>
      <c r="F659" s="61" t="str">
        <f aca="false">IF(LEN(A659&amp;"")=0,"",IF(Base!I659="-",0,Base!I659))</f>
        <v/>
      </c>
      <c r="G659" s="61" t="str">
        <f aca="false">IF(LEN(A659&amp;"")=0,"",SUM(Base!F659,F659,Base!K659))</f>
        <v/>
      </c>
      <c r="H659" s="61" t="str">
        <f aca="false">IF(LEN(A659&amp;"")=0,"",Base!L659)</f>
        <v/>
      </c>
      <c r="I659" s="61" t="str">
        <f aca="false">IF(LEN(A659&amp;"")=0,"",G659-H659)</f>
        <v/>
      </c>
      <c r="J659" s="61" t="str">
        <f aca="false">IF(LEN(A659&amp;"")=0,"",Base!M659)</f>
        <v/>
      </c>
      <c r="K659" s="1" t="n">
        <f aca="false">IF(OR(LEN(A659&amp;"")=0,$P$3=0),0,IF(AND(B659&gt;=Painel!$B$8,B659&lt;=Painel!$G$8,OR(Painel!$L$8="Todos",C659=Painel!$L$8),OR(Painel!$Q$8="Todos",D659=Painel!$Q$8),OR(Painel!$V$8="Todas",E659=Painel!$V$8)),1,0))</f>
        <v>0</v>
      </c>
      <c r="L659" s="61" t="str">
        <f aca="false">IF(LEN(A659&amp;"")=0,"",J659-I659)</f>
        <v/>
      </c>
      <c r="M659" s="1" t="n">
        <f aca="false">IF(LEN(A659&amp;"")=0,0,IF(COUNTIFS(Base!$A$7:$A$1006,A659)&gt;1,1,0))</f>
        <v>0</v>
      </c>
      <c r="N659" s="1" t="n">
        <f aca="false">IF(LEN(A659&amp;"")=0,0,IF(ABS(L659)&gt;0.005,1,0))</f>
        <v>0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customFormat="false" ht="23" hidden="false" customHeight="true" outlineLevel="0" collapsed="false">
      <c r="A660" s="1" t="str">
        <f aca="false">IF(LEN(Base!A660&amp;"")=0,"",Base!A660)</f>
        <v/>
      </c>
      <c r="B660" s="60" t="str">
        <f aca="false">IF(LEN(A660&amp;"")=0,"",Base!D660)</f>
        <v/>
      </c>
      <c r="C660" s="1" t="str">
        <f aca="false">IF(LEN(A660&amp;"")=0,"",Base!C660)</f>
        <v/>
      </c>
      <c r="D660" s="1" t="str">
        <f aca="false">IF(LEN(A660&amp;"")=0,"",Base!G660)</f>
        <v/>
      </c>
      <c r="E660" s="1" t="str">
        <f aca="false">IF(LEN(A660&amp;"")=0,"",Base!E660)</f>
        <v/>
      </c>
      <c r="F660" s="61" t="str">
        <f aca="false">IF(LEN(A660&amp;"")=0,"",IF(Base!I660="-",0,Base!I660))</f>
        <v/>
      </c>
      <c r="G660" s="61" t="str">
        <f aca="false">IF(LEN(A660&amp;"")=0,"",SUM(Base!F660,F660,Base!K660))</f>
        <v/>
      </c>
      <c r="H660" s="61" t="str">
        <f aca="false">IF(LEN(A660&amp;"")=0,"",Base!L660)</f>
        <v/>
      </c>
      <c r="I660" s="61" t="str">
        <f aca="false">IF(LEN(A660&amp;"")=0,"",G660-H660)</f>
        <v/>
      </c>
      <c r="J660" s="61" t="str">
        <f aca="false">IF(LEN(A660&amp;"")=0,"",Base!M660)</f>
        <v/>
      </c>
      <c r="K660" s="1" t="n">
        <f aca="false">IF(OR(LEN(A660&amp;"")=0,$P$3=0),0,IF(AND(B660&gt;=Painel!$B$8,B660&lt;=Painel!$G$8,OR(Painel!$L$8="Todos",C660=Painel!$L$8),OR(Painel!$Q$8="Todos",D660=Painel!$Q$8),OR(Painel!$V$8="Todas",E660=Painel!$V$8)),1,0))</f>
        <v>0</v>
      </c>
      <c r="L660" s="61" t="str">
        <f aca="false">IF(LEN(A660&amp;"")=0,"",J660-I660)</f>
        <v/>
      </c>
      <c r="M660" s="1" t="n">
        <f aca="false">IF(LEN(A660&amp;"")=0,0,IF(COUNTIFS(Base!$A$7:$A$1006,A660)&gt;1,1,0))</f>
        <v>0</v>
      </c>
      <c r="N660" s="1" t="n">
        <f aca="false">IF(LEN(A660&amp;"")=0,0,IF(ABS(L660)&gt;0.005,1,0))</f>
        <v>0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customFormat="false" ht="23" hidden="false" customHeight="true" outlineLevel="0" collapsed="false">
      <c r="A661" s="1" t="str">
        <f aca="false">IF(LEN(Base!A661&amp;"")=0,"",Base!A661)</f>
        <v/>
      </c>
      <c r="B661" s="60" t="str">
        <f aca="false">IF(LEN(A661&amp;"")=0,"",Base!D661)</f>
        <v/>
      </c>
      <c r="C661" s="1" t="str">
        <f aca="false">IF(LEN(A661&amp;"")=0,"",Base!C661)</f>
        <v/>
      </c>
      <c r="D661" s="1" t="str">
        <f aca="false">IF(LEN(A661&amp;"")=0,"",Base!G661)</f>
        <v/>
      </c>
      <c r="E661" s="1" t="str">
        <f aca="false">IF(LEN(A661&amp;"")=0,"",Base!E661)</f>
        <v/>
      </c>
      <c r="F661" s="61" t="str">
        <f aca="false">IF(LEN(A661&amp;"")=0,"",IF(Base!I661="-",0,Base!I661))</f>
        <v/>
      </c>
      <c r="G661" s="61" t="str">
        <f aca="false">IF(LEN(A661&amp;"")=0,"",SUM(Base!F661,F661,Base!K661))</f>
        <v/>
      </c>
      <c r="H661" s="61" t="str">
        <f aca="false">IF(LEN(A661&amp;"")=0,"",Base!L661)</f>
        <v/>
      </c>
      <c r="I661" s="61" t="str">
        <f aca="false">IF(LEN(A661&amp;"")=0,"",G661-H661)</f>
        <v/>
      </c>
      <c r="J661" s="61" t="str">
        <f aca="false">IF(LEN(A661&amp;"")=0,"",Base!M661)</f>
        <v/>
      </c>
      <c r="K661" s="1" t="n">
        <f aca="false">IF(OR(LEN(A661&amp;"")=0,$P$3=0),0,IF(AND(B661&gt;=Painel!$B$8,B661&lt;=Painel!$G$8,OR(Painel!$L$8="Todos",C661=Painel!$L$8),OR(Painel!$Q$8="Todos",D661=Painel!$Q$8),OR(Painel!$V$8="Todas",E661=Painel!$V$8)),1,0))</f>
        <v>0</v>
      </c>
      <c r="L661" s="61" t="str">
        <f aca="false">IF(LEN(A661&amp;"")=0,"",J661-I661)</f>
        <v/>
      </c>
      <c r="M661" s="1" t="n">
        <f aca="false">IF(LEN(A661&amp;"")=0,0,IF(COUNTIFS(Base!$A$7:$A$1006,A661)&gt;1,1,0))</f>
        <v>0</v>
      </c>
      <c r="N661" s="1" t="n">
        <f aca="false">IF(LEN(A661&amp;"")=0,0,IF(ABS(L661)&gt;0.005,1,0))</f>
        <v>0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customFormat="false" ht="23" hidden="false" customHeight="true" outlineLevel="0" collapsed="false">
      <c r="A662" s="1" t="str">
        <f aca="false">IF(LEN(Base!A662&amp;"")=0,"",Base!A662)</f>
        <v/>
      </c>
      <c r="B662" s="60" t="str">
        <f aca="false">IF(LEN(A662&amp;"")=0,"",Base!D662)</f>
        <v/>
      </c>
      <c r="C662" s="1" t="str">
        <f aca="false">IF(LEN(A662&amp;"")=0,"",Base!C662)</f>
        <v/>
      </c>
      <c r="D662" s="1" t="str">
        <f aca="false">IF(LEN(A662&amp;"")=0,"",Base!G662)</f>
        <v/>
      </c>
      <c r="E662" s="1" t="str">
        <f aca="false">IF(LEN(A662&amp;"")=0,"",Base!E662)</f>
        <v/>
      </c>
      <c r="F662" s="61" t="str">
        <f aca="false">IF(LEN(A662&amp;"")=0,"",IF(Base!I662="-",0,Base!I662))</f>
        <v/>
      </c>
      <c r="G662" s="61" t="str">
        <f aca="false">IF(LEN(A662&amp;"")=0,"",SUM(Base!F662,F662,Base!K662))</f>
        <v/>
      </c>
      <c r="H662" s="61" t="str">
        <f aca="false">IF(LEN(A662&amp;"")=0,"",Base!L662)</f>
        <v/>
      </c>
      <c r="I662" s="61" t="str">
        <f aca="false">IF(LEN(A662&amp;"")=0,"",G662-H662)</f>
        <v/>
      </c>
      <c r="J662" s="61" t="str">
        <f aca="false">IF(LEN(A662&amp;"")=0,"",Base!M662)</f>
        <v/>
      </c>
      <c r="K662" s="1" t="n">
        <f aca="false">IF(OR(LEN(A662&amp;"")=0,$P$3=0),0,IF(AND(B662&gt;=Painel!$B$8,B662&lt;=Painel!$G$8,OR(Painel!$L$8="Todos",C662=Painel!$L$8),OR(Painel!$Q$8="Todos",D662=Painel!$Q$8),OR(Painel!$V$8="Todas",E662=Painel!$V$8)),1,0))</f>
        <v>0</v>
      </c>
      <c r="L662" s="61" t="str">
        <f aca="false">IF(LEN(A662&amp;"")=0,"",J662-I662)</f>
        <v/>
      </c>
      <c r="M662" s="1" t="n">
        <f aca="false">IF(LEN(A662&amp;"")=0,0,IF(COUNTIFS(Base!$A$7:$A$1006,A662)&gt;1,1,0))</f>
        <v>0</v>
      </c>
      <c r="N662" s="1" t="n">
        <f aca="false">IF(LEN(A662&amp;"")=0,0,IF(ABS(L662)&gt;0.005,1,0))</f>
        <v>0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customFormat="false" ht="23" hidden="false" customHeight="true" outlineLevel="0" collapsed="false">
      <c r="A663" s="1" t="str">
        <f aca="false">IF(LEN(Base!A663&amp;"")=0,"",Base!A663)</f>
        <v/>
      </c>
      <c r="B663" s="60" t="str">
        <f aca="false">IF(LEN(A663&amp;"")=0,"",Base!D663)</f>
        <v/>
      </c>
      <c r="C663" s="1" t="str">
        <f aca="false">IF(LEN(A663&amp;"")=0,"",Base!C663)</f>
        <v/>
      </c>
      <c r="D663" s="1" t="str">
        <f aca="false">IF(LEN(A663&amp;"")=0,"",Base!G663)</f>
        <v/>
      </c>
      <c r="E663" s="1" t="str">
        <f aca="false">IF(LEN(A663&amp;"")=0,"",Base!E663)</f>
        <v/>
      </c>
      <c r="F663" s="61" t="str">
        <f aca="false">IF(LEN(A663&amp;"")=0,"",IF(Base!I663="-",0,Base!I663))</f>
        <v/>
      </c>
      <c r="G663" s="61" t="str">
        <f aca="false">IF(LEN(A663&amp;"")=0,"",SUM(Base!F663,F663,Base!K663))</f>
        <v/>
      </c>
      <c r="H663" s="61" t="str">
        <f aca="false">IF(LEN(A663&amp;"")=0,"",Base!L663)</f>
        <v/>
      </c>
      <c r="I663" s="61" t="str">
        <f aca="false">IF(LEN(A663&amp;"")=0,"",G663-H663)</f>
        <v/>
      </c>
      <c r="J663" s="61" t="str">
        <f aca="false">IF(LEN(A663&amp;"")=0,"",Base!M663)</f>
        <v/>
      </c>
      <c r="K663" s="1" t="n">
        <f aca="false">IF(OR(LEN(A663&amp;"")=0,$P$3=0),0,IF(AND(B663&gt;=Painel!$B$8,B663&lt;=Painel!$G$8,OR(Painel!$L$8="Todos",C663=Painel!$L$8),OR(Painel!$Q$8="Todos",D663=Painel!$Q$8),OR(Painel!$V$8="Todas",E663=Painel!$V$8)),1,0))</f>
        <v>0</v>
      </c>
      <c r="L663" s="61" t="str">
        <f aca="false">IF(LEN(A663&amp;"")=0,"",J663-I663)</f>
        <v/>
      </c>
      <c r="M663" s="1" t="n">
        <f aca="false">IF(LEN(A663&amp;"")=0,0,IF(COUNTIFS(Base!$A$7:$A$1006,A663)&gt;1,1,0))</f>
        <v>0</v>
      </c>
      <c r="N663" s="1" t="n">
        <f aca="false">IF(LEN(A663&amp;"")=0,0,IF(ABS(L663)&gt;0.005,1,0))</f>
        <v>0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customFormat="false" ht="23" hidden="false" customHeight="true" outlineLevel="0" collapsed="false">
      <c r="A664" s="1" t="str">
        <f aca="false">IF(LEN(Base!A664&amp;"")=0,"",Base!A664)</f>
        <v/>
      </c>
      <c r="B664" s="60" t="str">
        <f aca="false">IF(LEN(A664&amp;"")=0,"",Base!D664)</f>
        <v/>
      </c>
      <c r="C664" s="1" t="str">
        <f aca="false">IF(LEN(A664&amp;"")=0,"",Base!C664)</f>
        <v/>
      </c>
      <c r="D664" s="1" t="str">
        <f aca="false">IF(LEN(A664&amp;"")=0,"",Base!G664)</f>
        <v/>
      </c>
      <c r="E664" s="1" t="str">
        <f aca="false">IF(LEN(A664&amp;"")=0,"",Base!E664)</f>
        <v/>
      </c>
      <c r="F664" s="61" t="str">
        <f aca="false">IF(LEN(A664&amp;"")=0,"",IF(Base!I664="-",0,Base!I664))</f>
        <v/>
      </c>
      <c r="G664" s="61" t="str">
        <f aca="false">IF(LEN(A664&amp;"")=0,"",SUM(Base!F664,F664,Base!K664))</f>
        <v/>
      </c>
      <c r="H664" s="61" t="str">
        <f aca="false">IF(LEN(A664&amp;"")=0,"",Base!L664)</f>
        <v/>
      </c>
      <c r="I664" s="61" t="str">
        <f aca="false">IF(LEN(A664&amp;"")=0,"",G664-H664)</f>
        <v/>
      </c>
      <c r="J664" s="61" t="str">
        <f aca="false">IF(LEN(A664&amp;"")=0,"",Base!M664)</f>
        <v/>
      </c>
      <c r="K664" s="1" t="n">
        <f aca="false">IF(OR(LEN(A664&amp;"")=0,$P$3=0),0,IF(AND(B664&gt;=Painel!$B$8,B664&lt;=Painel!$G$8,OR(Painel!$L$8="Todos",C664=Painel!$L$8),OR(Painel!$Q$8="Todos",D664=Painel!$Q$8),OR(Painel!$V$8="Todas",E664=Painel!$V$8)),1,0))</f>
        <v>0</v>
      </c>
      <c r="L664" s="61" t="str">
        <f aca="false">IF(LEN(A664&amp;"")=0,"",J664-I664)</f>
        <v/>
      </c>
      <c r="M664" s="1" t="n">
        <f aca="false">IF(LEN(A664&amp;"")=0,0,IF(COUNTIFS(Base!$A$7:$A$1006,A664)&gt;1,1,0))</f>
        <v>0</v>
      </c>
      <c r="N664" s="1" t="n">
        <f aca="false">IF(LEN(A664&amp;"")=0,0,IF(ABS(L664)&gt;0.005,1,0))</f>
        <v>0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customFormat="false" ht="23" hidden="false" customHeight="true" outlineLevel="0" collapsed="false">
      <c r="A665" s="1" t="str">
        <f aca="false">IF(LEN(Base!A665&amp;"")=0,"",Base!A665)</f>
        <v/>
      </c>
      <c r="B665" s="60" t="str">
        <f aca="false">IF(LEN(A665&amp;"")=0,"",Base!D665)</f>
        <v/>
      </c>
      <c r="C665" s="1" t="str">
        <f aca="false">IF(LEN(A665&amp;"")=0,"",Base!C665)</f>
        <v/>
      </c>
      <c r="D665" s="1" t="str">
        <f aca="false">IF(LEN(A665&amp;"")=0,"",Base!G665)</f>
        <v/>
      </c>
      <c r="E665" s="1" t="str">
        <f aca="false">IF(LEN(A665&amp;"")=0,"",Base!E665)</f>
        <v/>
      </c>
      <c r="F665" s="61" t="str">
        <f aca="false">IF(LEN(A665&amp;"")=0,"",IF(Base!I665="-",0,Base!I665))</f>
        <v/>
      </c>
      <c r="G665" s="61" t="str">
        <f aca="false">IF(LEN(A665&amp;"")=0,"",SUM(Base!F665,F665,Base!K665))</f>
        <v/>
      </c>
      <c r="H665" s="61" t="str">
        <f aca="false">IF(LEN(A665&amp;"")=0,"",Base!L665)</f>
        <v/>
      </c>
      <c r="I665" s="61" t="str">
        <f aca="false">IF(LEN(A665&amp;"")=0,"",G665-H665)</f>
        <v/>
      </c>
      <c r="J665" s="61" t="str">
        <f aca="false">IF(LEN(A665&amp;"")=0,"",Base!M665)</f>
        <v/>
      </c>
      <c r="K665" s="1" t="n">
        <f aca="false">IF(OR(LEN(A665&amp;"")=0,$P$3=0),0,IF(AND(B665&gt;=Painel!$B$8,B665&lt;=Painel!$G$8,OR(Painel!$L$8="Todos",C665=Painel!$L$8),OR(Painel!$Q$8="Todos",D665=Painel!$Q$8),OR(Painel!$V$8="Todas",E665=Painel!$V$8)),1,0))</f>
        <v>0</v>
      </c>
      <c r="L665" s="61" t="str">
        <f aca="false">IF(LEN(A665&amp;"")=0,"",J665-I665)</f>
        <v/>
      </c>
      <c r="M665" s="1" t="n">
        <f aca="false">IF(LEN(A665&amp;"")=0,0,IF(COUNTIFS(Base!$A$7:$A$1006,A665)&gt;1,1,0))</f>
        <v>0</v>
      </c>
      <c r="N665" s="1" t="n">
        <f aca="false">IF(LEN(A665&amp;"")=0,0,IF(ABS(L665)&gt;0.005,1,0))</f>
        <v>0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customFormat="false" ht="23" hidden="false" customHeight="true" outlineLevel="0" collapsed="false">
      <c r="A666" s="1" t="str">
        <f aca="false">IF(LEN(Base!A666&amp;"")=0,"",Base!A666)</f>
        <v/>
      </c>
      <c r="B666" s="60" t="str">
        <f aca="false">IF(LEN(A666&amp;"")=0,"",Base!D666)</f>
        <v/>
      </c>
      <c r="C666" s="1" t="str">
        <f aca="false">IF(LEN(A666&amp;"")=0,"",Base!C666)</f>
        <v/>
      </c>
      <c r="D666" s="1" t="str">
        <f aca="false">IF(LEN(A666&amp;"")=0,"",Base!G666)</f>
        <v/>
      </c>
      <c r="E666" s="1" t="str">
        <f aca="false">IF(LEN(A666&amp;"")=0,"",Base!E666)</f>
        <v/>
      </c>
      <c r="F666" s="61" t="str">
        <f aca="false">IF(LEN(A666&amp;"")=0,"",IF(Base!I666="-",0,Base!I666))</f>
        <v/>
      </c>
      <c r="G666" s="61" t="str">
        <f aca="false">IF(LEN(A666&amp;"")=0,"",SUM(Base!F666,F666,Base!K666))</f>
        <v/>
      </c>
      <c r="H666" s="61" t="str">
        <f aca="false">IF(LEN(A666&amp;"")=0,"",Base!L666)</f>
        <v/>
      </c>
      <c r="I666" s="61" t="str">
        <f aca="false">IF(LEN(A666&amp;"")=0,"",G666-H666)</f>
        <v/>
      </c>
      <c r="J666" s="61" t="str">
        <f aca="false">IF(LEN(A666&amp;"")=0,"",Base!M666)</f>
        <v/>
      </c>
      <c r="K666" s="1" t="n">
        <f aca="false">IF(OR(LEN(A666&amp;"")=0,$P$3=0),0,IF(AND(B666&gt;=Painel!$B$8,B666&lt;=Painel!$G$8,OR(Painel!$L$8="Todos",C666=Painel!$L$8),OR(Painel!$Q$8="Todos",D666=Painel!$Q$8),OR(Painel!$V$8="Todas",E666=Painel!$V$8)),1,0))</f>
        <v>0</v>
      </c>
      <c r="L666" s="61" t="str">
        <f aca="false">IF(LEN(A666&amp;"")=0,"",J666-I666)</f>
        <v/>
      </c>
      <c r="M666" s="1" t="n">
        <f aca="false">IF(LEN(A666&amp;"")=0,0,IF(COUNTIFS(Base!$A$7:$A$1006,A666)&gt;1,1,0))</f>
        <v>0</v>
      </c>
      <c r="N666" s="1" t="n">
        <f aca="false">IF(LEN(A666&amp;"")=0,0,IF(ABS(L666)&gt;0.005,1,0))</f>
        <v>0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customFormat="false" ht="23" hidden="false" customHeight="true" outlineLevel="0" collapsed="false">
      <c r="A667" s="1" t="str">
        <f aca="false">IF(LEN(Base!A667&amp;"")=0,"",Base!A667)</f>
        <v/>
      </c>
      <c r="B667" s="60" t="str">
        <f aca="false">IF(LEN(A667&amp;"")=0,"",Base!D667)</f>
        <v/>
      </c>
      <c r="C667" s="1" t="str">
        <f aca="false">IF(LEN(A667&amp;"")=0,"",Base!C667)</f>
        <v/>
      </c>
      <c r="D667" s="1" t="str">
        <f aca="false">IF(LEN(A667&amp;"")=0,"",Base!G667)</f>
        <v/>
      </c>
      <c r="E667" s="1" t="str">
        <f aca="false">IF(LEN(A667&amp;"")=0,"",Base!E667)</f>
        <v/>
      </c>
      <c r="F667" s="61" t="str">
        <f aca="false">IF(LEN(A667&amp;"")=0,"",IF(Base!I667="-",0,Base!I667))</f>
        <v/>
      </c>
      <c r="G667" s="61" t="str">
        <f aca="false">IF(LEN(A667&amp;"")=0,"",SUM(Base!F667,F667,Base!K667))</f>
        <v/>
      </c>
      <c r="H667" s="61" t="str">
        <f aca="false">IF(LEN(A667&amp;"")=0,"",Base!L667)</f>
        <v/>
      </c>
      <c r="I667" s="61" t="str">
        <f aca="false">IF(LEN(A667&amp;"")=0,"",G667-H667)</f>
        <v/>
      </c>
      <c r="J667" s="61" t="str">
        <f aca="false">IF(LEN(A667&amp;"")=0,"",Base!M667)</f>
        <v/>
      </c>
      <c r="K667" s="1" t="n">
        <f aca="false">IF(OR(LEN(A667&amp;"")=0,$P$3=0),0,IF(AND(B667&gt;=Painel!$B$8,B667&lt;=Painel!$G$8,OR(Painel!$L$8="Todos",C667=Painel!$L$8),OR(Painel!$Q$8="Todos",D667=Painel!$Q$8),OR(Painel!$V$8="Todas",E667=Painel!$V$8)),1,0))</f>
        <v>0</v>
      </c>
      <c r="L667" s="61" t="str">
        <f aca="false">IF(LEN(A667&amp;"")=0,"",J667-I667)</f>
        <v/>
      </c>
      <c r="M667" s="1" t="n">
        <f aca="false">IF(LEN(A667&amp;"")=0,0,IF(COUNTIFS(Base!$A$7:$A$1006,A667)&gt;1,1,0))</f>
        <v>0</v>
      </c>
      <c r="N667" s="1" t="n">
        <f aca="false">IF(LEN(A667&amp;"")=0,0,IF(ABS(L667)&gt;0.005,1,0))</f>
        <v>0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customFormat="false" ht="23" hidden="false" customHeight="true" outlineLevel="0" collapsed="false">
      <c r="A668" s="1" t="str">
        <f aca="false">IF(LEN(Base!A668&amp;"")=0,"",Base!A668)</f>
        <v/>
      </c>
      <c r="B668" s="60" t="str">
        <f aca="false">IF(LEN(A668&amp;"")=0,"",Base!D668)</f>
        <v/>
      </c>
      <c r="C668" s="1" t="str">
        <f aca="false">IF(LEN(A668&amp;"")=0,"",Base!C668)</f>
        <v/>
      </c>
      <c r="D668" s="1" t="str">
        <f aca="false">IF(LEN(A668&amp;"")=0,"",Base!G668)</f>
        <v/>
      </c>
      <c r="E668" s="1" t="str">
        <f aca="false">IF(LEN(A668&amp;"")=0,"",Base!E668)</f>
        <v/>
      </c>
      <c r="F668" s="61" t="str">
        <f aca="false">IF(LEN(A668&amp;"")=0,"",IF(Base!I668="-",0,Base!I668))</f>
        <v/>
      </c>
      <c r="G668" s="61" t="str">
        <f aca="false">IF(LEN(A668&amp;"")=0,"",SUM(Base!F668,F668,Base!K668))</f>
        <v/>
      </c>
      <c r="H668" s="61" t="str">
        <f aca="false">IF(LEN(A668&amp;"")=0,"",Base!L668)</f>
        <v/>
      </c>
      <c r="I668" s="61" t="str">
        <f aca="false">IF(LEN(A668&amp;"")=0,"",G668-H668)</f>
        <v/>
      </c>
      <c r="J668" s="61" t="str">
        <f aca="false">IF(LEN(A668&amp;"")=0,"",Base!M668)</f>
        <v/>
      </c>
      <c r="K668" s="1" t="n">
        <f aca="false">IF(OR(LEN(A668&amp;"")=0,$P$3=0),0,IF(AND(B668&gt;=Painel!$B$8,B668&lt;=Painel!$G$8,OR(Painel!$L$8="Todos",C668=Painel!$L$8),OR(Painel!$Q$8="Todos",D668=Painel!$Q$8),OR(Painel!$V$8="Todas",E668=Painel!$V$8)),1,0))</f>
        <v>0</v>
      </c>
      <c r="L668" s="61" t="str">
        <f aca="false">IF(LEN(A668&amp;"")=0,"",J668-I668)</f>
        <v/>
      </c>
      <c r="M668" s="1" t="n">
        <f aca="false">IF(LEN(A668&amp;"")=0,0,IF(COUNTIFS(Base!$A$7:$A$1006,A668)&gt;1,1,0))</f>
        <v>0</v>
      </c>
      <c r="N668" s="1" t="n">
        <f aca="false">IF(LEN(A668&amp;"")=0,0,IF(ABS(L668)&gt;0.005,1,0))</f>
        <v>0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customFormat="false" ht="23" hidden="false" customHeight="true" outlineLevel="0" collapsed="false">
      <c r="A669" s="1" t="str">
        <f aca="false">IF(LEN(Base!A669&amp;"")=0,"",Base!A669)</f>
        <v/>
      </c>
      <c r="B669" s="60" t="str">
        <f aca="false">IF(LEN(A669&amp;"")=0,"",Base!D669)</f>
        <v/>
      </c>
      <c r="C669" s="1" t="str">
        <f aca="false">IF(LEN(A669&amp;"")=0,"",Base!C669)</f>
        <v/>
      </c>
      <c r="D669" s="1" t="str">
        <f aca="false">IF(LEN(A669&amp;"")=0,"",Base!G669)</f>
        <v/>
      </c>
      <c r="E669" s="1" t="str">
        <f aca="false">IF(LEN(A669&amp;"")=0,"",Base!E669)</f>
        <v/>
      </c>
      <c r="F669" s="61" t="str">
        <f aca="false">IF(LEN(A669&amp;"")=0,"",IF(Base!I669="-",0,Base!I669))</f>
        <v/>
      </c>
      <c r="G669" s="61" t="str">
        <f aca="false">IF(LEN(A669&amp;"")=0,"",SUM(Base!F669,F669,Base!K669))</f>
        <v/>
      </c>
      <c r="H669" s="61" t="str">
        <f aca="false">IF(LEN(A669&amp;"")=0,"",Base!L669)</f>
        <v/>
      </c>
      <c r="I669" s="61" t="str">
        <f aca="false">IF(LEN(A669&amp;"")=0,"",G669-H669)</f>
        <v/>
      </c>
      <c r="J669" s="61" t="str">
        <f aca="false">IF(LEN(A669&amp;"")=0,"",Base!M669)</f>
        <v/>
      </c>
      <c r="K669" s="1" t="n">
        <f aca="false">IF(OR(LEN(A669&amp;"")=0,$P$3=0),0,IF(AND(B669&gt;=Painel!$B$8,B669&lt;=Painel!$G$8,OR(Painel!$L$8="Todos",C669=Painel!$L$8),OR(Painel!$Q$8="Todos",D669=Painel!$Q$8),OR(Painel!$V$8="Todas",E669=Painel!$V$8)),1,0))</f>
        <v>0</v>
      </c>
      <c r="L669" s="61" t="str">
        <f aca="false">IF(LEN(A669&amp;"")=0,"",J669-I669)</f>
        <v/>
      </c>
      <c r="M669" s="1" t="n">
        <f aca="false">IF(LEN(A669&amp;"")=0,0,IF(COUNTIFS(Base!$A$7:$A$1006,A669)&gt;1,1,0))</f>
        <v>0</v>
      </c>
      <c r="N669" s="1" t="n">
        <f aca="false">IF(LEN(A669&amp;"")=0,0,IF(ABS(L669)&gt;0.005,1,0))</f>
        <v>0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customFormat="false" ht="23" hidden="false" customHeight="true" outlineLevel="0" collapsed="false">
      <c r="A670" s="1" t="str">
        <f aca="false">IF(LEN(Base!A670&amp;"")=0,"",Base!A670)</f>
        <v/>
      </c>
      <c r="B670" s="60" t="str">
        <f aca="false">IF(LEN(A670&amp;"")=0,"",Base!D670)</f>
        <v/>
      </c>
      <c r="C670" s="1" t="str">
        <f aca="false">IF(LEN(A670&amp;"")=0,"",Base!C670)</f>
        <v/>
      </c>
      <c r="D670" s="1" t="str">
        <f aca="false">IF(LEN(A670&amp;"")=0,"",Base!G670)</f>
        <v/>
      </c>
      <c r="E670" s="1" t="str">
        <f aca="false">IF(LEN(A670&amp;"")=0,"",Base!E670)</f>
        <v/>
      </c>
      <c r="F670" s="61" t="str">
        <f aca="false">IF(LEN(A670&amp;"")=0,"",IF(Base!I670="-",0,Base!I670))</f>
        <v/>
      </c>
      <c r="G670" s="61" t="str">
        <f aca="false">IF(LEN(A670&amp;"")=0,"",SUM(Base!F670,F670,Base!K670))</f>
        <v/>
      </c>
      <c r="H670" s="61" t="str">
        <f aca="false">IF(LEN(A670&amp;"")=0,"",Base!L670)</f>
        <v/>
      </c>
      <c r="I670" s="61" t="str">
        <f aca="false">IF(LEN(A670&amp;"")=0,"",G670-H670)</f>
        <v/>
      </c>
      <c r="J670" s="61" t="str">
        <f aca="false">IF(LEN(A670&amp;"")=0,"",Base!M670)</f>
        <v/>
      </c>
      <c r="K670" s="1" t="n">
        <f aca="false">IF(OR(LEN(A670&amp;"")=0,$P$3=0),0,IF(AND(B670&gt;=Painel!$B$8,B670&lt;=Painel!$G$8,OR(Painel!$L$8="Todos",C670=Painel!$L$8),OR(Painel!$Q$8="Todos",D670=Painel!$Q$8),OR(Painel!$V$8="Todas",E670=Painel!$V$8)),1,0))</f>
        <v>0</v>
      </c>
      <c r="L670" s="61" t="str">
        <f aca="false">IF(LEN(A670&amp;"")=0,"",J670-I670)</f>
        <v/>
      </c>
      <c r="M670" s="1" t="n">
        <f aca="false">IF(LEN(A670&amp;"")=0,0,IF(COUNTIFS(Base!$A$7:$A$1006,A670)&gt;1,1,0))</f>
        <v>0</v>
      </c>
      <c r="N670" s="1" t="n">
        <f aca="false">IF(LEN(A670&amp;"")=0,0,IF(ABS(L670)&gt;0.005,1,0))</f>
        <v>0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customFormat="false" ht="23" hidden="false" customHeight="true" outlineLevel="0" collapsed="false">
      <c r="A671" s="1" t="str">
        <f aca="false">IF(LEN(Base!A671&amp;"")=0,"",Base!A671)</f>
        <v/>
      </c>
      <c r="B671" s="60" t="str">
        <f aca="false">IF(LEN(A671&amp;"")=0,"",Base!D671)</f>
        <v/>
      </c>
      <c r="C671" s="1" t="str">
        <f aca="false">IF(LEN(A671&amp;"")=0,"",Base!C671)</f>
        <v/>
      </c>
      <c r="D671" s="1" t="str">
        <f aca="false">IF(LEN(A671&amp;"")=0,"",Base!G671)</f>
        <v/>
      </c>
      <c r="E671" s="1" t="str">
        <f aca="false">IF(LEN(A671&amp;"")=0,"",Base!E671)</f>
        <v/>
      </c>
      <c r="F671" s="61" t="str">
        <f aca="false">IF(LEN(A671&amp;"")=0,"",IF(Base!I671="-",0,Base!I671))</f>
        <v/>
      </c>
      <c r="G671" s="61" t="str">
        <f aca="false">IF(LEN(A671&amp;"")=0,"",SUM(Base!F671,F671,Base!K671))</f>
        <v/>
      </c>
      <c r="H671" s="61" t="str">
        <f aca="false">IF(LEN(A671&amp;"")=0,"",Base!L671)</f>
        <v/>
      </c>
      <c r="I671" s="61" t="str">
        <f aca="false">IF(LEN(A671&amp;"")=0,"",G671-H671)</f>
        <v/>
      </c>
      <c r="J671" s="61" t="str">
        <f aca="false">IF(LEN(A671&amp;"")=0,"",Base!M671)</f>
        <v/>
      </c>
      <c r="K671" s="1" t="n">
        <f aca="false">IF(OR(LEN(A671&amp;"")=0,$P$3=0),0,IF(AND(B671&gt;=Painel!$B$8,B671&lt;=Painel!$G$8,OR(Painel!$L$8="Todos",C671=Painel!$L$8),OR(Painel!$Q$8="Todos",D671=Painel!$Q$8),OR(Painel!$V$8="Todas",E671=Painel!$V$8)),1,0))</f>
        <v>0</v>
      </c>
      <c r="L671" s="61" t="str">
        <f aca="false">IF(LEN(A671&amp;"")=0,"",J671-I671)</f>
        <v/>
      </c>
      <c r="M671" s="1" t="n">
        <f aca="false">IF(LEN(A671&amp;"")=0,0,IF(COUNTIFS(Base!$A$7:$A$1006,A671)&gt;1,1,0))</f>
        <v>0</v>
      </c>
      <c r="N671" s="1" t="n">
        <f aca="false">IF(LEN(A671&amp;"")=0,0,IF(ABS(L671)&gt;0.005,1,0))</f>
        <v>0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customFormat="false" ht="23" hidden="false" customHeight="true" outlineLevel="0" collapsed="false">
      <c r="A672" s="1" t="str">
        <f aca="false">IF(LEN(Base!A672&amp;"")=0,"",Base!A672)</f>
        <v/>
      </c>
      <c r="B672" s="60" t="str">
        <f aca="false">IF(LEN(A672&amp;"")=0,"",Base!D672)</f>
        <v/>
      </c>
      <c r="C672" s="1" t="str">
        <f aca="false">IF(LEN(A672&amp;"")=0,"",Base!C672)</f>
        <v/>
      </c>
      <c r="D672" s="1" t="str">
        <f aca="false">IF(LEN(A672&amp;"")=0,"",Base!G672)</f>
        <v/>
      </c>
      <c r="E672" s="1" t="str">
        <f aca="false">IF(LEN(A672&amp;"")=0,"",Base!E672)</f>
        <v/>
      </c>
      <c r="F672" s="61" t="str">
        <f aca="false">IF(LEN(A672&amp;"")=0,"",IF(Base!I672="-",0,Base!I672))</f>
        <v/>
      </c>
      <c r="G672" s="61" t="str">
        <f aca="false">IF(LEN(A672&amp;"")=0,"",SUM(Base!F672,F672,Base!K672))</f>
        <v/>
      </c>
      <c r="H672" s="61" t="str">
        <f aca="false">IF(LEN(A672&amp;"")=0,"",Base!L672)</f>
        <v/>
      </c>
      <c r="I672" s="61" t="str">
        <f aca="false">IF(LEN(A672&amp;"")=0,"",G672-H672)</f>
        <v/>
      </c>
      <c r="J672" s="61" t="str">
        <f aca="false">IF(LEN(A672&amp;"")=0,"",Base!M672)</f>
        <v/>
      </c>
      <c r="K672" s="1" t="n">
        <f aca="false">IF(OR(LEN(A672&amp;"")=0,$P$3=0),0,IF(AND(B672&gt;=Painel!$B$8,B672&lt;=Painel!$G$8,OR(Painel!$L$8="Todos",C672=Painel!$L$8),OR(Painel!$Q$8="Todos",D672=Painel!$Q$8),OR(Painel!$V$8="Todas",E672=Painel!$V$8)),1,0))</f>
        <v>0</v>
      </c>
      <c r="L672" s="61" t="str">
        <f aca="false">IF(LEN(A672&amp;"")=0,"",J672-I672)</f>
        <v/>
      </c>
      <c r="M672" s="1" t="n">
        <f aca="false">IF(LEN(A672&amp;"")=0,0,IF(COUNTIFS(Base!$A$7:$A$1006,A672)&gt;1,1,0))</f>
        <v>0</v>
      </c>
      <c r="N672" s="1" t="n">
        <f aca="false">IF(LEN(A672&amp;"")=0,0,IF(ABS(L672)&gt;0.005,1,0))</f>
        <v>0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customFormat="false" ht="23" hidden="false" customHeight="true" outlineLevel="0" collapsed="false">
      <c r="A673" s="1" t="str">
        <f aca="false">IF(LEN(Base!A673&amp;"")=0,"",Base!A673)</f>
        <v/>
      </c>
      <c r="B673" s="60" t="str">
        <f aca="false">IF(LEN(A673&amp;"")=0,"",Base!D673)</f>
        <v/>
      </c>
      <c r="C673" s="1" t="str">
        <f aca="false">IF(LEN(A673&amp;"")=0,"",Base!C673)</f>
        <v/>
      </c>
      <c r="D673" s="1" t="str">
        <f aca="false">IF(LEN(A673&amp;"")=0,"",Base!G673)</f>
        <v/>
      </c>
      <c r="E673" s="1" t="str">
        <f aca="false">IF(LEN(A673&amp;"")=0,"",Base!E673)</f>
        <v/>
      </c>
      <c r="F673" s="61" t="str">
        <f aca="false">IF(LEN(A673&amp;"")=0,"",IF(Base!I673="-",0,Base!I673))</f>
        <v/>
      </c>
      <c r="G673" s="61" t="str">
        <f aca="false">IF(LEN(A673&amp;"")=0,"",SUM(Base!F673,F673,Base!K673))</f>
        <v/>
      </c>
      <c r="H673" s="61" t="str">
        <f aca="false">IF(LEN(A673&amp;"")=0,"",Base!L673)</f>
        <v/>
      </c>
      <c r="I673" s="61" t="str">
        <f aca="false">IF(LEN(A673&amp;"")=0,"",G673-H673)</f>
        <v/>
      </c>
      <c r="J673" s="61" t="str">
        <f aca="false">IF(LEN(A673&amp;"")=0,"",Base!M673)</f>
        <v/>
      </c>
      <c r="K673" s="1" t="n">
        <f aca="false">IF(OR(LEN(A673&amp;"")=0,$P$3=0),0,IF(AND(B673&gt;=Painel!$B$8,B673&lt;=Painel!$G$8,OR(Painel!$L$8="Todos",C673=Painel!$L$8),OR(Painel!$Q$8="Todos",D673=Painel!$Q$8),OR(Painel!$V$8="Todas",E673=Painel!$V$8)),1,0))</f>
        <v>0</v>
      </c>
      <c r="L673" s="61" t="str">
        <f aca="false">IF(LEN(A673&amp;"")=0,"",J673-I673)</f>
        <v/>
      </c>
      <c r="M673" s="1" t="n">
        <f aca="false">IF(LEN(A673&amp;"")=0,0,IF(COUNTIFS(Base!$A$7:$A$1006,A673)&gt;1,1,0))</f>
        <v>0</v>
      </c>
      <c r="N673" s="1" t="n">
        <f aca="false">IF(LEN(A673&amp;"")=0,0,IF(ABS(L673)&gt;0.005,1,0))</f>
        <v>0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customFormat="false" ht="23" hidden="false" customHeight="true" outlineLevel="0" collapsed="false">
      <c r="A674" s="1" t="str">
        <f aca="false">IF(LEN(Base!A674&amp;"")=0,"",Base!A674)</f>
        <v/>
      </c>
      <c r="B674" s="60" t="str">
        <f aca="false">IF(LEN(A674&amp;"")=0,"",Base!D674)</f>
        <v/>
      </c>
      <c r="C674" s="1" t="str">
        <f aca="false">IF(LEN(A674&amp;"")=0,"",Base!C674)</f>
        <v/>
      </c>
      <c r="D674" s="1" t="str">
        <f aca="false">IF(LEN(A674&amp;"")=0,"",Base!G674)</f>
        <v/>
      </c>
      <c r="E674" s="1" t="str">
        <f aca="false">IF(LEN(A674&amp;"")=0,"",Base!E674)</f>
        <v/>
      </c>
      <c r="F674" s="61" t="str">
        <f aca="false">IF(LEN(A674&amp;"")=0,"",IF(Base!I674="-",0,Base!I674))</f>
        <v/>
      </c>
      <c r="G674" s="61" t="str">
        <f aca="false">IF(LEN(A674&amp;"")=0,"",SUM(Base!F674,F674,Base!K674))</f>
        <v/>
      </c>
      <c r="H674" s="61" t="str">
        <f aca="false">IF(LEN(A674&amp;"")=0,"",Base!L674)</f>
        <v/>
      </c>
      <c r="I674" s="61" t="str">
        <f aca="false">IF(LEN(A674&amp;"")=0,"",G674-H674)</f>
        <v/>
      </c>
      <c r="J674" s="61" t="str">
        <f aca="false">IF(LEN(A674&amp;"")=0,"",Base!M674)</f>
        <v/>
      </c>
      <c r="K674" s="1" t="n">
        <f aca="false">IF(OR(LEN(A674&amp;"")=0,$P$3=0),0,IF(AND(B674&gt;=Painel!$B$8,B674&lt;=Painel!$G$8,OR(Painel!$L$8="Todos",C674=Painel!$L$8),OR(Painel!$Q$8="Todos",D674=Painel!$Q$8),OR(Painel!$V$8="Todas",E674=Painel!$V$8)),1,0))</f>
        <v>0</v>
      </c>
      <c r="L674" s="61" t="str">
        <f aca="false">IF(LEN(A674&amp;"")=0,"",J674-I674)</f>
        <v/>
      </c>
      <c r="M674" s="1" t="n">
        <f aca="false">IF(LEN(A674&amp;"")=0,0,IF(COUNTIFS(Base!$A$7:$A$1006,A674)&gt;1,1,0))</f>
        <v>0</v>
      </c>
      <c r="N674" s="1" t="n">
        <f aca="false">IF(LEN(A674&amp;"")=0,0,IF(ABS(L674)&gt;0.005,1,0))</f>
        <v>0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customFormat="false" ht="23" hidden="false" customHeight="true" outlineLevel="0" collapsed="false">
      <c r="A675" s="1" t="str">
        <f aca="false">IF(LEN(Base!A675&amp;"")=0,"",Base!A675)</f>
        <v/>
      </c>
      <c r="B675" s="60" t="str">
        <f aca="false">IF(LEN(A675&amp;"")=0,"",Base!D675)</f>
        <v/>
      </c>
      <c r="C675" s="1" t="str">
        <f aca="false">IF(LEN(A675&amp;"")=0,"",Base!C675)</f>
        <v/>
      </c>
      <c r="D675" s="1" t="str">
        <f aca="false">IF(LEN(A675&amp;"")=0,"",Base!G675)</f>
        <v/>
      </c>
      <c r="E675" s="1" t="str">
        <f aca="false">IF(LEN(A675&amp;"")=0,"",Base!E675)</f>
        <v/>
      </c>
      <c r="F675" s="61" t="str">
        <f aca="false">IF(LEN(A675&amp;"")=0,"",IF(Base!I675="-",0,Base!I675))</f>
        <v/>
      </c>
      <c r="G675" s="61" t="str">
        <f aca="false">IF(LEN(A675&amp;"")=0,"",SUM(Base!F675,F675,Base!K675))</f>
        <v/>
      </c>
      <c r="H675" s="61" t="str">
        <f aca="false">IF(LEN(A675&amp;"")=0,"",Base!L675)</f>
        <v/>
      </c>
      <c r="I675" s="61" t="str">
        <f aca="false">IF(LEN(A675&amp;"")=0,"",G675-H675)</f>
        <v/>
      </c>
      <c r="J675" s="61" t="str">
        <f aca="false">IF(LEN(A675&amp;"")=0,"",Base!M675)</f>
        <v/>
      </c>
      <c r="K675" s="1" t="n">
        <f aca="false">IF(OR(LEN(A675&amp;"")=0,$P$3=0),0,IF(AND(B675&gt;=Painel!$B$8,B675&lt;=Painel!$G$8,OR(Painel!$L$8="Todos",C675=Painel!$L$8),OR(Painel!$Q$8="Todos",D675=Painel!$Q$8),OR(Painel!$V$8="Todas",E675=Painel!$V$8)),1,0))</f>
        <v>0</v>
      </c>
      <c r="L675" s="61" t="str">
        <f aca="false">IF(LEN(A675&amp;"")=0,"",J675-I675)</f>
        <v/>
      </c>
      <c r="M675" s="1" t="n">
        <f aca="false">IF(LEN(A675&amp;"")=0,0,IF(COUNTIFS(Base!$A$7:$A$1006,A675)&gt;1,1,0))</f>
        <v>0</v>
      </c>
      <c r="N675" s="1" t="n">
        <f aca="false">IF(LEN(A675&amp;"")=0,0,IF(ABS(L675)&gt;0.005,1,0))</f>
        <v>0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customFormat="false" ht="23" hidden="false" customHeight="true" outlineLevel="0" collapsed="false">
      <c r="A676" s="1" t="str">
        <f aca="false">IF(LEN(Base!A676&amp;"")=0,"",Base!A676)</f>
        <v/>
      </c>
      <c r="B676" s="60" t="str">
        <f aca="false">IF(LEN(A676&amp;"")=0,"",Base!D676)</f>
        <v/>
      </c>
      <c r="C676" s="1" t="str">
        <f aca="false">IF(LEN(A676&amp;"")=0,"",Base!C676)</f>
        <v/>
      </c>
      <c r="D676" s="1" t="str">
        <f aca="false">IF(LEN(A676&amp;"")=0,"",Base!G676)</f>
        <v/>
      </c>
      <c r="E676" s="1" t="str">
        <f aca="false">IF(LEN(A676&amp;"")=0,"",Base!E676)</f>
        <v/>
      </c>
      <c r="F676" s="61" t="str">
        <f aca="false">IF(LEN(A676&amp;"")=0,"",IF(Base!I676="-",0,Base!I676))</f>
        <v/>
      </c>
      <c r="G676" s="61" t="str">
        <f aca="false">IF(LEN(A676&amp;"")=0,"",SUM(Base!F676,F676,Base!K676))</f>
        <v/>
      </c>
      <c r="H676" s="61" t="str">
        <f aca="false">IF(LEN(A676&amp;"")=0,"",Base!L676)</f>
        <v/>
      </c>
      <c r="I676" s="61" t="str">
        <f aca="false">IF(LEN(A676&amp;"")=0,"",G676-H676)</f>
        <v/>
      </c>
      <c r="J676" s="61" t="str">
        <f aca="false">IF(LEN(A676&amp;"")=0,"",Base!M676)</f>
        <v/>
      </c>
      <c r="K676" s="1" t="n">
        <f aca="false">IF(OR(LEN(A676&amp;"")=0,$P$3=0),0,IF(AND(B676&gt;=Painel!$B$8,B676&lt;=Painel!$G$8,OR(Painel!$L$8="Todos",C676=Painel!$L$8),OR(Painel!$Q$8="Todos",D676=Painel!$Q$8),OR(Painel!$V$8="Todas",E676=Painel!$V$8)),1,0))</f>
        <v>0</v>
      </c>
      <c r="L676" s="61" t="str">
        <f aca="false">IF(LEN(A676&amp;"")=0,"",J676-I676)</f>
        <v/>
      </c>
      <c r="M676" s="1" t="n">
        <f aca="false">IF(LEN(A676&amp;"")=0,0,IF(COUNTIFS(Base!$A$7:$A$1006,A676)&gt;1,1,0))</f>
        <v>0</v>
      </c>
      <c r="N676" s="1" t="n">
        <f aca="false">IF(LEN(A676&amp;"")=0,0,IF(ABS(L676)&gt;0.005,1,0))</f>
        <v>0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customFormat="false" ht="23" hidden="false" customHeight="true" outlineLevel="0" collapsed="false">
      <c r="A677" s="1" t="str">
        <f aca="false">IF(LEN(Base!A677&amp;"")=0,"",Base!A677)</f>
        <v/>
      </c>
      <c r="B677" s="60" t="str">
        <f aca="false">IF(LEN(A677&amp;"")=0,"",Base!D677)</f>
        <v/>
      </c>
      <c r="C677" s="1" t="str">
        <f aca="false">IF(LEN(A677&amp;"")=0,"",Base!C677)</f>
        <v/>
      </c>
      <c r="D677" s="1" t="str">
        <f aca="false">IF(LEN(A677&amp;"")=0,"",Base!G677)</f>
        <v/>
      </c>
      <c r="E677" s="1" t="str">
        <f aca="false">IF(LEN(A677&amp;"")=0,"",Base!E677)</f>
        <v/>
      </c>
      <c r="F677" s="61" t="str">
        <f aca="false">IF(LEN(A677&amp;"")=0,"",IF(Base!I677="-",0,Base!I677))</f>
        <v/>
      </c>
      <c r="G677" s="61" t="str">
        <f aca="false">IF(LEN(A677&amp;"")=0,"",SUM(Base!F677,F677,Base!K677))</f>
        <v/>
      </c>
      <c r="H677" s="61" t="str">
        <f aca="false">IF(LEN(A677&amp;"")=0,"",Base!L677)</f>
        <v/>
      </c>
      <c r="I677" s="61" t="str">
        <f aca="false">IF(LEN(A677&amp;"")=0,"",G677-H677)</f>
        <v/>
      </c>
      <c r="J677" s="61" t="str">
        <f aca="false">IF(LEN(A677&amp;"")=0,"",Base!M677)</f>
        <v/>
      </c>
      <c r="K677" s="1" t="n">
        <f aca="false">IF(OR(LEN(A677&amp;"")=0,$P$3=0),0,IF(AND(B677&gt;=Painel!$B$8,B677&lt;=Painel!$G$8,OR(Painel!$L$8="Todos",C677=Painel!$L$8),OR(Painel!$Q$8="Todos",D677=Painel!$Q$8),OR(Painel!$V$8="Todas",E677=Painel!$V$8)),1,0))</f>
        <v>0</v>
      </c>
      <c r="L677" s="61" t="str">
        <f aca="false">IF(LEN(A677&amp;"")=0,"",J677-I677)</f>
        <v/>
      </c>
      <c r="M677" s="1" t="n">
        <f aca="false">IF(LEN(A677&amp;"")=0,0,IF(COUNTIFS(Base!$A$7:$A$1006,A677)&gt;1,1,0))</f>
        <v>0</v>
      </c>
      <c r="N677" s="1" t="n">
        <f aca="false">IF(LEN(A677&amp;"")=0,0,IF(ABS(L677)&gt;0.005,1,0))</f>
        <v>0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customFormat="false" ht="23" hidden="false" customHeight="true" outlineLevel="0" collapsed="false">
      <c r="A678" s="1" t="str">
        <f aca="false">IF(LEN(Base!A678&amp;"")=0,"",Base!A678)</f>
        <v/>
      </c>
      <c r="B678" s="60" t="str">
        <f aca="false">IF(LEN(A678&amp;"")=0,"",Base!D678)</f>
        <v/>
      </c>
      <c r="C678" s="1" t="str">
        <f aca="false">IF(LEN(A678&amp;"")=0,"",Base!C678)</f>
        <v/>
      </c>
      <c r="D678" s="1" t="str">
        <f aca="false">IF(LEN(A678&amp;"")=0,"",Base!G678)</f>
        <v/>
      </c>
      <c r="E678" s="1" t="str">
        <f aca="false">IF(LEN(A678&amp;"")=0,"",Base!E678)</f>
        <v/>
      </c>
      <c r="F678" s="61" t="str">
        <f aca="false">IF(LEN(A678&amp;"")=0,"",IF(Base!I678="-",0,Base!I678))</f>
        <v/>
      </c>
      <c r="G678" s="61" t="str">
        <f aca="false">IF(LEN(A678&amp;"")=0,"",SUM(Base!F678,F678,Base!K678))</f>
        <v/>
      </c>
      <c r="H678" s="61" t="str">
        <f aca="false">IF(LEN(A678&amp;"")=0,"",Base!L678)</f>
        <v/>
      </c>
      <c r="I678" s="61" t="str">
        <f aca="false">IF(LEN(A678&amp;"")=0,"",G678-H678)</f>
        <v/>
      </c>
      <c r="J678" s="61" t="str">
        <f aca="false">IF(LEN(A678&amp;"")=0,"",Base!M678)</f>
        <v/>
      </c>
      <c r="K678" s="1" t="n">
        <f aca="false">IF(OR(LEN(A678&amp;"")=0,$P$3=0),0,IF(AND(B678&gt;=Painel!$B$8,B678&lt;=Painel!$G$8,OR(Painel!$L$8="Todos",C678=Painel!$L$8),OR(Painel!$Q$8="Todos",D678=Painel!$Q$8),OR(Painel!$V$8="Todas",E678=Painel!$V$8)),1,0))</f>
        <v>0</v>
      </c>
      <c r="L678" s="61" t="str">
        <f aca="false">IF(LEN(A678&amp;"")=0,"",J678-I678)</f>
        <v/>
      </c>
      <c r="M678" s="1" t="n">
        <f aca="false">IF(LEN(A678&amp;"")=0,0,IF(COUNTIFS(Base!$A$7:$A$1006,A678)&gt;1,1,0))</f>
        <v>0</v>
      </c>
      <c r="N678" s="1" t="n">
        <f aca="false">IF(LEN(A678&amp;"")=0,0,IF(ABS(L678)&gt;0.005,1,0))</f>
        <v>0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customFormat="false" ht="23" hidden="false" customHeight="true" outlineLevel="0" collapsed="false">
      <c r="A679" s="1" t="str">
        <f aca="false">IF(LEN(Base!A679&amp;"")=0,"",Base!A679)</f>
        <v/>
      </c>
      <c r="B679" s="60" t="str">
        <f aca="false">IF(LEN(A679&amp;"")=0,"",Base!D679)</f>
        <v/>
      </c>
      <c r="C679" s="1" t="str">
        <f aca="false">IF(LEN(A679&amp;"")=0,"",Base!C679)</f>
        <v/>
      </c>
      <c r="D679" s="1" t="str">
        <f aca="false">IF(LEN(A679&amp;"")=0,"",Base!G679)</f>
        <v/>
      </c>
      <c r="E679" s="1" t="str">
        <f aca="false">IF(LEN(A679&amp;"")=0,"",Base!E679)</f>
        <v/>
      </c>
      <c r="F679" s="61" t="str">
        <f aca="false">IF(LEN(A679&amp;"")=0,"",IF(Base!I679="-",0,Base!I679))</f>
        <v/>
      </c>
      <c r="G679" s="61" t="str">
        <f aca="false">IF(LEN(A679&amp;"")=0,"",SUM(Base!F679,F679,Base!K679))</f>
        <v/>
      </c>
      <c r="H679" s="61" t="str">
        <f aca="false">IF(LEN(A679&amp;"")=0,"",Base!L679)</f>
        <v/>
      </c>
      <c r="I679" s="61" t="str">
        <f aca="false">IF(LEN(A679&amp;"")=0,"",G679-H679)</f>
        <v/>
      </c>
      <c r="J679" s="61" t="str">
        <f aca="false">IF(LEN(A679&amp;"")=0,"",Base!M679)</f>
        <v/>
      </c>
      <c r="K679" s="1" t="n">
        <f aca="false">IF(OR(LEN(A679&amp;"")=0,$P$3=0),0,IF(AND(B679&gt;=Painel!$B$8,B679&lt;=Painel!$G$8,OR(Painel!$L$8="Todos",C679=Painel!$L$8),OR(Painel!$Q$8="Todos",D679=Painel!$Q$8),OR(Painel!$V$8="Todas",E679=Painel!$V$8)),1,0))</f>
        <v>0</v>
      </c>
      <c r="L679" s="61" t="str">
        <f aca="false">IF(LEN(A679&amp;"")=0,"",J679-I679)</f>
        <v/>
      </c>
      <c r="M679" s="1" t="n">
        <f aca="false">IF(LEN(A679&amp;"")=0,0,IF(COUNTIFS(Base!$A$7:$A$1006,A679)&gt;1,1,0))</f>
        <v>0</v>
      </c>
      <c r="N679" s="1" t="n">
        <f aca="false">IF(LEN(A679&amp;"")=0,0,IF(ABS(L679)&gt;0.005,1,0))</f>
        <v>0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customFormat="false" ht="23" hidden="false" customHeight="true" outlineLevel="0" collapsed="false">
      <c r="A680" s="1" t="str">
        <f aca="false">IF(LEN(Base!A680&amp;"")=0,"",Base!A680)</f>
        <v/>
      </c>
      <c r="B680" s="60" t="str">
        <f aca="false">IF(LEN(A680&amp;"")=0,"",Base!D680)</f>
        <v/>
      </c>
      <c r="C680" s="1" t="str">
        <f aca="false">IF(LEN(A680&amp;"")=0,"",Base!C680)</f>
        <v/>
      </c>
      <c r="D680" s="1" t="str">
        <f aca="false">IF(LEN(A680&amp;"")=0,"",Base!G680)</f>
        <v/>
      </c>
      <c r="E680" s="1" t="str">
        <f aca="false">IF(LEN(A680&amp;"")=0,"",Base!E680)</f>
        <v/>
      </c>
      <c r="F680" s="61" t="str">
        <f aca="false">IF(LEN(A680&amp;"")=0,"",IF(Base!I680="-",0,Base!I680))</f>
        <v/>
      </c>
      <c r="G680" s="61" t="str">
        <f aca="false">IF(LEN(A680&amp;"")=0,"",SUM(Base!F680,F680,Base!K680))</f>
        <v/>
      </c>
      <c r="H680" s="61" t="str">
        <f aca="false">IF(LEN(A680&amp;"")=0,"",Base!L680)</f>
        <v/>
      </c>
      <c r="I680" s="61" t="str">
        <f aca="false">IF(LEN(A680&amp;"")=0,"",G680-H680)</f>
        <v/>
      </c>
      <c r="J680" s="61" t="str">
        <f aca="false">IF(LEN(A680&amp;"")=0,"",Base!M680)</f>
        <v/>
      </c>
      <c r="K680" s="1" t="n">
        <f aca="false">IF(OR(LEN(A680&amp;"")=0,$P$3=0),0,IF(AND(B680&gt;=Painel!$B$8,B680&lt;=Painel!$G$8,OR(Painel!$L$8="Todos",C680=Painel!$L$8),OR(Painel!$Q$8="Todos",D680=Painel!$Q$8),OR(Painel!$V$8="Todas",E680=Painel!$V$8)),1,0))</f>
        <v>0</v>
      </c>
      <c r="L680" s="61" t="str">
        <f aca="false">IF(LEN(A680&amp;"")=0,"",J680-I680)</f>
        <v/>
      </c>
      <c r="M680" s="1" t="n">
        <f aca="false">IF(LEN(A680&amp;"")=0,0,IF(COUNTIFS(Base!$A$7:$A$1006,A680)&gt;1,1,0))</f>
        <v>0</v>
      </c>
      <c r="N680" s="1" t="n">
        <f aca="false">IF(LEN(A680&amp;"")=0,0,IF(ABS(L680)&gt;0.005,1,0))</f>
        <v>0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customFormat="false" ht="23" hidden="false" customHeight="true" outlineLevel="0" collapsed="false">
      <c r="A681" s="1" t="str">
        <f aca="false">IF(LEN(Base!A681&amp;"")=0,"",Base!A681)</f>
        <v/>
      </c>
      <c r="B681" s="60" t="str">
        <f aca="false">IF(LEN(A681&amp;"")=0,"",Base!D681)</f>
        <v/>
      </c>
      <c r="C681" s="1" t="str">
        <f aca="false">IF(LEN(A681&amp;"")=0,"",Base!C681)</f>
        <v/>
      </c>
      <c r="D681" s="1" t="str">
        <f aca="false">IF(LEN(A681&amp;"")=0,"",Base!G681)</f>
        <v/>
      </c>
      <c r="E681" s="1" t="str">
        <f aca="false">IF(LEN(A681&amp;"")=0,"",Base!E681)</f>
        <v/>
      </c>
      <c r="F681" s="61" t="str">
        <f aca="false">IF(LEN(A681&amp;"")=0,"",IF(Base!I681="-",0,Base!I681))</f>
        <v/>
      </c>
      <c r="G681" s="61" t="str">
        <f aca="false">IF(LEN(A681&amp;"")=0,"",SUM(Base!F681,F681,Base!K681))</f>
        <v/>
      </c>
      <c r="H681" s="61" t="str">
        <f aca="false">IF(LEN(A681&amp;"")=0,"",Base!L681)</f>
        <v/>
      </c>
      <c r="I681" s="61" t="str">
        <f aca="false">IF(LEN(A681&amp;"")=0,"",G681-H681)</f>
        <v/>
      </c>
      <c r="J681" s="61" t="str">
        <f aca="false">IF(LEN(A681&amp;"")=0,"",Base!M681)</f>
        <v/>
      </c>
      <c r="K681" s="1" t="n">
        <f aca="false">IF(OR(LEN(A681&amp;"")=0,$P$3=0),0,IF(AND(B681&gt;=Painel!$B$8,B681&lt;=Painel!$G$8,OR(Painel!$L$8="Todos",C681=Painel!$L$8),OR(Painel!$Q$8="Todos",D681=Painel!$Q$8),OR(Painel!$V$8="Todas",E681=Painel!$V$8)),1,0))</f>
        <v>0</v>
      </c>
      <c r="L681" s="61" t="str">
        <f aca="false">IF(LEN(A681&amp;"")=0,"",J681-I681)</f>
        <v/>
      </c>
      <c r="M681" s="1" t="n">
        <f aca="false">IF(LEN(A681&amp;"")=0,0,IF(COUNTIFS(Base!$A$7:$A$1006,A681)&gt;1,1,0))</f>
        <v>0</v>
      </c>
      <c r="N681" s="1" t="n">
        <f aca="false">IF(LEN(A681&amp;"")=0,0,IF(ABS(L681)&gt;0.005,1,0))</f>
        <v>0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customFormat="false" ht="23" hidden="false" customHeight="true" outlineLevel="0" collapsed="false">
      <c r="A682" s="1" t="str">
        <f aca="false">IF(LEN(Base!A682&amp;"")=0,"",Base!A682)</f>
        <v/>
      </c>
      <c r="B682" s="60" t="str">
        <f aca="false">IF(LEN(A682&amp;"")=0,"",Base!D682)</f>
        <v/>
      </c>
      <c r="C682" s="1" t="str">
        <f aca="false">IF(LEN(A682&amp;"")=0,"",Base!C682)</f>
        <v/>
      </c>
      <c r="D682" s="1" t="str">
        <f aca="false">IF(LEN(A682&amp;"")=0,"",Base!G682)</f>
        <v/>
      </c>
      <c r="E682" s="1" t="str">
        <f aca="false">IF(LEN(A682&amp;"")=0,"",Base!E682)</f>
        <v/>
      </c>
      <c r="F682" s="61" t="str">
        <f aca="false">IF(LEN(A682&amp;"")=0,"",IF(Base!I682="-",0,Base!I682))</f>
        <v/>
      </c>
      <c r="G682" s="61" t="str">
        <f aca="false">IF(LEN(A682&amp;"")=0,"",SUM(Base!F682,F682,Base!K682))</f>
        <v/>
      </c>
      <c r="H682" s="61" t="str">
        <f aca="false">IF(LEN(A682&amp;"")=0,"",Base!L682)</f>
        <v/>
      </c>
      <c r="I682" s="61" t="str">
        <f aca="false">IF(LEN(A682&amp;"")=0,"",G682-H682)</f>
        <v/>
      </c>
      <c r="J682" s="61" t="str">
        <f aca="false">IF(LEN(A682&amp;"")=0,"",Base!M682)</f>
        <v/>
      </c>
      <c r="K682" s="1" t="n">
        <f aca="false">IF(OR(LEN(A682&amp;"")=0,$P$3=0),0,IF(AND(B682&gt;=Painel!$B$8,B682&lt;=Painel!$G$8,OR(Painel!$L$8="Todos",C682=Painel!$L$8),OR(Painel!$Q$8="Todos",D682=Painel!$Q$8),OR(Painel!$V$8="Todas",E682=Painel!$V$8)),1,0))</f>
        <v>0</v>
      </c>
      <c r="L682" s="61" t="str">
        <f aca="false">IF(LEN(A682&amp;"")=0,"",J682-I682)</f>
        <v/>
      </c>
      <c r="M682" s="1" t="n">
        <f aca="false">IF(LEN(A682&amp;"")=0,0,IF(COUNTIFS(Base!$A$7:$A$1006,A682)&gt;1,1,0))</f>
        <v>0</v>
      </c>
      <c r="N682" s="1" t="n">
        <f aca="false">IF(LEN(A682&amp;"")=0,0,IF(ABS(L682)&gt;0.005,1,0))</f>
        <v>0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customFormat="false" ht="23" hidden="false" customHeight="true" outlineLevel="0" collapsed="false">
      <c r="A683" s="1" t="str">
        <f aca="false">IF(LEN(Base!A683&amp;"")=0,"",Base!A683)</f>
        <v/>
      </c>
      <c r="B683" s="60" t="str">
        <f aca="false">IF(LEN(A683&amp;"")=0,"",Base!D683)</f>
        <v/>
      </c>
      <c r="C683" s="1" t="str">
        <f aca="false">IF(LEN(A683&amp;"")=0,"",Base!C683)</f>
        <v/>
      </c>
      <c r="D683" s="1" t="str">
        <f aca="false">IF(LEN(A683&amp;"")=0,"",Base!G683)</f>
        <v/>
      </c>
      <c r="E683" s="1" t="str">
        <f aca="false">IF(LEN(A683&amp;"")=0,"",Base!E683)</f>
        <v/>
      </c>
      <c r="F683" s="61" t="str">
        <f aca="false">IF(LEN(A683&amp;"")=0,"",IF(Base!I683="-",0,Base!I683))</f>
        <v/>
      </c>
      <c r="G683" s="61" t="str">
        <f aca="false">IF(LEN(A683&amp;"")=0,"",SUM(Base!F683,F683,Base!K683))</f>
        <v/>
      </c>
      <c r="H683" s="61" t="str">
        <f aca="false">IF(LEN(A683&amp;"")=0,"",Base!L683)</f>
        <v/>
      </c>
      <c r="I683" s="61" t="str">
        <f aca="false">IF(LEN(A683&amp;"")=0,"",G683-H683)</f>
        <v/>
      </c>
      <c r="J683" s="61" t="str">
        <f aca="false">IF(LEN(A683&amp;"")=0,"",Base!M683)</f>
        <v/>
      </c>
      <c r="K683" s="1" t="n">
        <f aca="false">IF(OR(LEN(A683&amp;"")=0,$P$3=0),0,IF(AND(B683&gt;=Painel!$B$8,B683&lt;=Painel!$G$8,OR(Painel!$L$8="Todos",C683=Painel!$L$8),OR(Painel!$Q$8="Todos",D683=Painel!$Q$8),OR(Painel!$V$8="Todas",E683=Painel!$V$8)),1,0))</f>
        <v>0</v>
      </c>
      <c r="L683" s="61" t="str">
        <f aca="false">IF(LEN(A683&amp;"")=0,"",J683-I683)</f>
        <v/>
      </c>
      <c r="M683" s="1" t="n">
        <f aca="false">IF(LEN(A683&amp;"")=0,0,IF(COUNTIFS(Base!$A$7:$A$1006,A683)&gt;1,1,0))</f>
        <v>0</v>
      </c>
      <c r="N683" s="1" t="n">
        <f aca="false">IF(LEN(A683&amp;"")=0,0,IF(ABS(L683)&gt;0.005,1,0))</f>
        <v>0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customFormat="false" ht="23" hidden="false" customHeight="true" outlineLevel="0" collapsed="false">
      <c r="A684" s="1" t="str">
        <f aca="false">IF(LEN(Base!A684&amp;"")=0,"",Base!A684)</f>
        <v/>
      </c>
      <c r="B684" s="60" t="str">
        <f aca="false">IF(LEN(A684&amp;"")=0,"",Base!D684)</f>
        <v/>
      </c>
      <c r="C684" s="1" t="str">
        <f aca="false">IF(LEN(A684&amp;"")=0,"",Base!C684)</f>
        <v/>
      </c>
      <c r="D684" s="1" t="str">
        <f aca="false">IF(LEN(A684&amp;"")=0,"",Base!G684)</f>
        <v/>
      </c>
      <c r="E684" s="1" t="str">
        <f aca="false">IF(LEN(A684&amp;"")=0,"",Base!E684)</f>
        <v/>
      </c>
      <c r="F684" s="61" t="str">
        <f aca="false">IF(LEN(A684&amp;"")=0,"",IF(Base!I684="-",0,Base!I684))</f>
        <v/>
      </c>
      <c r="G684" s="61" t="str">
        <f aca="false">IF(LEN(A684&amp;"")=0,"",SUM(Base!F684,F684,Base!K684))</f>
        <v/>
      </c>
      <c r="H684" s="61" t="str">
        <f aca="false">IF(LEN(A684&amp;"")=0,"",Base!L684)</f>
        <v/>
      </c>
      <c r="I684" s="61" t="str">
        <f aca="false">IF(LEN(A684&amp;"")=0,"",G684-H684)</f>
        <v/>
      </c>
      <c r="J684" s="61" t="str">
        <f aca="false">IF(LEN(A684&amp;"")=0,"",Base!M684)</f>
        <v/>
      </c>
      <c r="K684" s="1" t="n">
        <f aca="false">IF(OR(LEN(A684&amp;"")=0,$P$3=0),0,IF(AND(B684&gt;=Painel!$B$8,B684&lt;=Painel!$G$8,OR(Painel!$L$8="Todos",C684=Painel!$L$8),OR(Painel!$Q$8="Todos",D684=Painel!$Q$8),OR(Painel!$V$8="Todas",E684=Painel!$V$8)),1,0))</f>
        <v>0</v>
      </c>
      <c r="L684" s="61" t="str">
        <f aca="false">IF(LEN(A684&amp;"")=0,"",J684-I684)</f>
        <v/>
      </c>
      <c r="M684" s="1" t="n">
        <f aca="false">IF(LEN(A684&amp;"")=0,0,IF(COUNTIFS(Base!$A$7:$A$1006,A684)&gt;1,1,0))</f>
        <v>0</v>
      </c>
      <c r="N684" s="1" t="n">
        <f aca="false">IF(LEN(A684&amp;"")=0,0,IF(ABS(L684)&gt;0.005,1,0))</f>
        <v>0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customFormat="false" ht="23" hidden="false" customHeight="true" outlineLevel="0" collapsed="false">
      <c r="A685" s="1" t="str">
        <f aca="false">IF(LEN(Base!A685&amp;"")=0,"",Base!A685)</f>
        <v/>
      </c>
      <c r="B685" s="60" t="str">
        <f aca="false">IF(LEN(A685&amp;"")=0,"",Base!D685)</f>
        <v/>
      </c>
      <c r="C685" s="1" t="str">
        <f aca="false">IF(LEN(A685&amp;"")=0,"",Base!C685)</f>
        <v/>
      </c>
      <c r="D685" s="1" t="str">
        <f aca="false">IF(LEN(A685&amp;"")=0,"",Base!G685)</f>
        <v/>
      </c>
      <c r="E685" s="1" t="str">
        <f aca="false">IF(LEN(A685&amp;"")=0,"",Base!E685)</f>
        <v/>
      </c>
      <c r="F685" s="61" t="str">
        <f aca="false">IF(LEN(A685&amp;"")=0,"",IF(Base!I685="-",0,Base!I685))</f>
        <v/>
      </c>
      <c r="G685" s="61" t="str">
        <f aca="false">IF(LEN(A685&amp;"")=0,"",SUM(Base!F685,F685,Base!K685))</f>
        <v/>
      </c>
      <c r="H685" s="61" t="str">
        <f aca="false">IF(LEN(A685&amp;"")=0,"",Base!L685)</f>
        <v/>
      </c>
      <c r="I685" s="61" t="str">
        <f aca="false">IF(LEN(A685&amp;"")=0,"",G685-H685)</f>
        <v/>
      </c>
      <c r="J685" s="61" t="str">
        <f aca="false">IF(LEN(A685&amp;"")=0,"",Base!M685)</f>
        <v/>
      </c>
      <c r="K685" s="1" t="n">
        <f aca="false">IF(OR(LEN(A685&amp;"")=0,$P$3=0),0,IF(AND(B685&gt;=Painel!$B$8,B685&lt;=Painel!$G$8,OR(Painel!$L$8="Todos",C685=Painel!$L$8),OR(Painel!$Q$8="Todos",D685=Painel!$Q$8),OR(Painel!$V$8="Todas",E685=Painel!$V$8)),1,0))</f>
        <v>0</v>
      </c>
      <c r="L685" s="61" t="str">
        <f aca="false">IF(LEN(A685&amp;"")=0,"",J685-I685)</f>
        <v/>
      </c>
      <c r="M685" s="1" t="n">
        <f aca="false">IF(LEN(A685&amp;"")=0,0,IF(COUNTIFS(Base!$A$7:$A$1006,A685)&gt;1,1,0))</f>
        <v>0</v>
      </c>
      <c r="N685" s="1" t="n">
        <f aca="false">IF(LEN(A685&amp;"")=0,0,IF(ABS(L685)&gt;0.005,1,0))</f>
        <v>0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customFormat="false" ht="23" hidden="false" customHeight="true" outlineLevel="0" collapsed="false">
      <c r="A686" s="1" t="str">
        <f aca="false">IF(LEN(Base!A686&amp;"")=0,"",Base!A686)</f>
        <v/>
      </c>
      <c r="B686" s="60" t="str">
        <f aca="false">IF(LEN(A686&amp;"")=0,"",Base!D686)</f>
        <v/>
      </c>
      <c r="C686" s="1" t="str">
        <f aca="false">IF(LEN(A686&amp;"")=0,"",Base!C686)</f>
        <v/>
      </c>
      <c r="D686" s="1" t="str">
        <f aca="false">IF(LEN(A686&amp;"")=0,"",Base!G686)</f>
        <v/>
      </c>
      <c r="E686" s="1" t="str">
        <f aca="false">IF(LEN(A686&amp;"")=0,"",Base!E686)</f>
        <v/>
      </c>
      <c r="F686" s="61" t="str">
        <f aca="false">IF(LEN(A686&amp;"")=0,"",IF(Base!I686="-",0,Base!I686))</f>
        <v/>
      </c>
      <c r="G686" s="61" t="str">
        <f aca="false">IF(LEN(A686&amp;"")=0,"",SUM(Base!F686,F686,Base!K686))</f>
        <v/>
      </c>
      <c r="H686" s="61" t="str">
        <f aca="false">IF(LEN(A686&amp;"")=0,"",Base!L686)</f>
        <v/>
      </c>
      <c r="I686" s="61" t="str">
        <f aca="false">IF(LEN(A686&amp;"")=0,"",G686-H686)</f>
        <v/>
      </c>
      <c r="J686" s="61" t="str">
        <f aca="false">IF(LEN(A686&amp;"")=0,"",Base!M686)</f>
        <v/>
      </c>
      <c r="K686" s="1" t="n">
        <f aca="false">IF(OR(LEN(A686&amp;"")=0,$P$3=0),0,IF(AND(B686&gt;=Painel!$B$8,B686&lt;=Painel!$G$8,OR(Painel!$L$8="Todos",C686=Painel!$L$8),OR(Painel!$Q$8="Todos",D686=Painel!$Q$8),OR(Painel!$V$8="Todas",E686=Painel!$V$8)),1,0))</f>
        <v>0</v>
      </c>
      <c r="L686" s="61" t="str">
        <f aca="false">IF(LEN(A686&amp;"")=0,"",J686-I686)</f>
        <v/>
      </c>
      <c r="M686" s="1" t="n">
        <f aca="false">IF(LEN(A686&amp;"")=0,0,IF(COUNTIFS(Base!$A$7:$A$1006,A686)&gt;1,1,0))</f>
        <v>0</v>
      </c>
      <c r="N686" s="1" t="n">
        <f aca="false">IF(LEN(A686&amp;"")=0,0,IF(ABS(L686)&gt;0.005,1,0))</f>
        <v>0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customFormat="false" ht="23" hidden="false" customHeight="true" outlineLevel="0" collapsed="false">
      <c r="A687" s="1" t="str">
        <f aca="false">IF(LEN(Base!A687&amp;"")=0,"",Base!A687)</f>
        <v/>
      </c>
      <c r="B687" s="60" t="str">
        <f aca="false">IF(LEN(A687&amp;"")=0,"",Base!D687)</f>
        <v/>
      </c>
      <c r="C687" s="1" t="str">
        <f aca="false">IF(LEN(A687&amp;"")=0,"",Base!C687)</f>
        <v/>
      </c>
      <c r="D687" s="1" t="str">
        <f aca="false">IF(LEN(A687&amp;"")=0,"",Base!G687)</f>
        <v/>
      </c>
      <c r="E687" s="1" t="str">
        <f aca="false">IF(LEN(A687&amp;"")=0,"",Base!E687)</f>
        <v/>
      </c>
      <c r="F687" s="61" t="str">
        <f aca="false">IF(LEN(A687&amp;"")=0,"",IF(Base!I687="-",0,Base!I687))</f>
        <v/>
      </c>
      <c r="G687" s="61" t="str">
        <f aca="false">IF(LEN(A687&amp;"")=0,"",SUM(Base!F687,F687,Base!K687))</f>
        <v/>
      </c>
      <c r="H687" s="61" t="str">
        <f aca="false">IF(LEN(A687&amp;"")=0,"",Base!L687)</f>
        <v/>
      </c>
      <c r="I687" s="61" t="str">
        <f aca="false">IF(LEN(A687&amp;"")=0,"",G687-H687)</f>
        <v/>
      </c>
      <c r="J687" s="61" t="str">
        <f aca="false">IF(LEN(A687&amp;"")=0,"",Base!M687)</f>
        <v/>
      </c>
      <c r="K687" s="1" t="n">
        <f aca="false">IF(OR(LEN(A687&amp;"")=0,$P$3=0),0,IF(AND(B687&gt;=Painel!$B$8,B687&lt;=Painel!$G$8,OR(Painel!$L$8="Todos",C687=Painel!$L$8),OR(Painel!$Q$8="Todos",D687=Painel!$Q$8),OR(Painel!$V$8="Todas",E687=Painel!$V$8)),1,0))</f>
        <v>0</v>
      </c>
      <c r="L687" s="61" t="str">
        <f aca="false">IF(LEN(A687&amp;"")=0,"",J687-I687)</f>
        <v/>
      </c>
      <c r="M687" s="1" t="n">
        <f aca="false">IF(LEN(A687&amp;"")=0,0,IF(COUNTIFS(Base!$A$7:$A$1006,A687)&gt;1,1,0))</f>
        <v>0</v>
      </c>
      <c r="N687" s="1" t="n">
        <f aca="false">IF(LEN(A687&amp;"")=0,0,IF(ABS(L687)&gt;0.005,1,0))</f>
        <v>0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customFormat="false" ht="23" hidden="false" customHeight="true" outlineLevel="0" collapsed="false">
      <c r="A688" s="1" t="str">
        <f aca="false">IF(LEN(Base!A688&amp;"")=0,"",Base!A688)</f>
        <v/>
      </c>
      <c r="B688" s="60" t="str">
        <f aca="false">IF(LEN(A688&amp;"")=0,"",Base!D688)</f>
        <v/>
      </c>
      <c r="C688" s="1" t="str">
        <f aca="false">IF(LEN(A688&amp;"")=0,"",Base!C688)</f>
        <v/>
      </c>
      <c r="D688" s="1" t="str">
        <f aca="false">IF(LEN(A688&amp;"")=0,"",Base!G688)</f>
        <v/>
      </c>
      <c r="E688" s="1" t="str">
        <f aca="false">IF(LEN(A688&amp;"")=0,"",Base!E688)</f>
        <v/>
      </c>
      <c r="F688" s="61" t="str">
        <f aca="false">IF(LEN(A688&amp;"")=0,"",IF(Base!I688="-",0,Base!I688))</f>
        <v/>
      </c>
      <c r="G688" s="61" t="str">
        <f aca="false">IF(LEN(A688&amp;"")=0,"",SUM(Base!F688,F688,Base!K688))</f>
        <v/>
      </c>
      <c r="H688" s="61" t="str">
        <f aca="false">IF(LEN(A688&amp;"")=0,"",Base!L688)</f>
        <v/>
      </c>
      <c r="I688" s="61" t="str">
        <f aca="false">IF(LEN(A688&amp;"")=0,"",G688-H688)</f>
        <v/>
      </c>
      <c r="J688" s="61" t="str">
        <f aca="false">IF(LEN(A688&amp;"")=0,"",Base!M688)</f>
        <v/>
      </c>
      <c r="K688" s="1" t="n">
        <f aca="false">IF(OR(LEN(A688&amp;"")=0,$P$3=0),0,IF(AND(B688&gt;=Painel!$B$8,B688&lt;=Painel!$G$8,OR(Painel!$L$8="Todos",C688=Painel!$L$8),OR(Painel!$Q$8="Todos",D688=Painel!$Q$8),OR(Painel!$V$8="Todas",E688=Painel!$V$8)),1,0))</f>
        <v>0</v>
      </c>
      <c r="L688" s="61" t="str">
        <f aca="false">IF(LEN(A688&amp;"")=0,"",J688-I688)</f>
        <v/>
      </c>
      <c r="M688" s="1" t="n">
        <f aca="false">IF(LEN(A688&amp;"")=0,0,IF(COUNTIFS(Base!$A$7:$A$1006,A688)&gt;1,1,0))</f>
        <v>0</v>
      </c>
      <c r="N688" s="1" t="n">
        <f aca="false">IF(LEN(A688&amp;"")=0,0,IF(ABS(L688)&gt;0.005,1,0))</f>
        <v>0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customFormat="false" ht="23" hidden="false" customHeight="true" outlineLevel="0" collapsed="false">
      <c r="A689" s="1" t="str">
        <f aca="false">IF(LEN(Base!A689&amp;"")=0,"",Base!A689)</f>
        <v/>
      </c>
      <c r="B689" s="60" t="str">
        <f aca="false">IF(LEN(A689&amp;"")=0,"",Base!D689)</f>
        <v/>
      </c>
      <c r="C689" s="1" t="str">
        <f aca="false">IF(LEN(A689&amp;"")=0,"",Base!C689)</f>
        <v/>
      </c>
      <c r="D689" s="1" t="str">
        <f aca="false">IF(LEN(A689&amp;"")=0,"",Base!G689)</f>
        <v/>
      </c>
      <c r="E689" s="1" t="str">
        <f aca="false">IF(LEN(A689&amp;"")=0,"",Base!E689)</f>
        <v/>
      </c>
      <c r="F689" s="61" t="str">
        <f aca="false">IF(LEN(A689&amp;"")=0,"",IF(Base!I689="-",0,Base!I689))</f>
        <v/>
      </c>
      <c r="G689" s="61" t="str">
        <f aca="false">IF(LEN(A689&amp;"")=0,"",SUM(Base!F689,F689,Base!K689))</f>
        <v/>
      </c>
      <c r="H689" s="61" t="str">
        <f aca="false">IF(LEN(A689&amp;"")=0,"",Base!L689)</f>
        <v/>
      </c>
      <c r="I689" s="61" t="str">
        <f aca="false">IF(LEN(A689&amp;"")=0,"",G689-H689)</f>
        <v/>
      </c>
      <c r="J689" s="61" t="str">
        <f aca="false">IF(LEN(A689&amp;"")=0,"",Base!M689)</f>
        <v/>
      </c>
      <c r="K689" s="1" t="n">
        <f aca="false">IF(OR(LEN(A689&amp;"")=0,$P$3=0),0,IF(AND(B689&gt;=Painel!$B$8,B689&lt;=Painel!$G$8,OR(Painel!$L$8="Todos",C689=Painel!$L$8),OR(Painel!$Q$8="Todos",D689=Painel!$Q$8),OR(Painel!$V$8="Todas",E689=Painel!$V$8)),1,0))</f>
        <v>0</v>
      </c>
      <c r="L689" s="61" t="str">
        <f aca="false">IF(LEN(A689&amp;"")=0,"",J689-I689)</f>
        <v/>
      </c>
      <c r="M689" s="1" t="n">
        <f aca="false">IF(LEN(A689&amp;"")=0,0,IF(COUNTIFS(Base!$A$7:$A$1006,A689)&gt;1,1,0))</f>
        <v>0</v>
      </c>
      <c r="N689" s="1" t="n">
        <f aca="false">IF(LEN(A689&amp;"")=0,0,IF(ABS(L689)&gt;0.005,1,0))</f>
        <v>0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customFormat="false" ht="23" hidden="false" customHeight="true" outlineLevel="0" collapsed="false">
      <c r="A690" s="1" t="str">
        <f aca="false">IF(LEN(Base!A690&amp;"")=0,"",Base!A690)</f>
        <v/>
      </c>
      <c r="B690" s="60" t="str">
        <f aca="false">IF(LEN(A690&amp;"")=0,"",Base!D690)</f>
        <v/>
      </c>
      <c r="C690" s="1" t="str">
        <f aca="false">IF(LEN(A690&amp;"")=0,"",Base!C690)</f>
        <v/>
      </c>
      <c r="D690" s="1" t="str">
        <f aca="false">IF(LEN(A690&amp;"")=0,"",Base!G690)</f>
        <v/>
      </c>
      <c r="E690" s="1" t="str">
        <f aca="false">IF(LEN(A690&amp;"")=0,"",Base!E690)</f>
        <v/>
      </c>
      <c r="F690" s="61" t="str">
        <f aca="false">IF(LEN(A690&amp;"")=0,"",IF(Base!I690="-",0,Base!I690))</f>
        <v/>
      </c>
      <c r="G690" s="61" t="str">
        <f aca="false">IF(LEN(A690&amp;"")=0,"",SUM(Base!F690,F690,Base!K690))</f>
        <v/>
      </c>
      <c r="H690" s="61" t="str">
        <f aca="false">IF(LEN(A690&amp;"")=0,"",Base!L690)</f>
        <v/>
      </c>
      <c r="I690" s="61" t="str">
        <f aca="false">IF(LEN(A690&amp;"")=0,"",G690-H690)</f>
        <v/>
      </c>
      <c r="J690" s="61" t="str">
        <f aca="false">IF(LEN(A690&amp;"")=0,"",Base!M690)</f>
        <v/>
      </c>
      <c r="K690" s="1" t="n">
        <f aca="false">IF(OR(LEN(A690&amp;"")=0,$P$3=0),0,IF(AND(B690&gt;=Painel!$B$8,B690&lt;=Painel!$G$8,OR(Painel!$L$8="Todos",C690=Painel!$L$8),OR(Painel!$Q$8="Todos",D690=Painel!$Q$8),OR(Painel!$V$8="Todas",E690=Painel!$V$8)),1,0))</f>
        <v>0</v>
      </c>
      <c r="L690" s="61" t="str">
        <f aca="false">IF(LEN(A690&amp;"")=0,"",J690-I690)</f>
        <v/>
      </c>
      <c r="M690" s="1" t="n">
        <f aca="false">IF(LEN(A690&amp;"")=0,0,IF(COUNTIFS(Base!$A$7:$A$1006,A690)&gt;1,1,0))</f>
        <v>0</v>
      </c>
      <c r="N690" s="1" t="n">
        <f aca="false">IF(LEN(A690&amp;"")=0,0,IF(ABS(L690)&gt;0.005,1,0))</f>
        <v>0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customFormat="false" ht="23" hidden="false" customHeight="true" outlineLevel="0" collapsed="false">
      <c r="A691" s="1" t="str">
        <f aca="false">IF(LEN(Base!A691&amp;"")=0,"",Base!A691)</f>
        <v/>
      </c>
      <c r="B691" s="60" t="str">
        <f aca="false">IF(LEN(A691&amp;"")=0,"",Base!D691)</f>
        <v/>
      </c>
      <c r="C691" s="1" t="str">
        <f aca="false">IF(LEN(A691&amp;"")=0,"",Base!C691)</f>
        <v/>
      </c>
      <c r="D691" s="1" t="str">
        <f aca="false">IF(LEN(A691&amp;"")=0,"",Base!G691)</f>
        <v/>
      </c>
      <c r="E691" s="1" t="str">
        <f aca="false">IF(LEN(A691&amp;"")=0,"",Base!E691)</f>
        <v/>
      </c>
      <c r="F691" s="61" t="str">
        <f aca="false">IF(LEN(A691&amp;"")=0,"",IF(Base!I691="-",0,Base!I691))</f>
        <v/>
      </c>
      <c r="G691" s="61" t="str">
        <f aca="false">IF(LEN(A691&amp;"")=0,"",SUM(Base!F691,F691,Base!K691))</f>
        <v/>
      </c>
      <c r="H691" s="61" t="str">
        <f aca="false">IF(LEN(A691&amp;"")=0,"",Base!L691)</f>
        <v/>
      </c>
      <c r="I691" s="61" t="str">
        <f aca="false">IF(LEN(A691&amp;"")=0,"",G691-H691)</f>
        <v/>
      </c>
      <c r="J691" s="61" t="str">
        <f aca="false">IF(LEN(A691&amp;"")=0,"",Base!M691)</f>
        <v/>
      </c>
      <c r="K691" s="1" t="n">
        <f aca="false">IF(OR(LEN(A691&amp;"")=0,$P$3=0),0,IF(AND(B691&gt;=Painel!$B$8,B691&lt;=Painel!$G$8,OR(Painel!$L$8="Todos",C691=Painel!$L$8),OR(Painel!$Q$8="Todos",D691=Painel!$Q$8),OR(Painel!$V$8="Todas",E691=Painel!$V$8)),1,0))</f>
        <v>0</v>
      </c>
      <c r="L691" s="61" t="str">
        <f aca="false">IF(LEN(A691&amp;"")=0,"",J691-I691)</f>
        <v/>
      </c>
      <c r="M691" s="1" t="n">
        <f aca="false">IF(LEN(A691&amp;"")=0,0,IF(COUNTIFS(Base!$A$7:$A$1006,A691)&gt;1,1,0))</f>
        <v>0</v>
      </c>
      <c r="N691" s="1" t="n">
        <f aca="false">IF(LEN(A691&amp;"")=0,0,IF(ABS(L691)&gt;0.005,1,0))</f>
        <v>0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customFormat="false" ht="23" hidden="false" customHeight="true" outlineLevel="0" collapsed="false">
      <c r="A692" s="1" t="str">
        <f aca="false">IF(LEN(Base!A692&amp;"")=0,"",Base!A692)</f>
        <v/>
      </c>
      <c r="B692" s="60" t="str">
        <f aca="false">IF(LEN(A692&amp;"")=0,"",Base!D692)</f>
        <v/>
      </c>
      <c r="C692" s="1" t="str">
        <f aca="false">IF(LEN(A692&amp;"")=0,"",Base!C692)</f>
        <v/>
      </c>
      <c r="D692" s="1" t="str">
        <f aca="false">IF(LEN(A692&amp;"")=0,"",Base!G692)</f>
        <v/>
      </c>
      <c r="E692" s="1" t="str">
        <f aca="false">IF(LEN(A692&amp;"")=0,"",Base!E692)</f>
        <v/>
      </c>
      <c r="F692" s="61" t="str">
        <f aca="false">IF(LEN(A692&amp;"")=0,"",IF(Base!I692="-",0,Base!I692))</f>
        <v/>
      </c>
      <c r="G692" s="61" t="str">
        <f aca="false">IF(LEN(A692&amp;"")=0,"",SUM(Base!F692,F692,Base!K692))</f>
        <v/>
      </c>
      <c r="H692" s="61" t="str">
        <f aca="false">IF(LEN(A692&amp;"")=0,"",Base!L692)</f>
        <v/>
      </c>
      <c r="I692" s="61" t="str">
        <f aca="false">IF(LEN(A692&amp;"")=0,"",G692-H692)</f>
        <v/>
      </c>
      <c r="J692" s="61" t="str">
        <f aca="false">IF(LEN(A692&amp;"")=0,"",Base!M692)</f>
        <v/>
      </c>
      <c r="K692" s="1" t="n">
        <f aca="false">IF(OR(LEN(A692&amp;"")=0,$P$3=0),0,IF(AND(B692&gt;=Painel!$B$8,B692&lt;=Painel!$G$8,OR(Painel!$L$8="Todos",C692=Painel!$L$8),OR(Painel!$Q$8="Todos",D692=Painel!$Q$8),OR(Painel!$V$8="Todas",E692=Painel!$V$8)),1,0))</f>
        <v>0</v>
      </c>
      <c r="L692" s="61" t="str">
        <f aca="false">IF(LEN(A692&amp;"")=0,"",J692-I692)</f>
        <v/>
      </c>
      <c r="M692" s="1" t="n">
        <f aca="false">IF(LEN(A692&amp;"")=0,0,IF(COUNTIFS(Base!$A$7:$A$1006,A692)&gt;1,1,0))</f>
        <v>0</v>
      </c>
      <c r="N692" s="1" t="n">
        <f aca="false">IF(LEN(A692&amp;"")=0,0,IF(ABS(L692)&gt;0.005,1,0))</f>
        <v>0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customFormat="false" ht="23" hidden="false" customHeight="true" outlineLevel="0" collapsed="false">
      <c r="A693" s="1" t="str">
        <f aca="false">IF(LEN(Base!A693&amp;"")=0,"",Base!A693)</f>
        <v/>
      </c>
      <c r="B693" s="60" t="str">
        <f aca="false">IF(LEN(A693&amp;"")=0,"",Base!D693)</f>
        <v/>
      </c>
      <c r="C693" s="1" t="str">
        <f aca="false">IF(LEN(A693&amp;"")=0,"",Base!C693)</f>
        <v/>
      </c>
      <c r="D693" s="1" t="str">
        <f aca="false">IF(LEN(A693&amp;"")=0,"",Base!G693)</f>
        <v/>
      </c>
      <c r="E693" s="1" t="str">
        <f aca="false">IF(LEN(A693&amp;"")=0,"",Base!E693)</f>
        <v/>
      </c>
      <c r="F693" s="61" t="str">
        <f aca="false">IF(LEN(A693&amp;"")=0,"",IF(Base!I693="-",0,Base!I693))</f>
        <v/>
      </c>
      <c r="G693" s="61" t="str">
        <f aca="false">IF(LEN(A693&amp;"")=0,"",SUM(Base!F693,F693,Base!K693))</f>
        <v/>
      </c>
      <c r="H693" s="61" t="str">
        <f aca="false">IF(LEN(A693&amp;"")=0,"",Base!L693)</f>
        <v/>
      </c>
      <c r="I693" s="61" t="str">
        <f aca="false">IF(LEN(A693&amp;"")=0,"",G693-H693)</f>
        <v/>
      </c>
      <c r="J693" s="61" t="str">
        <f aca="false">IF(LEN(A693&amp;"")=0,"",Base!M693)</f>
        <v/>
      </c>
      <c r="K693" s="1" t="n">
        <f aca="false">IF(OR(LEN(A693&amp;"")=0,$P$3=0),0,IF(AND(B693&gt;=Painel!$B$8,B693&lt;=Painel!$G$8,OR(Painel!$L$8="Todos",C693=Painel!$L$8),OR(Painel!$Q$8="Todos",D693=Painel!$Q$8),OR(Painel!$V$8="Todas",E693=Painel!$V$8)),1,0))</f>
        <v>0</v>
      </c>
      <c r="L693" s="61" t="str">
        <f aca="false">IF(LEN(A693&amp;"")=0,"",J693-I693)</f>
        <v/>
      </c>
      <c r="M693" s="1" t="n">
        <f aca="false">IF(LEN(A693&amp;"")=0,0,IF(COUNTIFS(Base!$A$7:$A$1006,A693)&gt;1,1,0))</f>
        <v>0</v>
      </c>
      <c r="N693" s="1" t="n">
        <f aca="false">IF(LEN(A693&amp;"")=0,0,IF(ABS(L693)&gt;0.005,1,0))</f>
        <v>0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customFormat="false" ht="23" hidden="false" customHeight="true" outlineLevel="0" collapsed="false">
      <c r="A694" s="1" t="str">
        <f aca="false">IF(LEN(Base!A694&amp;"")=0,"",Base!A694)</f>
        <v/>
      </c>
      <c r="B694" s="60" t="str">
        <f aca="false">IF(LEN(A694&amp;"")=0,"",Base!D694)</f>
        <v/>
      </c>
      <c r="C694" s="1" t="str">
        <f aca="false">IF(LEN(A694&amp;"")=0,"",Base!C694)</f>
        <v/>
      </c>
      <c r="D694" s="1" t="str">
        <f aca="false">IF(LEN(A694&amp;"")=0,"",Base!G694)</f>
        <v/>
      </c>
      <c r="E694" s="1" t="str">
        <f aca="false">IF(LEN(A694&amp;"")=0,"",Base!E694)</f>
        <v/>
      </c>
      <c r="F694" s="61" t="str">
        <f aca="false">IF(LEN(A694&amp;"")=0,"",IF(Base!I694="-",0,Base!I694))</f>
        <v/>
      </c>
      <c r="G694" s="61" t="str">
        <f aca="false">IF(LEN(A694&amp;"")=0,"",SUM(Base!F694,F694,Base!K694))</f>
        <v/>
      </c>
      <c r="H694" s="61" t="str">
        <f aca="false">IF(LEN(A694&amp;"")=0,"",Base!L694)</f>
        <v/>
      </c>
      <c r="I694" s="61" t="str">
        <f aca="false">IF(LEN(A694&amp;"")=0,"",G694-H694)</f>
        <v/>
      </c>
      <c r="J694" s="61" t="str">
        <f aca="false">IF(LEN(A694&amp;"")=0,"",Base!M694)</f>
        <v/>
      </c>
      <c r="K694" s="1" t="n">
        <f aca="false">IF(OR(LEN(A694&amp;"")=0,$P$3=0),0,IF(AND(B694&gt;=Painel!$B$8,B694&lt;=Painel!$G$8,OR(Painel!$L$8="Todos",C694=Painel!$L$8),OR(Painel!$Q$8="Todos",D694=Painel!$Q$8),OR(Painel!$V$8="Todas",E694=Painel!$V$8)),1,0))</f>
        <v>0</v>
      </c>
      <c r="L694" s="61" t="str">
        <f aca="false">IF(LEN(A694&amp;"")=0,"",J694-I694)</f>
        <v/>
      </c>
      <c r="M694" s="1" t="n">
        <f aca="false">IF(LEN(A694&amp;"")=0,0,IF(COUNTIFS(Base!$A$7:$A$1006,A694)&gt;1,1,0))</f>
        <v>0</v>
      </c>
      <c r="N694" s="1" t="n">
        <f aca="false">IF(LEN(A694&amp;"")=0,0,IF(ABS(L694)&gt;0.005,1,0))</f>
        <v>0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customFormat="false" ht="23" hidden="false" customHeight="true" outlineLevel="0" collapsed="false">
      <c r="A695" s="1" t="str">
        <f aca="false">IF(LEN(Base!A695&amp;"")=0,"",Base!A695)</f>
        <v/>
      </c>
      <c r="B695" s="60" t="str">
        <f aca="false">IF(LEN(A695&amp;"")=0,"",Base!D695)</f>
        <v/>
      </c>
      <c r="C695" s="1" t="str">
        <f aca="false">IF(LEN(A695&amp;"")=0,"",Base!C695)</f>
        <v/>
      </c>
      <c r="D695" s="1" t="str">
        <f aca="false">IF(LEN(A695&amp;"")=0,"",Base!G695)</f>
        <v/>
      </c>
      <c r="E695" s="1" t="str">
        <f aca="false">IF(LEN(A695&amp;"")=0,"",Base!E695)</f>
        <v/>
      </c>
      <c r="F695" s="61" t="str">
        <f aca="false">IF(LEN(A695&amp;"")=0,"",IF(Base!I695="-",0,Base!I695))</f>
        <v/>
      </c>
      <c r="G695" s="61" t="str">
        <f aca="false">IF(LEN(A695&amp;"")=0,"",SUM(Base!F695,F695,Base!K695))</f>
        <v/>
      </c>
      <c r="H695" s="61" t="str">
        <f aca="false">IF(LEN(A695&amp;"")=0,"",Base!L695)</f>
        <v/>
      </c>
      <c r="I695" s="61" t="str">
        <f aca="false">IF(LEN(A695&amp;"")=0,"",G695-H695)</f>
        <v/>
      </c>
      <c r="J695" s="61" t="str">
        <f aca="false">IF(LEN(A695&amp;"")=0,"",Base!M695)</f>
        <v/>
      </c>
      <c r="K695" s="1" t="n">
        <f aca="false">IF(OR(LEN(A695&amp;"")=0,$P$3=0),0,IF(AND(B695&gt;=Painel!$B$8,B695&lt;=Painel!$G$8,OR(Painel!$L$8="Todos",C695=Painel!$L$8),OR(Painel!$Q$8="Todos",D695=Painel!$Q$8),OR(Painel!$V$8="Todas",E695=Painel!$V$8)),1,0))</f>
        <v>0</v>
      </c>
      <c r="L695" s="61" t="str">
        <f aca="false">IF(LEN(A695&amp;"")=0,"",J695-I695)</f>
        <v/>
      </c>
      <c r="M695" s="1" t="n">
        <f aca="false">IF(LEN(A695&amp;"")=0,0,IF(COUNTIFS(Base!$A$7:$A$1006,A695)&gt;1,1,0))</f>
        <v>0</v>
      </c>
      <c r="N695" s="1" t="n">
        <f aca="false">IF(LEN(A695&amp;"")=0,0,IF(ABS(L695)&gt;0.005,1,0))</f>
        <v>0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customFormat="false" ht="23" hidden="false" customHeight="true" outlineLevel="0" collapsed="false">
      <c r="A696" s="1" t="str">
        <f aca="false">IF(LEN(Base!A696&amp;"")=0,"",Base!A696)</f>
        <v/>
      </c>
      <c r="B696" s="60" t="str">
        <f aca="false">IF(LEN(A696&amp;"")=0,"",Base!D696)</f>
        <v/>
      </c>
      <c r="C696" s="1" t="str">
        <f aca="false">IF(LEN(A696&amp;"")=0,"",Base!C696)</f>
        <v/>
      </c>
      <c r="D696" s="1" t="str">
        <f aca="false">IF(LEN(A696&amp;"")=0,"",Base!G696)</f>
        <v/>
      </c>
      <c r="E696" s="1" t="str">
        <f aca="false">IF(LEN(A696&amp;"")=0,"",Base!E696)</f>
        <v/>
      </c>
      <c r="F696" s="61" t="str">
        <f aca="false">IF(LEN(A696&amp;"")=0,"",IF(Base!I696="-",0,Base!I696))</f>
        <v/>
      </c>
      <c r="G696" s="61" t="str">
        <f aca="false">IF(LEN(A696&amp;"")=0,"",SUM(Base!F696,F696,Base!K696))</f>
        <v/>
      </c>
      <c r="H696" s="61" t="str">
        <f aca="false">IF(LEN(A696&amp;"")=0,"",Base!L696)</f>
        <v/>
      </c>
      <c r="I696" s="61" t="str">
        <f aca="false">IF(LEN(A696&amp;"")=0,"",G696-H696)</f>
        <v/>
      </c>
      <c r="J696" s="61" t="str">
        <f aca="false">IF(LEN(A696&amp;"")=0,"",Base!M696)</f>
        <v/>
      </c>
      <c r="K696" s="1" t="n">
        <f aca="false">IF(OR(LEN(A696&amp;"")=0,$P$3=0),0,IF(AND(B696&gt;=Painel!$B$8,B696&lt;=Painel!$G$8,OR(Painel!$L$8="Todos",C696=Painel!$L$8),OR(Painel!$Q$8="Todos",D696=Painel!$Q$8),OR(Painel!$V$8="Todas",E696=Painel!$V$8)),1,0))</f>
        <v>0</v>
      </c>
      <c r="L696" s="61" t="str">
        <f aca="false">IF(LEN(A696&amp;"")=0,"",J696-I696)</f>
        <v/>
      </c>
      <c r="M696" s="1" t="n">
        <f aca="false">IF(LEN(A696&amp;"")=0,0,IF(COUNTIFS(Base!$A$7:$A$1006,A696)&gt;1,1,0))</f>
        <v>0</v>
      </c>
      <c r="N696" s="1" t="n">
        <f aca="false">IF(LEN(A696&amp;"")=0,0,IF(ABS(L696)&gt;0.005,1,0))</f>
        <v>0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customFormat="false" ht="23" hidden="false" customHeight="true" outlineLevel="0" collapsed="false">
      <c r="A697" s="1" t="str">
        <f aca="false">IF(LEN(Base!A697&amp;"")=0,"",Base!A697)</f>
        <v/>
      </c>
      <c r="B697" s="60" t="str">
        <f aca="false">IF(LEN(A697&amp;"")=0,"",Base!D697)</f>
        <v/>
      </c>
      <c r="C697" s="1" t="str">
        <f aca="false">IF(LEN(A697&amp;"")=0,"",Base!C697)</f>
        <v/>
      </c>
      <c r="D697" s="1" t="str">
        <f aca="false">IF(LEN(A697&amp;"")=0,"",Base!G697)</f>
        <v/>
      </c>
      <c r="E697" s="1" t="str">
        <f aca="false">IF(LEN(A697&amp;"")=0,"",Base!E697)</f>
        <v/>
      </c>
      <c r="F697" s="61" t="str">
        <f aca="false">IF(LEN(A697&amp;"")=0,"",IF(Base!I697="-",0,Base!I697))</f>
        <v/>
      </c>
      <c r="G697" s="61" t="str">
        <f aca="false">IF(LEN(A697&amp;"")=0,"",SUM(Base!F697,F697,Base!K697))</f>
        <v/>
      </c>
      <c r="H697" s="61" t="str">
        <f aca="false">IF(LEN(A697&amp;"")=0,"",Base!L697)</f>
        <v/>
      </c>
      <c r="I697" s="61" t="str">
        <f aca="false">IF(LEN(A697&amp;"")=0,"",G697-H697)</f>
        <v/>
      </c>
      <c r="J697" s="61" t="str">
        <f aca="false">IF(LEN(A697&amp;"")=0,"",Base!M697)</f>
        <v/>
      </c>
      <c r="K697" s="1" t="n">
        <f aca="false">IF(OR(LEN(A697&amp;"")=0,$P$3=0),0,IF(AND(B697&gt;=Painel!$B$8,B697&lt;=Painel!$G$8,OR(Painel!$L$8="Todos",C697=Painel!$L$8),OR(Painel!$Q$8="Todos",D697=Painel!$Q$8),OR(Painel!$V$8="Todas",E697=Painel!$V$8)),1,0))</f>
        <v>0</v>
      </c>
      <c r="L697" s="61" t="str">
        <f aca="false">IF(LEN(A697&amp;"")=0,"",J697-I697)</f>
        <v/>
      </c>
      <c r="M697" s="1" t="n">
        <f aca="false">IF(LEN(A697&amp;"")=0,0,IF(COUNTIFS(Base!$A$7:$A$1006,A697)&gt;1,1,0))</f>
        <v>0</v>
      </c>
      <c r="N697" s="1" t="n">
        <f aca="false">IF(LEN(A697&amp;"")=0,0,IF(ABS(L697)&gt;0.005,1,0))</f>
        <v>0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customFormat="false" ht="23" hidden="false" customHeight="true" outlineLevel="0" collapsed="false">
      <c r="A698" s="1" t="str">
        <f aca="false">IF(LEN(Base!A698&amp;"")=0,"",Base!A698)</f>
        <v/>
      </c>
      <c r="B698" s="60" t="str">
        <f aca="false">IF(LEN(A698&amp;"")=0,"",Base!D698)</f>
        <v/>
      </c>
      <c r="C698" s="1" t="str">
        <f aca="false">IF(LEN(A698&amp;"")=0,"",Base!C698)</f>
        <v/>
      </c>
      <c r="D698" s="1" t="str">
        <f aca="false">IF(LEN(A698&amp;"")=0,"",Base!G698)</f>
        <v/>
      </c>
      <c r="E698" s="1" t="str">
        <f aca="false">IF(LEN(A698&amp;"")=0,"",Base!E698)</f>
        <v/>
      </c>
      <c r="F698" s="61" t="str">
        <f aca="false">IF(LEN(A698&amp;"")=0,"",IF(Base!I698="-",0,Base!I698))</f>
        <v/>
      </c>
      <c r="G698" s="61" t="str">
        <f aca="false">IF(LEN(A698&amp;"")=0,"",SUM(Base!F698,F698,Base!K698))</f>
        <v/>
      </c>
      <c r="H698" s="61" t="str">
        <f aca="false">IF(LEN(A698&amp;"")=0,"",Base!L698)</f>
        <v/>
      </c>
      <c r="I698" s="61" t="str">
        <f aca="false">IF(LEN(A698&amp;"")=0,"",G698-H698)</f>
        <v/>
      </c>
      <c r="J698" s="61" t="str">
        <f aca="false">IF(LEN(A698&amp;"")=0,"",Base!M698)</f>
        <v/>
      </c>
      <c r="K698" s="1" t="n">
        <f aca="false">IF(OR(LEN(A698&amp;"")=0,$P$3=0),0,IF(AND(B698&gt;=Painel!$B$8,B698&lt;=Painel!$G$8,OR(Painel!$L$8="Todos",C698=Painel!$L$8),OR(Painel!$Q$8="Todos",D698=Painel!$Q$8),OR(Painel!$V$8="Todas",E698=Painel!$V$8)),1,0))</f>
        <v>0</v>
      </c>
      <c r="L698" s="61" t="str">
        <f aca="false">IF(LEN(A698&amp;"")=0,"",J698-I698)</f>
        <v/>
      </c>
      <c r="M698" s="1" t="n">
        <f aca="false">IF(LEN(A698&amp;"")=0,0,IF(COUNTIFS(Base!$A$7:$A$1006,A698)&gt;1,1,0))</f>
        <v>0</v>
      </c>
      <c r="N698" s="1" t="n">
        <f aca="false">IF(LEN(A698&amp;"")=0,0,IF(ABS(L698)&gt;0.005,1,0))</f>
        <v>0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customFormat="false" ht="23" hidden="false" customHeight="true" outlineLevel="0" collapsed="false">
      <c r="A699" s="1" t="str">
        <f aca="false">IF(LEN(Base!A699&amp;"")=0,"",Base!A699)</f>
        <v/>
      </c>
      <c r="B699" s="60" t="str">
        <f aca="false">IF(LEN(A699&amp;"")=0,"",Base!D699)</f>
        <v/>
      </c>
      <c r="C699" s="1" t="str">
        <f aca="false">IF(LEN(A699&amp;"")=0,"",Base!C699)</f>
        <v/>
      </c>
      <c r="D699" s="1" t="str">
        <f aca="false">IF(LEN(A699&amp;"")=0,"",Base!G699)</f>
        <v/>
      </c>
      <c r="E699" s="1" t="str">
        <f aca="false">IF(LEN(A699&amp;"")=0,"",Base!E699)</f>
        <v/>
      </c>
      <c r="F699" s="61" t="str">
        <f aca="false">IF(LEN(A699&amp;"")=0,"",IF(Base!I699="-",0,Base!I699))</f>
        <v/>
      </c>
      <c r="G699" s="61" t="str">
        <f aca="false">IF(LEN(A699&amp;"")=0,"",SUM(Base!F699,F699,Base!K699))</f>
        <v/>
      </c>
      <c r="H699" s="61" t="str">
        <f aca="false">IF(LEN(A699&amp;"")=0,"",Base!L699)</f>
        <v/>
      </c>
      <c r="I699" s="61" t="str">
        <f aca="false">IF(LEN(A699&amp;"")=0,"",G699-H699)</f>
        <v/>
      </c>
      <c r="J699" s="61" t="str">
        <f aca="false">IF(LEN(A699&amp;"")=0,"",Base!M699)</f>
        <v/>
      </c>
      <c r="K699" s="1" t="n">
        <f aca="false">IF(OR(LEN(A699&amp;"")=0,$P$3=0),0,IF(AND(B699&gt;=Painel!$B$8,B699&lt;=Painel!$G$8,OR(Painel!$L$8="Todos",C699=Painel!$L$8),OR(Painel!$Q$8="Todos",D699=Painel!$Q$8),OR(Painel!$V$8="Todas",E699=Painel!$V$8)),1,0))</f>
        <v>0</v>
      </c>
      <c r="L699" s="61" t="str">
        <f aca="false">IF(LEN(A699&amp;"")=0,"",J699-I699)</f>
        <v/>
      </c>
      <c r="M699" s="1" t="n">
        <f aca="false">IF(LEN(A699&amp;"")=0,0,IF(COUNTIFS(Base!$A$7:$A$1006,A699)&gt;1,1,0))</f>
        <v>0</v>
      </c>
      <c r="N699" s="1" t="n">
        <f aca="false">IF(LEN(A699&amp;"")=0,0,IF(ABS(L699)&gt;0.005,1,0))</f>
        <v>0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customFormat="false" ht="23" hidden="false" customHeight="true" outlineLevel="0" collapsed="false">
      <c r="A700" s="1" t="str">
        <f aca="false">IF(LEN(Base!A700&amp;"")=0,"",Base!A700)</f>
        <v/>
      </c>
      <c r="B700" s="60" t="str">
        <f aca="false">IF(LEN(A700&amp;"")=0,"",Base!D700)</f>
        <v/>
      </c>
      <c r="C700" s="1" t="str">
        <f aca="false">IF(LEN(A700&amp;"")=0,"",Base!C700)</f>
        <v/>
      </c>
      <c r="D700" s="1" t="str">
        <f aca="false">IF(LEN(A700&amp;"")=0,"",Base!G700)</f>
        <v/>
      </c>
      <c r="E700" s="1" t="str">
        <f aca="false">IF(LEN(A700&amp;"")=0,"",Base!E700)</f>
        <v/>
      </c>
      <c r="F700" s="61" t="str">
        <f aca="false">IF(LEN(A700&amp;"")=0,"",IF(Base!I700="-",0,Base!I700))</f>
        <v/>
      </c>
      <c r="G700" s="61" t="str">
        <f aca="false">IF(LEN(A700&amp;"")=0,"",SUM(Base!F700,F700,Base!K700))</f>
        <v/>
      </c>
      <c r="H700" s="61" t="str">
        <f aca="false">IF(LEN(A700&amp;"")=0,"",Base!L700)</f>
        <v/>
      </c>
      <c r="I700" s="61" t="str">
        <f aca="false">IF(LEN(A700&amp;"")=0,"",G700-H700)</f>
        <v/>
      </c>
      <c r="J700" s="61" t="str">
        <f aca="false">IF(LEN(A700&amp;"")=0,"",Base!M700)</f>
        <v/>
      </c>
      <c r="K700" s="1" t="n">
        <f aca="false">IF(OR(LEN(A700&amp;"")=0,$P$3=0),0,IF(AND(B700&gt;=Painel!$B$8,B700&lt;=Painel!$G$8,OR(Painel!$L$8="Todos",C700=Painel!$L$8),OR(Painel!$Q$8="Todos",D700=Painel!$Q$8),OR(Painel!$V$8="Todas",E700=Painel!$V$8)),1,0))</f>
        <v>0</v>
      </c>
      <c r="L700" s="61" t="str">
        <f aca="false">IF(LEN(A700&amp;"")=0,"",J700-I700)</f>
        <v/>
      </c>
      <c r="M700" s="1" t="n">
        <f aca="false">IF(LEN(A700&amp;"")=0,0,IF(COUNTIFS(Base!$A$7:$A$1006,A700)&gt;1,1,0))</f>
        <v>0</v>
      </c>
      <c r="N700" s="1" t="n">
        <f aca="false">IF(LEN(A700&amp;"")=0,0,IF(ABS(L700)&gt;0.005,1,0))</f>
        <v>0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customFormat="false" ht="23" hidden="false" customHeight="true" outlineLevel="0" collapsed="false">
      <c r="A701" s="1" t="str">
        <f aca="false">IF(LEN(Base!A701&amp;"")=0,"",Base!A701)</f>
        <v/>
      </c>
      <c r="B701" s="60" t="str">
        <f aca="false">IF(LEN(A701&amp;"")=0,"",Base!D701)</f>
        <v/>
      </c>
      <c r="C701" s="1" t="str">
        <f aca="false">IF(LEN(A701&amp;"")=0,"",Base!C701)</f>
        <v/>
      </c>
      <c r="D701" s="1" t="str">
        <f aca="false">IF(LEN(A701&amp;"")=0,"",Base!G701)</f>
        <v/>
      </c>
      <c r="E701" s="1" t="str">
        <f aca="false">IF(LEN(A701&amp;"")=0,"",Base!E701)</f>
        <v/>
      </c>
      <c r="F701" s="61" t="str">
        <f aca="false">IF(LEN(A701&amp;"")=0,"",IF(Base!I701="-",0,Base!I701))</f>
        <v/>
      </c>
      <c r="G701" s="61" t="str">
        <f aca="false">IF(LEN(A701&amp;"")=0,"",SUM(Base!F701,F701,Base!K701))</f>
        <v/>
      </c>
      <c r="H701" s="61" t="str">
        <f aca="false">IF(LEN(A701&amp;"")=0,"",Base!L701)</f>
        <v/>
      </c>
      <c r="I701" s="61" t="str">
        <f aca="false">IF(LEN(A701&amp;"")=0,"",G701-H701)</f>
        <v/>
      </c>
      <c r="J701" s="61" t="str">
        <f aca="false">IF(LEN(A701&amp;"")=0,"",Base!M701)</f>
        <v/>
      </c>
      <c r="K701" s="1" t="n">
        <f aca="false">IF(OR(LEN(A701&amp;"")=0,$P$3=0),0,IF(AND(B701&gt;=Painel!$B$8,B701&lt;=Painel!$G$8,OR(Painel!$L$8="Todos",C701=Painel!$L$8),OR(Painel!$Q$8="Todos",D701=Painel!$Q$8),OR(Painel!$V$8="Todas",E701=Painel!$V$8)),1,0))</f>
        <v>0</v>
      </c>
      <c r="L701" s="61" t="str">
        <f aca="false">IF(LEN(A701&amp;"")=0,"",J701-I701)</f>
        <v/>
      </c>
      <c r="M701" s="1" t="n">
        <f aca="false">IF(LEN(A701&amp;"")=0,0,IF(COUNTIFS(Base!$A$7:$A$1006,A701)&gt;1,1,0))</f>
        <v>0</v>
      </c>
      <c r="N701" s="1" t="n">
        <f aca="false">IF(LEN(A701&amp;"")=0,0,IF(ABS(L701)&gt;0.005,1,0))</f>
        <v>0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customFormat="false" ht="23" hidden="false" customHeight="true" outlineLevel="0" collapsed="false">
      <c r="A702" s="1" t="str">
        <f aca="false">IF(LEN(Base!A702&amp;"")=0,"",Base!A702)</f>
        <v/>
      </c>
      <c r="B702" s="60" t="str">
        <f aca="false">IF(LEN(A702&amp;"")=0,"",Base!D702)</f>
        <v/>
      </c>
      <c r="C702" s="1" t="str">
        <f aca="false">IF(LEN(A702&amp;"")=0,"",Base!C702)</f>
        <v/>
      </c>
      <c r="D702" s="1" t="str">
        <f aca="false">IF(LEN(A702&amp;"")=0,"",Base!G702)</f>
        <v/>
      </c>
      <c r="E702" s="1" t="str">
        <f aca="false">IF(LEN(A702&amp;"")=0,"",Base!E702)</f>
        <v/>
      </c>
      <c r="F702" s="61" t="str">
        <f aca="false">IF(LEN(A702&amp;"")=0,"",IF(Base!I702="-",0,Base!I702))</f>
        <v/>
      </c>
      <c r="G702" s="61" t="str">
        <f aca="false">IF(LEN(A702&amp;"")=0,"",SUM(Base!F702,F702,Base!K702))</f>
        <v/>
      </c>
      <c r="H702" s="61" t="str">
        <f aca="false">IF(LEN(A702&amp;"")=0,"",Base!L702)</f>
        <v/>
      </c>
      <c r="I702" s="61" t="str">
        <f aca="false">IF(LEN(A702&amp;"")=0,"",G702-H702)</f>
        <v/>
      </c>
      <c r="J702" s="61" t="str">
        <f aca="false">IF(LEN(A702&amp;"")=0,"",Base!M702)</f>
        <v/>
      </c>
      <c r="K702" s="1" t="n">
        <f aca="false">IF(OR(LEN(A702&amp;"")=0,$P$3=0),0,IF(AND(B702&gt;=Painel!$B$8,B702&lt;=Painel!$G$8,OR(Painel!$L$8="Todos",C702=Painel!$L$8),OR(Painel!$Q$8="Todos",D702=Painel!$Q$8),OR(Painel!$V$8="Todas",E702=Painel!$V$8)),1,0))</f>
        <v>0</v>
      </c>
      <c r="L702" s="61" t="str">
        <f aca="false">IF(LEN(A702&amp;"")=0,"",J702-I702)</f>
        <v/>
      </c>
      <c r="M702" s="1" t="n">
        <f aca="false">IF(LEN(A702&amp;"")=0,0,IF(COUNTIFS(Base!$A$7:$A$1006,A702)&gt;1,1,0))</f>
        <v>0</v>
      </c>
      <c r="N702" s="1" t="n">
        <f aca="false">IF(LEN(A702&amp;"")=0,0,IF(ABS(L702)&gt;0.005,1,0))</f>
        <v>0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customFormat="false" ht="23" hidden="false" customHeight="true" outlineLevel="0" collapsed="false">
      <c r="A703" s="1" t="str">
        <f aca="false">IF(LEN(Base!A703&amp;"")=0,"",Base!A703)</f>
        <v/>
      </c>
      <c r="B703" s="60" t="str">
        <f aca="false">IF(LEN(A703&amp;"")=0,"",Base!D703)</f>
        <v/>
      </c>
      <c r="C703" s="1" t="str">
        <f aca="false">IF(LEN(A703&amp;"")=0,"",Base!C703)</f>
        <v/>
      </c>
      <c r="D703" s="1" t="str">
        <f aca="false">IF(LEN(A703&amp;"")=0,"",Base!G703)</f>
        <v/>
      </c>
      <c r="E703" s="1" t="str">
        <f aca="false">IF(LEN(A703&amp;"")=0,"",Base!E703)</f>
        <v/>
      </c>
      <c r="F703" s="61" t="str">
        <f aca="false">IF(LEN(A703&amp;"")=0,"",IF(Base!I703="-",0,Base!I703))</f>
        <v/>
      </c>
      <c r="G703" s="61" t="str">
        <f aca="false">IF(LEN(A703&amp;"")=0,"",SUM(Base!F703,F703,Base!K703))</f>
        <v/>
      </c>
      <c r="H703" s="61" t="str">
        <f aca="false">IF(LEN(A703&amp;"")=0,"",Base!L703)</f>
        <v/>
      </c>
      <c r="I703" s="61" t="str">
        <f aca="false">IF(LEN(A703&amp;"")=0,"",G703-H703)</f>
        <v/>
      </c>
      <c r="J703" s="61" t="str">
        <f aca="false">IF(LEN(A703&amp;"")=0,"",Base!M703)</f>
        <v/>
      </c>
      <c r="K703" s="1" t="n">
        <f aca="false">IF(OR(LEN(A703&amp;"")=0,$P$3=0),0,IF(AND(B703&gt;=Painel!$B$8,B703&lt;=Painel!$G$8,OR(Painel!$L$8="Todos",C703=Painel!$L$8),OR(Painel!$Q$8="Todos",D703=Painel!$Q$8),OR(Painel!$V$8="Todas",E703=Painel!$V$8)),1,0))</f>
        <v>0</v>
      </c>
      <c r="L703" s="61" t="str">
        <f aca="false">IF(LEN(A703&amp;"")=0,"",J703-I703)</f>
        <v/>
      </c>
      <c r="M703" s="1" t="n">
        <f aca="false">IF(LEN(A703&amp;"")=0,0,IF(COUNTIFS(Base!$A$7:$A$1006,A703)&gt;1,1,0))</f>
        <v>0</v>
      </c>
      <c r="N703" s="1" t="n">
        <f aca="false">IF(LEN(A703&amp;"")=0,0,IF(ABS(L703)&gt;0.005,1,0))</f>
        <v>0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customFormat="false" ht="23" hidden="false" customHeight="true" outlineLevel="0" collapsed="false">
      <c r="A704" s="1" t="str">
        <f aca="false">IF(LEN(Base!A704&amp;"")=0,"",Base!A704)</f>
        <v/>
      </c>
      <c r="B704" s="60" t="str">
        <f aca="false">IF(LEN(A704&amp;"")=0,"",Base!D704)</f>
        <v/>
      </c>
      <c r="C704" s="1" t="str">
        <f aca="false">IF(LEN(A704&amp;"")=0,"",Base!C704)</f>
        <v/>
      </c>
      <c r="D704" s="1" t="str">
        <f aca="false">IF(LEN(A704&amp;"")=0,"",Base!G704)</f>
        <v/>
      </c>
      <c r="E704" s="1" t="str">
        <f aca="false">IF(LEN(A704&amp;"")=0,"",Base!E704)</f>
        <v/>
      </c>
      <c r="F704" s="61" t="str">
        <f aca="false">IF(LEN(A704&amp;"")=0,"",IF(Base!I704="-",0,Base!I704))</f>
        <v/>
      </c>
      <c r="G704" s="61" t="str">
        <f aca="false">IF(LEN(A704&amp;"")=0,"",SUM(Base!F704,F704,Base!K704))</f>
        <v/>
      </c>
      <c r="H704" s="61" t="str">
        <f aca="false">IF(LEN(A704&amp;"")=0,"",Base!L704)</f>
        <v/>
      </c>
      <c r="I704" s="61" t="str">
        <f aca="false">IF(LEN(A704&amp;"")=0,"",G704-H704)</f>
        <v/>
      </c>
      <c r="J704" s="61" t="str">
        <f aca="false">IF(LEN(A704&amp;"")=0,"",Base!M704)</f>
        <v/>
      </c>
      <c r="K704" s="1" t="n">
        <f aca="false">IF(OR(LEN(A704&amp;"")=0,$P$3=0),0,IF(AND(B704&gt;=Painel!$B$8,B704&lt;=Painel!$G$8,OR(Painel!$L$8="Todos",C704=Painel!$L$8),OR(Painel!$Q$8="Todos",D704=Painel!$Q$8),OR(Painel!$V$8="Todas",E704=Painel!$V$8)),1,0))</f>
        <v>0</v>
      </c>
      <c r="L704" s="61" t="str">
        <f aca="false">IF(LEN(A704&amp;"")=0,"",J704-I704)</f>
        <v/>
      </c>
      <c r="M704" s="1" t="n">
        <f aca="false">IF(LEN(A704&amp;"")=0,0,IF(COUNTIFS(Base!$A$7:$A$1006,A704)&gt;1,1,0))</f>
        <v>0</v>
      </c>
      <c r="N704" s="1" t="n">
        <f aca="false">IF(LEN(A704&amp;"")=0,0,IF(ABS(L704)&gt;0.005,1,0))</f>
        <v>0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customFormat="false" ht="23" hidden="false" customHeight="true" outlineLevel="0" collapsed="false">
      <c r="A705" s="1" t="str">
        <f aca="false">IF(LEN(Base!A705&amp;"")=0,"",Base!A705)</f>
        <v/>
      </c>
      <c r="B705" s="60" t="str">
        <f aca="false">IF(LEN(A705&amp;"")=0,"",Base!D705)</f>
        <v/>
      </c>
      <c r="C705" s="1" t="str">
        <f aca="false">IF(LEN(A705&amp;"")=0,"",Base!C705)</f>
        <v/>
      </c>
      <c r="D705" s="1" t="str">
        <f aca="false">IF(LEN(A705&amp;"")=0,"",Base!G705)</f>
        <v/>
      </c>
      <c r="E705" s="1" t="str">
        <f aca="false">IF(LEN(A705&amp;"")=0,"",Base!E705)</f>
        <v/>
      </c>
      <c r="F705" s="61" t="str">
        <f aca="false">IF(LEN(A705&amp;"")=0,"",IF(Base!I705="-",0,Base!I705))</f>
        <v/>
      </c>
      <c r="G705" s="61" t="str">
        <f aca="false">IF(LEN(A705&amp;"")=0,"",SUM(Base!F705,F705,Base!K705))</f>
        <v/>
      </c>
      <c r="H705" s="61" t="str">
        <f aca="false">IF(LEN(A705&amp;"")=0,"",Base!L705)</f>
        <v/>
      </c>
      <c r="I705" s="61" t="str">
        <f aca="false">IF(LEN(A705&amp;"")=0,"",G705-H705)</f>
        <v/>
      </c>
      <c r="J705" s="61" t="str">
        <f aca="false">IF(LEN(A705&amp;"")=0,"",Base!M705)</f>
        <v/>
      </c>
      <c r="K705" s="1" t="n">
        <f aca="false">IF(OR(LEN(A705&amp;"")=0,$P$3=0),0,IF(AND(B705&gt;=Painel!$B$8,B705&lt;=Painel!$G$8,OR(Painel!$L$8="Todos",C705=Painel!$L$8),OR(Painel!$Q$8="Todos",D705=Painel!$Q$8),OR(Painel!$V$8="Todas",E705=Painel!$V$8)),1,0))</f>
        <v>0</v>
      </c>
      <c r="L705" s="61" t="str">
        <f aca="false">IF(LEN(A705&amp;"")=0,"",J705-I705)</f>
        <v/>
      </c>
      <c r="M705" s="1" t="n">
        <f aca="false">IF(LEN(A705&amp;"")=0,0,IF(COUNTIFS(Base!$A$7:$A$1006,A705)&gt;1,1,0))</f>
        <v>0</v>
      </c>
      <c r="N705" s="1" t="n">
        <f aca="false">IF(LEN(A705&amp;"")=0,0,IF(ABS(L705)&gt;0.005,1,0))</f>
        <v>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customFormat="false" ht="23" hidden="false" customHeight="true" outlineLevel="0" collapsed="false">
      <c r="A706" s="1" t="str">
        <f aca="false">IF(LEN(Base!A706&amp;"")=0,"",Base!A706)</f>
        <v/>
      </c>
      <c r="B706" s="60" t="str">
        <f aca="false">IF(LEN(A706&amp;"")=0,"",Base!D706)</f>
        <v/>
      </c>
      <c r="C706" s="1" t="str">
        <f aca="false">IF(LEN(A706&amp;"")=0,"",Base!C706)</f>
        <v/>
      </c>
      <c r="D706" s="1" t="str">
        <f aca="false">IF(LEN(A706&amp;"")=0,"",Base!G706)</f>
        <v/>
      </c>
      <c r="E706" s="1" t="str">
        <f aca="false">IF(LEN(A706&amp;"")=0,"",Base!E706)</f>
        <v/>
      </c>
      <c r="F706" s="61" t="str">
        <f aca="false">IF(LEN(A706&amp;"")=0,"",IF(Base!I706="-",0,Base!I706))</f>
        <v/>
      </c>
      <c r="G706" s="61" t="str">
        <f aca="false">IF(LEN(A706&amp;"")=0,"",SUM(Base!F706,F706,Base!K706))</f>
        <v/>
      </c>
      <c r="H706" s="61" t="str">
        <f aca="false">IF(LEN(A706&amp;"")=0,"",Base!L706)</f>
        <v/>
      </c>
      <c r="I706" s="61" t="str">
        <f aca="false">IF(LEN(A706&amp;"")=0,"",G706-H706)</f>
        <v/>
      </c>
      <c r="J706" s="61" t="str">
        <f aca="false">IF(LEN(A706&amp;"")=0,"",Base!M706)</f>
        <v/>
      </c>
      <c r="K706" s="1" t="n">
        <f aca="false">IF(OR(LEN(A706&amp;"")=0,$P$3=0),0,IF(AND(B706&gt;=Painel!$B$8,B706&lt;=Painel!$G$8,OR(Painel!$L$8="Todos",C706=Painel!$L$8),OR(Painel!$Q$8="Todos",D706=Painel!$Q$8),OR(Painel!$V$8="Todas",E706=Painel!$V$8)),1,0))</f>
        <v>0</v>
      </c>
      <c r="L706" s="61" t="str">
        <f aca="false">IF(LEN(A706&amp;"")=0,"",J706-I706)</f>
        <v/>
      </c>
      <c r="M706" s="1" t="n">
        <f aca="false">IF(LEN(A706&amp;"")=0,0,IF(COUNTIFS(Base!$A$7:$A$1006,A706)&gt;1,1,0))</f>
        <v>0</v>
      </c>
      <c r="N706" s="1" t="n">
        <f aca="false">IF(LEN(A706&amp;"")=0,0,IF(ABS(L706)&gt;0.005,1,0))</f>
        <v>0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customFormat="false" ht="23" hidden="false" customHeight="true" outlineLevel="0" collapsed="false">
      <c r="A707" s="1" t="str">
        <f aca="false">IF(LEN(Base!A707&amp;"")=0,"",Base!A707)</f>
        <v/>
      </c>
      <c r="B707" s="60" t="str">
        <f aca="false">IF(LEN(A707&amp;"")=0,"",Base!D707)</f>
        <v/>
      </c>
      <c r="C707" s="1" t="str">
        <f aca="false">IF(LEN(A707&amp;"")=0,"",Base!C707)</f>
        <v/>
      </c>
      <c r="D707" s="1" t="str">
        <f aca="false">IF(LEN(A707&amp;"")=0,"",Base!G707)</f>
        <v/>
      </c>
      <c r="E707" s="1" t="str">
        <f aca="false">IF(LEN(A707&amp;"")=0,"",Base!E707)</f>
        <v/>
      </c>
      <c r="F707" s="61" t="str">
        <f aca="false">IF(LEN(A707&amp;"")=0,"",IF(Base!I707="-",0,Base!I707))</f>
        <v/>
      </c>
      <c r="G707" s="61" t="str">
        <f aca="false">IF(LEN(A707&amp;"")=0,"",SUM(Base!F707,F707,Base!K707))</f>
        <v/>
      </c>
      <c r="H707" s="61" t="str">
        <f aca="false">IF(LEN(A707&amp;"")=0,"",Base!L707)</f>
        <v/>
      </c>
      <c r="I707" s="61" t="str">
        <f aca="false">IF(LEN(A707&amp;"")=0,"",G707-H707)</f>
        <v/>
      </c>
      <c r="J707" s="61" t="str">
        <f aca="false">IF(LEN(A707&amp;"")=0,"",Base!M707)</f>
        <v/>
      </c>
      <c r="K707" s="1" t="n">
        <f aca="false">IF(OR(LEN(A707&amp;"")=0,$P$3=0),0,IF(AND(B707&gt;=Painel!$B$8,B707&lt;=Painel!$G$8,OR(Painel!$L$8="Todos",C707=Painel!$L$8),OR(Painel!$Q$8="Todos",D707=Painel!$Q$8),OR(Painel!$V$8="Todas",E707=Painel!$V$8)),1,0))</f>
        <v>0</v>
      </c>
      <c r="L707" s="61" t="str">
        <f aca="false">IF(LEN(A707&amp;"")=0,"",J707-I707)</f>
        <v/>
      </c>
      <c r="M707" s="1" t="n">
        <f aca="false">IF(LEN(A707&amp;"")=0,0,IF(COUNTIFS(Base!$A$7:$A$1006,A707)&gt;1,1,0))</f>
        <v>0</v>
      </c>
      <c r="N707" s="1" t="n">
        <f aca="false">IF(LEN(A707&amp;"")=0,0,IF(ABS(L707)&gt;0.005,1,0))</f>
        <v>0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customFormat="false" ht="23" hidden="false" customHeight="true" outlineLevel="0" collapsed="false">
      <c r="A708" s="1" t="str">
        <f aca="false">IF(LEN(Base!A708&amp;"")=0,"",Base!A708)</f>
        <v/>
      </c>
      <c r="B708" s="60" t="str">
        <f aca="false">IF(LEN(A708&amp;"")=0,"",Base!D708)</f>
        <v/>
      </c>
      <c r="C708" s="1" t="str">
        <f aca="false">IF(LEN(A708&amp;"")=0,"",Base!C708)</f>
        <v/>
      </c>
      <c r="D708" s="1" t="str">
        <f aca="false">IF(LEN(A708&amp;"")=0,"",Base!G708)</f>
        <v/>
      </c>
      <c r="E708" s="1" t="str">
        <f aca="false">IF(LEN(A708&amp;"")=0,"",Base!E708)</f>
        <v/>
      </c>
      <c r="F708" s="61" t="str">
        <f aca="false">IF(LEN(A708&amp;"")=0,"",IF(Base!I708="-",0,Base!I708))</f>
        <v/>
      </c>
      <c r="G708" s="61" t="str">
        <f aca="false">IF(LEN(A708&amp;"")=0,"",SUM(Base!F708,F708,Base!K708))</f>
        <v/>
      </c>
      <c r="H708" s="61" t="str">
        <f aca="false">IF(LEN(A708&amp;"")=0,"",Base!L708)</f>
        <v/>
      </c>
      <c r="I708" s="61" t="str">
        <f aca="false">IF(LEN(A708&amp;"")=0,"",G708-H708)</f>
        <v/>
      </c>
      <c r="J708" s="61" t="str">
        <f aca="false">IF(LEN(A708&amp;"")=0,"",Base!M708)</f>
        <v/>
      </c>
      <c r="K708" s="1" t="n">
        <f aca="false">IF(OR(LEN(A708&amp;"")=0,$P$3=0),0,IF(AND(B708&gt;=Painel!$B$8,B708&lt;=Painel!$G$8,OR(Painel!$L$8="Todos",C708=Painel!$L$8),OR(Painel!$Q$8="Todos",D708=Painel!$Q$8),OR(Painel!$V$8="Todas",E708=Painel!$V$8)),1,0))</f>
        <v>0</v>
      </c>
      <c r="L708" s="61" t="str">
        <f aca="false">IF(LEN(A708&amp;"")=0,"",J708-I708)</f>
        <v/>
      </c>
      <c r="M708" s="1" t="n">
        <f aca="false">IF(LEN(A708&amp;"")=0,0,IF(COUNTIFS(Base!$A$7:$A$1006,A708)&gt;1,1,0))</f>
        <v>0</v>
      </c>
      <c r="N708" s="1" t="n">
        <f aca="false">IF(LEN(A708&amp;"")=0,0,IF(ABS(L708)&gt;0.005,1,0))</f>
        <v>0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customFormat="false" ht="23" hidden="false" customHeight="true" outlineLevel="0" collapsed="false">
      <c r="A709" s="1" t="str">
        <f aca="false">IF(LEN(Base!A709&amp;"")=0,"",Base!A709)</f>
        <v/>
      </c>
      <c r="B709" s="60" t="str">
        <f aca="false">IF(LEN(A709&amp;"")=0,"",Base!D709)</f>
        <v/>
      </c>
      <c r="C709" s="1" t="str">
        <f aca="false">IF(LEN(A709&amp;"")=0,"",Base!C709)</f>
        <v/>
      </c>
      <c r="D709" s="1" t="str">
        <f aca="false">IF(LEN(A709&amp;"")=0,"",Base!G709)</f>
        <v/>
      </c>
      <c r="E709" s="1" t="str">
        <f aca="false">IF(LEN(A709&amp;"")=0,"",Base!E709)</f>
        <v/>
      </c>
      <c r="F709" s="61" t="str">
        <f aca="false">IF(LEN(A709&amp;"")=0,"",IF(Base!I709="-",0,Base!I709))</f>
        <v/>
      </c>
      <c r="G709" s="61" t="str">
        <f aca="false">IF(LEN(A709&amp;"")=0,"",SUM(Base!F709,F709,Base!K709))</f>
        <v/>
      </c>
      <c r="H709" s="61" t="str">
        <f aca="false">IF(LEN(A709&amp;"")=0,"",Base!L709)</f>
        <v/>
      </c>
      <c r="I709" s="61" t="str">
        <f aca="false">IF(LEN(A709&amp;"")=0,"",G709-H709)</f>
        <v/>
      </c>
      <c r="J709" s="61" t="str">
        <f aca="false">IF(LEN(A709&amp;"")=0,"",Base!M709)</f>
        <v/>
      </c>
      <c r="K709" s="1" t="n">
        <f aca="false">IF(OR(LEN(A709&amp;"")=0,$P$3=0),0,IF(AND(B709&gt;=Painel!$B$8,B709&lt;=Painel!$G$8,OR(Painel!$L$8="Todos",C709=Painel!$L$8),OR(Painel!$Q$8="Todos",D709=Painel!$Q$8),OR(Painel!$V$8="Todas",E709=Painel!$V$8)),1,0))</f>
        <v>0</v>
      </c>
      <c r="L709" s="61" t="str">
        <f aca="false">IF(LEN(A709&amp;"")=0,"",J709-I709)</f>
        <v/>
      </c>
      <c r="M709" s="1" t="n">
        <f aca="false">IF(LEN(A709&amp;"")=0,0,IF(COUNTIFS(Base!$A$7:$A$1006,A709)&gt;1,1,0))</f>
        <v>0</v>
      </c>
      <c r="N709" s="1" t="n">
        <f aca="false">IF(LEN(A709&amp;"")=0,0,IF(ABS(L709)&gt;0.005,1,0))</f>
        <v>0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customFormat="false" ht="23" hidden="false" customHeight="true" outlineLevel="0" collapsed="false">
      <c r="A710" s="1" t="str">
        <f aca="false">IF(LEN(Base!A710&amp;"")=0,"",Base!A710)</f>
        <v/>
      </c>
      <c r="B710" s="60" t="str">
        <f aca="false">IF(LEN(A710&amp;"")=0,"",Base!D710)</f>
        <v/>
      </c>
      <c r="C710" s="1" t="str">
        <f aca="false">IF(LEN(A710&amp;"")=0,"",Base!C710)</f>
        <v/>
      </c>
      <c r="D710" s="1" t="str">
        <f aca="false">IF(LEN(A710&amp;"")=0,"",Base!G710)</f>
        <v/>
      </c>
      <c r="E710" s="1" t="str">
        <f aca="false">IF(LEN(A710&amp;"")=0,"",Base!E710)</f>
        <v/>
      </c>
      <c r="F710" s="61" t="str">
        <f aca="false">IF(LEN(A710&amp;"")=0,"",IF(Base!I710="-",0,Base!I710))</f>
        <v/>
      </c>
      <c r="G710" s="61" t="str">
        <f aca="false">IF(LEN(A710&amp;"")=0,"",SUM(Base!F710,F710,Base!K710))</f>
        <v/>
      </c>
      <c r="H710" s="61" t="str">
        <f aca="false">IF(LEN(A710&amp;"")=0,"",Base!L710)</f>
        <v/>
      </c>
      <c r="I710" s="61" t="str">
        <f aca="false">IF(LEN(A710&amp;"")=0,"",G710-H710)</f>
        <v/>
      </c>
      <c r="J710" s="61" t="str">
        <f aca="false">IF(LEN(A710&amp;"")=0,"",Base!M710)</f>
        <v/>
      </c>
      <c r="K710" s="1" t="n">
        <f aca="false">IF(OR(LEN(A710&amp;"")=0,$P$3=0),0,IF(AND(B710&gt;=Painel!$B$8,B710&lt;=Painel!$G$8,OR(Painel!$L$8="Todos",C710=Painel!$L$8),OR(Painel!$Q$8="Todos",D710=Painel!$Q$8),OR(Painel!$V$8="Todas",E710=Painel!$V$8)),1,0))</f>
        <v>0</v>
      </c>
      <c r="L710" s="61" t="str">
        <f aca="false">IF(LEN(A710&amp;"")=0,"",J710-I710)</f>
        <v/>
      </c>
      <c r="M710" s="1" t="n">
        <f aca="false">IF(LEN(A710&amp;"")=0,0,IF(COUNTIFS(Base!$A$7:$A$1006,A710)&gt;1,1,0))</f>
        <v>0</v>
      </c>
      <c r="N710" s="1" t="n">
        <f aca="false">IF(LEN(A710&amp;"")=0,0,IF(ABS(L710)&gt;0.005,1,0))</f>
        <v>0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customFormat="false" ht="23" hidden="false" customHeight="true" outlineLevel="0" collapsed="false">
      <c r="A711" s="1" t="str">
        <f aca="false">IF(LEN(Base!A711&amp;"")=0,"",Base!A711)</f>
        <v/>
      </c>
      <c r="B711" s="60" t="str">
        <f aca="false">IF(LEN(A711&amp;"")=0,"",Base!D711)</f>
        <v/>
      </c>
      <c r="C711" s="1" t="str">
        <f aca="false">IF(LEN(A711&amp;"")=0,"",Base!C711)</f>
        <v/>
      </c>
      <c r="D711" s="1" t="str">
        <f aca="false">IF(LEN(A711&amp;"")=0,"",Base!G711)</f>
        <v/>
      </c>
      <c r="E711" s="1" t="str">
        <f aca="false">IF(LEN(A711&amp;"")=0,"",Base!E711)</f>
        <v/>
      </c>
      <c r="F711" s="61" t="str">
        <f aca="false">IF(LEN(A711&amp;"")=0,"",IF(Base!I711="-",0,Base!I711))</f>
        <v/>
      </c>
      <c r="G711" s="61" t="str">
        <f aca="false">IF(LEN(A711&amp;"")=0,"",SUM(Base!F711,F711,Base!K711))</f>
        <v/>
      </c>
      <c r="H711" s="61" t="str">
        <f aca="false">IF(LEN(A711&amp;"")=0,"",Base!L711)</f>
        <v/>
      </c>
      <c r="I711" s="61" t="str">
        <f aca="false">IF(LEN(A711&amp;"")=0,"",G711-H711)</f>
        <v/>
      </c>
      <c r="J711" s="61" t="str">
        <f aca="false">IF(LEN(A711&amp;"")=0,"",Base!M711)</f>
        <v/>
      </c>
      <c r="K711" s="1" t="n">
        <f aca="false">IF(OR(LEN(A711&amp;"")=0,$P$3=0),0,IF(AND(B711&gt;=Painel!$B$8,B711&lt;=Painel!$G$8,OR(Painel!$L$8="Todos",C711=Painel!$L$8),OR(Painel!$Q$8="Todos",D711=Painel!$Q$8),OR(Painel!$V$8="Todas",E711=Painel!$V$8)),1,0))</f>
        <v>0</v>
      </c>
      <c r="L711" s="61" t="str">
        <f aca="false">IF(LEN(A711&amp;"")=0,"",J711-I711)</f>
        <v/>
      </c>
      <c r="M711" s="1" t="n">
        <f aca="false">IF(LEN(A711&amp;"")=0,0,IF(COUNTIFS(Base!$A$7:$A$1006,A711)&gt;1,1,0))</f>
        <v>0</v>
      </c>
      <c r="N711" s="1" t="n">
        <f aca="false">IF(LEN(A711&amp;"")=0,0,IF(ABS(L711)&gt;0.005,1,0))</f>
        <v>0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customFormat="false" ht="23" hidden="false" customHeight="true" outlineLevel="0" collapsed="false">
      <c r="A712" s="1" t="str">
        <f aca="false">IF(LEN(Base!A712&amp;"")=0,"",Base!A712)</f>
        <v/>
      </c>
      <c r="B712" s="60" t="str">
        <f aca="false">IF(LEN(A712&amp;"")=0,"",Base!D712)</f>
        <v/>
      </c>
      <c r="C712" s="1" t="str">
        <f aca="false">IF(LEN(A712&amp;"")=0,"",Base!C712)</f>
        <v/>
      </c>
      <c r="D712" s="1" t="str">
        <f aca="false">IF(LEN(A712&amp;"")=0,"",Base!G712)</f>
        <v/>
      </c>
      <c r="E712" s="1" t="str">
        <f aca="false">IF(LEN(A712&amp;"")=0,"",Base!E712)</f>
        <v/>
      </c>
      <c r="F712" s="61" t="str">
        <f aca="false">IF(LEN(A712&amp;"")=0,"",IF(Base!I712="-",0,Base!I712))</f>
        <v/>
      </c>
      <c r="G712" s="61" t="str">
        <f aca="false">IF(LEN(A712&amp;"")=0,"",SUM(Base!F712,F712,Base!K712))</f>
        <v/>
      </c>
      <c r="H712" s="61" t="str">
        <f aca="false">IF(LEN(A712&amp;"")=0,"",Base!L712)</f>
        <v/>
      </c>
      <c r="I712" s="61" t="str">
        <f aca="false">IF(LEN(A712&amp;"")=0,"",G712-H712)</f>
        <v/>
      </c>
      <c r="J712" s="61" t="str">
        <f aca="false">IF(LEN(A712&amp;"")=0,"",Base!M712)</f>
        <v/>
      </c>
      <c r="K712" s="1" t="n">
        <f aca="false">IF(OR(LEN(A712&amp;"")=0,$P$3=0),0,IF(AND(B712&gt;=Painel!$B$8,B712&lt;=Painel!$G$8,OR(Painel!$L$8="Todos",C712=Painel!$L$8),OR(Painel!$Q$8="Todos",D712=Painel!$Q$8),OR(Painel!$V$8="Todas",E712=Painel!$V$8)),1,0))</f>
        <v>0</v>
      </c>
      <c r="L712" s="61" t="str">
        <f aca="false">IF(LEN(A712&amp;"")=0,"",J712-I712)</f>
        <v/>
      </c>
      <c r="M712" s="1" t="n">
        <f aca="false">IF(LEN(A712&amp;"")=0,0,IF(COUNTIFS(Base!$A$7:$A$1006,A712)&gt;1,1,0))</f>
        <v>0</v>
      </c>
      <c r="N712" s="1" t="n">
        <f aca="false">IF(LEN(A712&amp;"")=0,0,IF(ABS(L712)&gt;0.005,1,0))</f>
        <v>0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customFormat="false" ht="23" hidden="false" customHeight="true" outlineLevel="0" collapsed="false">
      <c r="A713" s="1" t="str">
        <f aca="false">IF(LEN(Base!A713&amp;"")=0,"",Base!A713)</f>
        <v/>
      </c>
      <c r="B713" s="60" t="str">
        <f aca="false">IF(LEN(A713&amp;"")=0,"",Base!D713)</f>
        <v/>
      </c>
      <c r="C713" s="1" t="str">
        <f aca="false">IF(LEN(A713&amp;"")=0,"",Base!C713)</f>
        <v/>
      </c>
      <c r="D713" s="1" t="str">
        <f aca="false">IF(LEN(A713&amp;"")=0,"",Base!G713)</f>
        <v/>
      </c>
      <c r="E713" s="1" t="str">
        <f aca="false">IF(LEN(A713&amp;"")=0,"",Base!E713)</f>
        <v/>
      </c>
      <c r="F713" s="61" t="str">
        <f aca="false">IF(LEN(A713&amp;"")=0,"",IF(Base!I713="-",0,Base!I713))</f>
        <v/>
      </c>
      <c r="G713" s="61" t="str">
        <f aca="false">IF(LEN(A713&amp;"")=0,"",SUM(Base!F713,F713,Base!K713))</f>
        <v/>
      </c>
      <c r="H713" s="61" t="str">
        <f aca="false">IF(LEN(A713&amp;"")=0,"",Base!L713)</f>
        <v/>
      </c>
      <c r="I713" s="61" t="str">
        <f aca="false">IF(LEN(A713&amp;"")=0,"",G713-H713)</f>
        <v/>
      </c>
      <c r="J713" s="61" t="str">
        <f aca="false">IF(LEN(A713&amp;"")=0,"",Base!M713)</f>
        <v/>
      </c>
      <c r="K713" s="1" t="n">
        <f aca="false">IF(OR(LEN(A713&amp;"")=0,$P$3=0),0,IF(AND(B713&gt;=Painel!$B$8,B713&lt;=Painel!$G$8,OR(Painel!$L$8="Todos",C713=Painel!$L$8),OR(Painel!$Q$8="Todos",D713=Painel!$Q$8),OR(Painel!$V$8="Todas",E713=Painel!$V$8)),1,0))</f>
        <v>0</v>
      </c>
      <c r="L713" s="61" t="str">
        <f aca="false">IF(LEN(A713&amp;"")=0,"",J713-I713)</f>
        <v/>
      </c>
      <c r="M713" s="1" t="n">
        <f aca="false">IF(LEN(A713&amp;"")=0,0,IF(COUNTIFS(Base!$A$7:$A$1006,A713)&gt;1,1,0))</f>
        <v>0</v>
      </c>
      <c r="N713" s="1" t="n">
        <f aca="false">IF(LEN(A713&amp;"")=0,0,IF(ABS(L713)&gt;0.005,1,0))</f>
        <v>0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customFormat="false" ht="23" hidden="false" customHeight="true" outlineLevel="0" collapsed="false">
      <c r="A714" s="1" t="str">
        <f aca="false">IF(LEN(Base!A714&amp;"")=0,"",Base!A714)</f>
        <v/>
      </c>
      <c r="B714" s="60" t="str">
        <f aca="false">IF(LEN(A714&amp;"")=0,"",Base!D714)</f>
        <v/>
      </c>
      <c r="C714" s="1" t="str">
        <f aca="false">IF(LEN(A714&amp;"")=0,"",Base!C714)</f>
        <v/>
      </c>
      <c r="D714" s="1" t="str">
        <f aca="false">IF(LEN(A714&amp;"")=0,"",Base!G714)</f>
        <v/>
      </c>
      <c r="E714" s="1" t="str">
        <f aca="false">IF(LEN(A714&amp;"")=0,"",Base!E714)</f>
        <v/>
      </c>
      <c r="F714" s="61" t="str">
        <f aca="false">IF(LEN(A714&amp;"")=0,"",IF(Base!I714="-",0,Base!I714))</f>
        <v/>
      </c>
      <c r="G714" s="61" t="str">
        <f aca="false">IF(LEN(A714&amp;"")=0,"",SUM(Base!F714,F714,Base!K714))</f>
        <v/>
      </c>
      <c r="H714" s="61" t="str">
        <f aca="false">IF(LEN(A714&amp;"")=0,"",Base!L714)</f>
        <v/>
      </c>
      <c r="I714" s="61" t="str">
        <f aca="false">IF(LEN(A714&amp;"")=0,"",G714-H714)</f>
        <v/>
      </c>
      <c r="J714" s="61" t="str">
        <f aca="false">IF(LEN(A714&amp;"")=0,"",Base!M714)</f>
        <v/>
      </c>
      <c r="K714" s="1" t="n">
        <f aca="false">IF(OR(LEN(A714&amp;"")=0,$P$3=0),0,IF(AND(B714&gt;=Painel!$B$8,B714&lt;=Painel!$G$8,OR(Painel!$L$8="Todos",C714=Painel!$L$8),OR(Painel!$Q$8="Todos",D714=Painel!$Q$8),OR(Painel!$V$8="Todas",E714=Painel!$V$8)),1,0))</f>
        <v>0</v>
      </c>
      <c r="L714" s="61" t="str">
        <f aca="false">IF(LEN(A714&amp;"")=0,"",J714-I714)</f>
        <v/>
      </c>
      <c r="M714" s="1" t="n">
        <f aca="false">IF(LEN(A714&amp;"")=0,0,IF(COUNTIFS(Base!$A$7:$A$1006,A714)&gt;1,1,0))</f>
        <v>0</v>
      </c>
      <c r="N714" s="1" t="n">
        <f aca="false">IF(LEN(A714&amp;"")=0,0,IF(ABS(L714)&gt;0.005,1,0))</f>
        <v>0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customFormat="false" ht="23" hidden="false" customHeight="true" outlineLevel="0" collapsed="false">
      <c r="A715" s="1" t="str">
        <f aca="false">IF(LEN(Base!A715&amp;"")=0,"",Base!A715)</f>
        <v/>
      </c>
      <c r="B715" s="60" t="str">
        <f aca="false">IF(LEN(A715&amp;"")=0,"",Base!D715)</f>
        <v/>
      </c>
      <c r="C715" s="1" t="str">
        <f aca="false">IF(LEN(A715&amp;"")=0,"",Base!C715)</f>
        <v/>
      </c>
      <c r="D715" s="1" t="str">
        <f aca="false">IF(LEN(A715&amp;"")=0,"",Base!G715)</f>
        <v/>
      </c>
      <c r="E715" s="1" t="str">
        <f aca="false">IF(LEN(A715&amp;"")=0,"",Base!E715)</f>
        <v/>
      </c>
      <c r="F715" s="61" t="str">
        <f aca="false">IF(LEN(A715&amp;"")=0,"",IF(Base!I715="-",0,Base!I715))</f>
        <v/>
      </c>
      <c r="G715" s="61" t="str">
        <f aca="false">IF(LEN(A715&amp;"")=0,"",SUM(Base!F715,F715,Base!K715))</f>
        <v/>
      </c>
      <c r="H715" s="61" t="str">
        <f aca="false">IF(LEN(A715&amp;"")=0,"",Base!L715)</f>
        <v/>
      </c>
      <c r="I715" s="61" t="str">
        <f aca="false">IF(LEN(A715&amp;"")=0,"",G715-H715)</f>
        <v/>
      </c>
      <c r="J715" s="61" t="str">
        <f aca="false">IF(LEN(A715&amp;"")=0,"",Base!M715)</f>
        <v/>
      </c>
      <c r="K715" s="1" t="n">
        <f aca="false">IF(OR(LEN(A715&amp;"")=0,$P$3=0),0,IF(AND(B715&gt;=Painel!$B$8,B715&lt;=Painel!$G$8,OR(Painel!$L$8="Todos",C715=Painel!$L$8),OR(Painel!$Q$8="Todos",D715=Painel!$Q$8),OR(Painel!$V$8="Todas",E715=Painel!$V$8)),1,0))</f>
        <v>0</v>
      </c>
      <c r="L715" s="61" t="str">
        <f aca="false">IF(LEN(A715&amp;"")=0,"",J715-I715)</f>
        <v/>
      </c>
      <c r="M715" s="1" t="n">
        <f aca="false">IF(LEN(A715&amp;"")=0,0,IF(COUNTIFS(Base!$A$7:$A$1006,A715)&gt;1,1,0))</f>
        <v>0</v>
      </c>
      <c r="N715" s="1" t="n">
        <f aca="false">IF(LEN(A715&amp;"")=0,0,IF(ABS(L715)&gt;0.005,1,0))</f>
        <v>0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customFormat="false" ht="23" hidden="false" customHeight="true" outlineLevel="0" collapsed="false">
      <c r="A716" s="1" t="str">
        <f aca="false">IF(LEN(Base!A716&amp;"")=0,"",Base!A716)</f>
        <v/>
      </c>
      <c r="B716" s="60" t="str">
        <f aca="false">IF(LEN(A716&amp;"")=0,"",Base!D716)</f>
        <v/>
      </c>
      <c r="C716" s="1" t="str">
        <f aca="false">IF(LEN(A716&amp;"")=0,"",Base!C716)</f>
        <v/>
      </c>
      <c r="D716" s="1" t="str">
        <f aca="false">IF(LEN(A716&amp;"")=0,"",Base!G716)</f>
        <v/>
      </c>
      <c r="E716" s="1" t="str">
        <f aca="false">IF(LEN(A716&amp;"")=0,"",Base!E716)</f>
        <v/>
      </c>
      <c r="F716" s="61" t="str">
        <f aca="false">IF(LEN(A716&amp;"")=0,"",IF(Base!I716="-",0,Base!I716))</f>
        <v/>
      </c>
      <c r="G716" s="61" t="str">
        <f aca="false">IF(LEN(A716&amp;"")=0,"",SUM(Base!F716,F716,Base!K716))</f>
        <v/>
      </c>
      <c r="H716" s="61" t="str">
        <f aca="false">IF(LEN(A716&amp;"")=0,"",Base!L716)</f>
        <v/>
      </c>
      <c r="I716" s="61" t="str">
        <f aca="false">IF(LEN(A716&amp;"")=0,"",G716-H716)</f>
        <v/>
      </c>
      <c r="J716" s="61" t="str">
        <f aca="false">IF(LEN(A716&amp;"")=0,"",Base!M716)</f>
        <v/>
      </c>
      <c r="K716" s="1" t="n">
        <f aca="false">IF(OR(LEN(A716&amp;"")=0,$P$3=0),0,IF(AND(B716&gt;=Painel!$B$8,B716&lt;=Painel!$G$8,OR(Painel!$L$8="Todos",C716=Painel!$L$8),OR(Painel!$Q$8="Todos",D716=Painel!$Q$8),OR(Painel!$V$8="Todas",E716=Painel!$V$8)),1,0))</f>
        <v>0</v>
      </c>
      <c r="L716" s="61" t="str">
        <f aca="false">IF(LEN(A716&amp;"")=0,"",J716-I716)</f>
        <v/>
      </c>
      <c r="M716" s="1" t="n">
        <f aca="false">IF(LEN(A716&amp;"")=0,0,IF(COUNTIFS(Base!$A$7:$A$1006,A716)&gt;1,1,0))</f>
        <v>0</v>
      </c>
      <c r="N716" s="1" t="n">
        <f aca="false">IF(LEN(A716&amp;"")=0,0,IF(ABS(L716)&gt;0.005,1,0))</f>
        <v>0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customFormat="false" ht="23" hidden="false" customHeight="true" outlineLevel="0" collapsed="false">
      <c r="A717" s="1" t="str">
        <f aca="false">IF(LEN(Base!A717&amp;"")=0,"",Base!A717)</f>
        <v/>
      </c>
      <c r="B717" s="60" t="str">
        <f aca="false">IF(LEN(A717&amp;"")=0,"",Base!D717)</f>
        <v/>
      </c>
      <c r="C717" s="1" t="str">
        <f aca="false">IF(LEN(A717&amp;"")=0,"",Base!C717)</f>
        <v/>
      </c>
      <c r="D717" s="1" t="str">
        <f aca="false">IF(LEN(A717&amp;"")=0,"",Base!G717)</f>
        <v/>
      </c>
      <c r="E717" s="1" t="str">
        <f aca="false">IF(LEN(A717&amp;"")=0,"",Base!E717)</f>
        <v/>
      </c>
      <c r="F717" s="61" t="str">
        <f aca="false">IF(LEN(A717&amp;"")=0,"",IF(Base!I717="-",0,Base!I717))</f>
        <v/>
      </c>
      <c r="G717" s="61" t="str">
        <f aca="false">IF(LEN(A717&amp;"")=0,"",SUM(Base!F717,F717,Base!K717))</f>
        <v/>
      </c>
      <c r="H717" s="61" t="str">
        <f aca="false">IF(LEN(A717&amp;"")=0,"",Base!L717)</f>
        <v/>
      </c>
      <c r="I717" s="61" t="str">
        <f aca="false">IF(LEN(A717&amp;"")=0,"",G717-H717)</f>
        <v/>
      </c>
      <c r="J717" s="61" t="str">
        <f aca="false">IF(LEN(A717&amp;"")=0,"",Base!M717)</f>
        <v/>
      </c>
      <c r="K717" s="1" t="n">
        <f aca="false">IF(OR(LEN(A717&amp;"")=0,$P$3=0),0,IF(AND(B717&gt;=Painel!$B$8,B717&lt;=Painel!$G$8,OR(Painel!$L$8="Todos",C717=Painel!$L$8),OR(Painel!$Q$8="Todos",D717=Painel!$Q$8),OR(Painel!$V$8="Todas",E717=Painel!$V$8)),1,0))</f>
        <v>0</v>
      </c>
      <c r="L717" s="61" t="str">
        <f aca="false">IF(LEN(A717&amp;"")=0,"",J717-I717)</f>
        <v/>
      </c>
      <c r="M717" s="1" t="n">
        <f aca="false">IF(LEN(A717&amp;"")=0,0,IF(COUNTIFS(Base!$A$7:$A$1006,A717)&gt;1,1,0))</f>
        <v>0</v>
      </c>
      <c r="N717" s="1" t="n">
        <f aca="false">IF(LEN(A717&amp;"")=0,0,IF(ABS(L717)&gt;0.005,1,0))</f>
        <v>0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customFormat="false" ht="23" hidden="false" customHeight="true" outlineLevel="0" collapsed="false">
      <c r="A718" s="1" t="str">
        <f aca="false">IF(LEN(Base!A718&amp;"")=0,"",Base!A718)</f>
        <v/>
      </c>
      <c r="B718" s="60" t="str">
        <f aca="false">IF(LEN(A718&amp;"")=0,"",Base!D718)</f>
        <v/>
      </c>
      <c r="C718" s="1" t="str">
        <f aca="false">IF(LEN(A718&amp;"")=0,"",Base!C718)</f>
        <v/>
      </c>
      <c r="D718" s="1" t="str">
        <f aca="false">IF(LEN(A718&amp;"")=0,"",Base!G718)</f>
        <v/>
      </c>
      <c r="E718" s="1" t="str">
        <f aca="false">IF(LEN(A718&amp;"")=0,"",Base!E718)</f>
        <v/>
      </c>
      <c r="F718" s="61" t="str">
        <f aca="false">IF(LEN(A718&amp;"")=0,"",IF(Base!I718="-",0,Base!I718))</f>
        <v/>
      </c>
      <c r="G718" s="61" t="str">
        <f aca="false">IF(LEN(A718&amp;"")=0,"",SUM(Base!F718,F718,Base!K718))</f>
        <v/>
      </c>
      <c r="H718" s="61" t="str">
        <f aca="false">IF(LEN(A718&amp;"")=0,"",Base!L718)</f>
        <v/>
      </c>
      <c r="I718" s="61" t="str">
        <f aca="false">IF(LEN(A718&amp;"")=0,"",G718-H718)</f>
        <v/>
      </c>
      <c r="J718" s="61" t="str">
        <f aca="false">IF(LEN(A718&amp;"")=0,"",Base!M718)</f>
        <v/>
      </c>
      <c r="K718" s="1" t="n">
        <f aca="false">IF(OR(LEN(A718&amp;"")=0,$P$3=0),0,IF(AND(B718&gt;=Painel!$B$8,B718&lt;=Painel!$G$8,OR(Painel!$L$8="Todos",C718=Painel!$L$8),OR(Painel!$Q$8="Todos",D718=Painel!$Q$8),OR(Painel!$V$8="Todas",E718=Painel!$V$8)),1,0))</f>
        <v>0</v>
      </c>
      <c r="L718" s="61" t="str">
        <f aca="false">IF(LEN(A718&amp;"")=0,"",J718-I718)</f>
        <v/>
      </c>
      <c r="M718" s="1" t="n">
        <f aca="false">IF(LEN(A718&amp;"")=0,0,IF(COUNTIFS(Base!$A$7:$A$1006,A718)&gt;1,1,0))</f>
        <v>0</v>
      </c>
      <c r="N718" s="1" t="n">
        <f aca="false">IF(LEN(A718&amp;"")=0,0,IF(ABS(L718)&gt;0.005,1,0))</f>
        <v>0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customFormat="false" ht="23" hidden="false" customHeight="true" outlineLevel="0" collapsed="false">
      <c r="A719" s="1" t="str">
        <f aca="false">IF(LEN(Base!A719&amp;"")=0,"",Base!A719)</f>
        <v/>
      </c>
      <c r="B719" s="60" t="str">
        <f aca="false">IF(LEN(A719&amp;"")=0,"",Base!D719)</f>
        <v/>
      </c>
      <c r="C719" s="1" t="str">
        <f aca="false">IF(LEN(A719&amp;"")=0,"",Base!C719)</f>
        <v/>
      </c>
      <c r="D719" s="1" t="str">
        <f aca="false">IF(LEN(A719&amp;"")=0,"",Base!G719)</f>
        <v/>
      </c>
      <c r="E719" s="1" t="str">
        <f aca="false">IF(LEN(A719&amp;"")=0,"",Base!E719)</f>
        <v/>
      </c>
      <c r="F719" s="61" t="str">
        <f aca="false">IF(LEN(A719&amp;"")=0,"",IF(Base!I719="-",0,Base!I719))</f>
        <v/>
      </c>
      <c r="G719" s="61" t="str">
        <f aca="false">IF(LEN(A719&amp;"")=0,"",SUM(Base!F719,F719,Base!K719))</f>
        <v/>
      </c>
      <c r="H719" s="61" t="str">
        <f aca="false">IF(LEN(A719&amp;"")=0,"",Base!L719)</f>
        <v/>
      </c>
      <c r="I719" s="61" t="str">
        <f aca="false">IF(LEN(A719&amp;"")=0,"",G719-H719)</f>
        <v/>
      </c>
      <c r="J719" s="61" t="str">
        <f aca="false">IF(LEN(A719&amp;"")=0,"",Base!M719)</f>
        <v/>
      </c>
      <c r="K719" s="1" t="n">
        <f aca="false">IF(OR(LEN(A719&amp;"")=0,$P$3=0),0,IF(AND(B719&gt;=Painel!$B$8,B719&lt;=Painel!$G$8,OR(Painel!$L$8="Todos",C719=Painel!$L$8),OR(Painel!$Q$8="Todos",D719=Painel!$Q$8),OR(Painel!$V$8="Todas",E719=Painel!$V$8)),1,0))</f>
        <v>0</v>
      </c>
      <c r="L719" s="61" t="str">
        <f aca="false">IF(LEN(A719&amp;"")=0,"",J719-I719)</f>
        <v/>
      </c>
      <c r="M719" s="1" t="n">
        <f aca="false">IF(LEN(A719&amp;"")=0,0,IF(COUNTIFS(Base!$A$7:$A$1006,A719)&gt;1,1,0))</f>
        <v>0</v>
      </c>
      <c r="N719" s="1" t="n">
        <f aca="false">IF(LEN(A719&amp;"")=0,0,IF(ABS(L719)&gt;0.005,1,0))</f>
        <v>0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customFormat="false" ht="23" hidden="false" customHeight="true" outlineLevel="0" collapsed="false">
      <c r="A720" s="1" t="str">
        <f aca="false">IF(LEN(Base!A720&amp;"")=0,"",Base!A720)</f>
        <v/>
      </c>
      <c r="B720" s="60" t="str">
        <f aca="false">IF(LEN(A720&amp;"")=0,"",Base!D720)</f>
        <v/>
      </c>
      <c r="C720" s="1" t="str">
        <f aca="false">IF(LEN(A720&amp;"")=0,"",Base!C720)</f>
        <v/>
      </c>
      <c r="D720" s="1" t="str">
        <f aca="false">IF(LEN(A720&amp;"")=0,"",Base!G720)</f>
        <v/>
      </c>
      <c r="E720" s="1" t="str">
        <f aca="false">IF(LEN(A720&amp;"")=0,"",Base!E720)</f>
        <v/>
      </c>
      <c r="F720" s="61" t="str">
        <f aca="false">IF(LEN(A720&amp;"")=0,"",IF(Base!I720="-",0,Base!I720))</f>
        <v/>
      </c>
      <c r="G720" s="61" t="str">
        <f aca="false">IF(LEN(A720&amp;"")=0,"",SUM(Base!F720,F720,Base!K720))</f>
        <v/>
      </c>
      <c r="H720" s="61" t="str">
        <f aca="false">IF(LEN(A720&amp;"")=0,"",Base!L720)</f>
        <v/>
      </c>
      <c r="I720" s="61" t="str">
        <f aca="false">IF(LEN(A720&amp;"")=0,"",G720-H720)</f>
        <v/>
      </c>
      <c r="J720" s="61" t="str">
        <f aca="false">IF(LEN(A720&amp;"")=0,"",Base!M720)</f>
        <v/>
      </c>
      <c r="K720" s="1" t="n">
        <f aca="false">IF(OR(LEN(A720&amp;"")=0,$P$3=0),0,IF(AND(B720&gt;=Painel!$B$8,B720&lt;=Painel!$G$8,OR(Painel!$L$8="Todos",C720=Painel!$L$8),OR(Painel!$Q$8="Todos",D720=Painel!$Q$8),OR(Painel!$V$8="Todas",E720=Painel!$V$8)),1,0))</f>
        <v>0</v>
      </c>
      <c r="L720" s="61" t="str">
        <f aca="false">IF(LEN(A720&amp;"")=0,"",J720-I720)</f>
        <v/>
      </c>
      <c r="M720" s="1" t="n">
        <f aca="false">IF(LEN(A720&amp;"")=0,0,IF(COUNTIFS(Base!$A$7:$A$1006,A720)&gt;1,1,0))</f>
        <v>0</v>
      </c>
      <c r="N720" s="1" t="n">
        <f aca="false">IF(LEN(A720&amp;"")=0,0,IF(ABS(L720)&gt;0.005,1,0))</f>
        <v>0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customFormat="false" ht="23" hidden="false" customHeight="true" outlineLevel="0" collapsed="false">
      <c r="A721" s="1" t="str">
        <f aca="false">IF(LEN(Base!A721&amp;"")=0,"",Base!A721)</f>
        <v/>
      </c>
      <c r="B721" s="60" t="str">
        <f aca="false">IF(LEN(A721&amp;"")=0,"",Base!D721)</f>
        <v/>
      </c>
      <c r="C721" s="1" t="str">
        <f aca="false">IF(LEN(A721&amp;"")=0,"",Base!C721)</f>
        <v/>
      </c>
      <c r="D721" s="1" t="str">
        <f aca="false">IF(LEN(A721&amp;"")=0,"",Base!G721)</f>
        <v/>
      </c>
      <c r="E721" s="1" t="str">
        <f aca="false">IF(LEN(A721&amp;"")=0,"",Base!E721)</f>
        <v/>
      </c>
      <c r="F721" s="61" t="str">
        <f aca="false">IF(LEN(A721&amp;"")=0,"",IF(Base!I721="-",0,Base!I721))</f>
        <v/>
      </c>
      <c r="G721" s="61" t="str">
        <f aca="false">IF(LEN(A721&amp;"")=0,"",SUM(Base!F721,F721,Base!K721))</f>
        <v/>
      </c>
      <c r="H721" s="61" t="str">
        <f aca="false">IF(LEN(A721&amp;"")=0,"",Base!L721)</f>
        <v/>
      </c>
      <c r="I721" s="61" t="str">
        <f aca="false">IF(LEN(A721&amp;"")=0,"",G721-H721)</f>
        <v/>
      </c>
      <c r="J721" s="61" t="str">
        <f aca="false">IF(LEN(A721&amp;"")=0,"",Base!M721)</f>
        <v/>
      </c>
      <c r="K721" s="1" t="n">
        <f aca="false">IF(OR(LEN(A721&amp;"")=0,$P$3=0),0,IF(AND(B721&gt;=Painel!$B$8,B721&lt;=Painel!$G$8,OR(Painel!$L$8="Todos",C721=Painel!$L$8),OR(Painel!$Q$8="Todos",D721=Painel!$Q$8),OR(Painel!$V$8="Todas",E721=Painel!$V$8)),1,0))</f>
        <v>0</v>
      </c>
      <c r="L721" s="61" t="str">
        <f aca="false">IF(LEN(A721&amp;"")=0,"",J721-I721)</f>
        <v/>
      </c>
      <c r="M721" s="1" t="n">
        <f aca="false">IF(LEN(A721&amp;"")=0,0,IF(COUNTIFS(Base!$A$7:$A$1006,A721)&gt;1,1,0))</f>
        <v>0</v>
      </c>
      <c r="N721" s="1" t="n">
        <f aca="false">IF(LEN(A721&amp;"")=0,0,IF(ABS(L721)&gt;0.005,1,0))</f>
        <v>0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customFormat="false" ht="23" hidden="false" customHeight="true" outlineLevel="0" collapsed="false">
      <c r="A722" s="1" t="str">
        <f aca="false">IF(LEN(Base!A722&amp;"")=0,"",Base!A722)</f>
        <v/>
      </c>
      <c r="B722" s="60" t="str">
        <f aca="false">IF(LEN(A722&amp;"")=0,"",Base!D722)</f>
        <v/>
      </c>
      <c r="C722" s="1" t="str">
        <f aca="false">IF(LEN(A722&amp;"")=0,"",Base!C722)</f>
        <v/>
      </c>
      <c r="D722" s="1" t="str">
        <f aca="false">IF(LEN(A722&amp;"")=0,"",Base!G722)</f>
        <v/>
      </c>
      <c r="E722" s="1" t="str">
        <f aca="false">IF(LEN(A722&amp;"")=0,"",Base!E722)</f>
        <v/>
      </c>
      <c r="F722" s="61" t="str">
        <f aca="false">IF(LEN(A722&amp;"")=0,"",IF(Base!I722="-",0,Base!I722))</f>
        <v/>
      </c>
      <c r="G722" s="61" t="str">
        <f aca="false">IF(LEN(A722&amp;"")=0,"",SUM(Base!F722,F722,Base!K722))</f>
        <v/>
      </c>
      <c r="H722" s="61" t="str">
        <f aca="false">IF(LEN(A722&amp;"")=0,"",Base!L722)</f>
        <v/>
      </c>
      <c r="I722" s="61" t="str">
        <f aca="false">IF(LEN(A722&amp;"")=0,"",G722-H722)</f>
        <v/>
      </c>
      <c r="J722" s="61" t="str">
        <f aca="false">IF(LEN(A722&amp;"")=0,"",Base!M722)</f>
        <v/>
      </c>
      <c r="K722" s="1" t="n">
        <f aca="false">IF(OR(LEN(A722&amp;"")=0,$P$3=0),0,IF(AND(B722&gt;=Painel!$B$8,B722&lt;=Painel!$G$8,OR(Painel!$L$8="Todos",C722=Painel!$L$8),OR(Painel!$Q$8="Todos",D722=Painel!$Q$8),OR(Painel!$V$8="Todas",E722=Painel!$V$8)),1,0))</f>
        <v>0</v>
      </c>
      <c r="L722" s="61" t="str">
        <f aca="false">IF(LEN(A722&amp;"")=0,"",J722-I722)</f>
        <v/>
      </c>
      <c r="M722" s="1" t="n">
        <f aca="false">IF(LEN(A722&amp;"")=0,0,IF(COUNTIFS(Base!$A$7:$A$1006,A722)&gt;1,1,0))</f>
        <v>0</v>
      </c>
      <c r="N722" s="1" t="n">
        <f aca="false">IF(LEN(A722&amp;"")=0,0,IF(ABS(L722)&gt;0.005,1,0))</f>
        <v>0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customFormat="false" ht="23" hidden="false" customHeight="true" outlineLevel="0" collapsed="false">
      <c r="A723" s="1" t="str">
        <f aca="false">IF(LEN(Base!A723&amp;"")=0,"",Base!A723)</f>
        <v/>
      </c>
      <c r="B723" s="60" t="str">
        <f aca="false">IF(LEN(A723&amp;"")=0,"",Base!D723)</f>
        <v/>
      </c>
      <c r="C723" s="1" t="str">
        <f aca="false">IF(LEN(A723&amp;"")=0,"",Base!C723)</f>
        <v/>
      </c>
      <c r="D723" s="1" t="str">
        <f aca="false">IF(LEN(A723&amp;"")=0,"",Base!G723)</f>
        <v/>
      </c>
      <c r="E723" s="1" t="str">
        <f aca="false">IF(LEN(A723&amp;"")=0,"",Base!E723)</f>
        <v/>
      </c>
      <c r="F723" s="61" t="str">
        <f aca="false">IF(LEN(A723&amp;"")=0,"",IF(Base!I723="-",0,Base!I723))</f>
        <v/>
      </c>
      <c r="G723" s="61" t="str">
        <f aca="false">IF(LEN(A723&amp;"")=0,"",SUM(Base!F723,F723,Base!K723))</f>
        <v/>
      </c>
      <c r="H723" s="61" t="str">
        <f aca="false">IF(LEN(A723&amp;"")=0,"",Base!L723)</f>
        <v/>
      </c>
      <c r="I723" s="61" t="str">
        <f aca="false">IF(LEN(A723&amp;"")=0,"",G723-H723)</f>
        <v/>
      </c>
      <c r="J723" s="61" t="str">
        <f aca="false">IF(LEN(A723&amp;"")=0,"",Base!M723)</f>
        <v/>
      </c>
      <c r="K723" s="1" t="n">
        <f aca="false">IF(OR(LEN(A723&amp;"")=0,$P$3=0),0,IF(AND(B723&gt;=Painel!$B$8,B723&lt;=Painel!$G$8,OR(Painel!$L$8="Todos",C723=Painel!$L$8),OR(Painel!$Q$8="Todos",D723=Painel!$Q$8),OR(Painel!$V$8="Todas",E723=Painel!$V$8)),1,0))</f>
        <v>0</v>
      </c>
      <c r="L723" s="61" t="str">
        <f aca="false">IF(LEN(A723&amp;"")=0,"",J723-I723)</f>
        <v/>
      </c>
      <c r="M723" s="1" t="n">
        <f aca="false">IF(LEN(A723&amp;"")=0,0,IF(COUNTIFS(Base!$A$7:$A$1006,A723)&gt;1,1,0))</f>
        <v>0</v>
      </c>
      <c r="N723" s="1" t="n">
        <f aca="false">IF(LEN(A723&amp;"")=0,0,IF(ABS(L723)&gt;0.005,1,0))</f>
        <v>0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customFormat="false" ht="23" hidden="false" customHeight="true" outlineLevel="0" collapsed="false">
      <c r="A724" s="1" t="str">
        <f aca="false">IF(LEN(Base!A724&amp;"")=0,"",Base!A724)</f>
        <v/>
      </c>
      <c r="B724" s="60" t="str">
        <f aca="false">IF(LEN(A724&amp;"")=0,"",Base!D724)</f>
        <v/>
      </c>
      <c r="C724" s="1" t="str">
        <f aca="false">IF(LEN(A724&amp;"")=0,"",Base!C724)</f>
        <v/>
      </c>
      <c r="D724" s="1" t="str">
        <f aca="false">IF(LEN(A724&amp;"")=0,"",Base!G724)</f>
        <v/>
      </c>
      <c r="E724" s="1" t="str">
        <f aca="false">IF(LEN(A724&amp;"")=0,"",Base!E724)</f>
        <v/>
      </c>
      <c r="F724" s="61" t="str">
        <f aca="false">IF(LEN(A724&amp;"")=0,"",IF(Base!I724="-",0,Base!I724))</f>
        <v/>
      </c>
      <c r="G724" s="61" t="str">
        <f aca="false">IF(LEN(A724&amp;"")=0,"",SUM(Base!F724,F724,Base!K724))</f>
        <v/>
      </c>
      <c r="H724" s="61" t="str">
        <f aca="false">IF(LEN(A724&amp;"")=0,"",Base!L724)</f>
        <v/>
      </c>
      <c r="I724" s="61" t="str">
        <f aca="false">IF(LEN(A724&amp;"")=0,"",G724-H724)</f>
        <v/>
      </c>
      <c r="J724" s="61" t="str">
        <f aca="false">IF(LEN(A724&amp;"")=0,"",Base!M724)</f>
        <v/>
      </c>
      <c r="K724" s="1" t="n">
        <f aca="false">IF(OR(LEN(A724&amp;"")=0,$P$3=0),0,IF(AND(B724&gt;=Painel!$B$8,B724&lt;=Painel!$G$8,OR(Painel!$L$8="Todos",C724=Painel!$L$8),OR(Painel!$Q$8="Todos",D724=Painel!$Q$8),OR(Painel!$V$8="Todas",E724=Painel!$V$8)),1,0))</f>
        <v>0</v>
      </c>
      <c r="L724" s="61" t="str">
        <f aca="false">IF(LEN(A724&amp;"")=0,"",J724-I724)</f>
        <v/>
      </c>
      <c r="M724" s="1" t="n">
        <f aca="false">IF(LEN(A724&amp;"")=0,0,IF(COUNTIFS(Base!$A$7:$A$1006,A724)&gt;1,1,0))</f>
        <v>0</v>
      </c>
      <c r="N724" s="1" t="n">
        <f aca="false">IF(LEN(A724&amp;"")=0,0,IF(ABS(L724)&gt;0.005,1,0))</f>
        <v>0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customFormat="false" ht="23" hidden="false" customHeight="true" outlineLevel="0" collapsed="false">
      <c r="A725" s="1" t="str">
        <f aca="false">IF(LEN(Base!A725&amp;"")=0,"",Base!A725)</f>
        <v/>
      </c>
      <c r="B725" s="60" t="str">
        <f aca="false">IF(LEN(A725&amp;"")=0,"",Base!D725)</f>
        <v/>
      </c>
      <c r="C725" s="1" t="str">
        <f aca="false">IF(LEN(A725&amp;"")=0,"",Base!C725)</f>
        <v/>
      </c>
      <c r="D725" s="1" t="str">
        <f aca="false">IF(LEN(A725&amp;"")=0,"",Base!G725)</f>
        <v/>
      </c>
      <c r="E725" s="1" t="str">
        <f aca="false">IF(LEN(A725&amp;"")=0,"",Base!E725)</f>
        <v/>
      </c>
      <c r="F725" s="61" t="str">
        <f aca="false">IF(LEN(A725&amp;"")=0,"",IF(Base!I725="-",0,Base!I725))</f>
        <v/>
      </c>
      <c r="G725" s="61" t="str">
        <f aca="false">IF(LEN(A725&amp;"")=0,"",SUM(Base!F725,F725,Base!K725))</f>
        <v/>
      </c>
      <c r="H725" s="61" t="str">
        <f aca="false">IF(LEN(A725&amp;"")=0,"",Base!L725)</f>
        <v/>
      </c>
      <c r="I725" s="61" t="str">
        <f aca="false">IF(LEN(A725&amp;"")=0,"",G725-H725)</f>
        <v/>
      </c>
      <c r="J725" s="61" t="str">
        <f aca="false">IF(LEN(A725&amp;"")=0,"",Base!M725)</f>
        <v/>
      </c>
      <c r="K725" s="1" t="n">
        <f aca="false">IF(OR(LEN(A725&amp;"")=0,$P$3=0),0,IF(AND(B725&gt;=Painel!$B$8,B725&lt;=Painel!$G$8,OR(Painel!$L$8="Todos",C725=Painel!$L$8),OR(Painel!$Q$8="Todos",D725=Painel!$Q$8),OR(Painel!$V$8="Todas",E725=Painel!$V$8)),1,0))</f>
        <v>0</v>
      </c>
      <c r="L725" s="61" t="str">
        <f aca="false">IF(LEN(A725&amp;"")=0,"",J725-I725)</f>
        <v/>
      </c>
      <c r="M725" s="1" t="n">
        <f aca="false">IF(LEN(A725&amp;"")=0,0,IF(COUNTIFS(Base!$A$7:$A$1006,A725)&gt;1,1,0))</f>
        <v>0</v>
      </c>
      <c r="N725" s="1" t="n">
        <f aca="false">IF(LEN(A725&amp;"")=0,0,IF(ABS(L725)&gt;0.005,1,0))</f>
        <v>0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customFormat="false" ht="23" hidden="false" customHeight="true" outlineLevel="0" collapsed="false">
      <c r="A726" s="1" t="str">
        <f aca="false">IF(LEN(Base!A726&amp;"")=0,"",Base!A726)</f>
        <v/>
      </c>
      <c r="B726" s="60" t="str">
        <f aca="false">IF(LEN(A726&amp;"")=0,"",Base!D726)</f>
        <v/>
      </c>
      <c r="C726" s="1" t="str">
        <f aca="false">IF(LEN(A726&amp;"")=0,"",Base!C726)</f>
        <v/>
      </c>
      <c r="D726" s="1" t="str">
        <f aca="false">IF(LEN(A726&amp;"")=0,"",Base!G726)</f>
        <v/>
      </c>
      <c r="E726" s="1" t="str">
        <f aca="false">IF(LEN(A726&amp;"")=0,"",Base!E726)</f>
        <v/>
      </c>
      <c r="F726" s="61" t="str">
        <f aca="false">IF(LEN(A726&amp;"")=0,"",IF(Base!I726="-",0,Base!I726))</f>
        <v/>
      </c>
      <c r="G726" s="61" t="str">
        <f aca="false">IF(LEN(A726&amp;"")=0,"",SUM(Base!F726,F726,Base!K726))</f>
        <v/>
      </c>
      <c r="H726" s="61" t="str">
        <f aca="false">IF(LEN(A726&amp;"")=0,"",Base!L726)</f>
        <v/>
      </c>
      <c r="I726" s="61" t="str">
        <f aca="false">IF(LEN(A726&amp;"")=0,"",G726-H726)</f>
        <v/>
      </c>
      <c r="J726" s="61" t="str">
        <f aca="false">IF(LEN(A726&amp;"")=0,"",Base!M726)</f>
        <v/>
      </c>
      <c r="K726" s="1" t="n">
        <f aca="false">IF(OR(LEN(A726&amp;"")=0,$P$3=0),0,IF(AND(B726&gt;=Painel!$B$8,B726&lt;=Painel!$G$8,OR(Painel!$L$8="Todos",C726=Painel!$L$8),OR(Painel!$Q$8="Todos",D726=Painel!$Q$8),OR(Painel!$V$8="Todas",E726=Painel!$V$8)),1,0))</f>
        <v>0</v>
      </c>
      <c r="L726" s="61" t="str">
        <f aca="false">IF(LEN(A726&amp;"")=0,"",J726-I726)</f>
        <v/>
      </c>
      <c r="M726" s="1" t="n">
        <f aca="false">IF(LEN(A726&amp;"")=0,0,IF(COUNTIFS(Base!$A$7:$A$1006,A726)&gt;1,1,0))</f>
        <v>0</v>
      </c>
      <c r="N726" s="1" t="n">
        <f aca="false">IF(LEN(A726&amp;"")=0,0,IF(ABS(L726)&gt;0.005,1,0))</f>
        <v>0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customFormat="false" ht="23" hidden="false" customHeight="true" outlineLevel="0" collapsed="false">
      <c r="A727" s="1" t="str">
        <f aca="false">IF(LEN(Base!A727&amp;"")=0,"",Base!A727)</f>
        <v/>
      </c>
      <c r="B727" s="60" t="str">
        <f aca="false">IF(LEN(A727&amp;"")=0,"",Base!D727)</f>
        <v/>
      </c>
      <c r="C727" s="1" t="str">
        <f aca="false">IF(LEN(A727&amp;"")=0,"",Base!C727)</f>
        <v/>
      </c>
      <c r="D727" s="1" t="str">
        <f aca="false">IF(LEN(A727&amp;"")=0,"",Base!G727)</f>
        <v/>
      </c>
      <c r="E727" s="1" t="str">
        <f aca="false">IF(LEN(A727&amp;"")=0,"",Base!E727)</f>
        <v/>
      </c>
      <c r="F727" s="61" t="str">
        <f aca="false">IF(LEN(A727&amp;"")=0,"",IF(Base!I727="-",0,Base!I727))</f>
        <v/>
      </c>
      <c r="G727" s="61" t="str">
        <f aca="false">IF(LEN(A727&amp;"")=0,"",SUM(Base!F727,F727,Base!K727))</f>
        <v/>
      </c>
      <c r="H727" s="61" t="str">
        <f aca="false">IF(LEN(A727&amp;"")=0,"",Base!L727)</f>
        <v/>
      </c>
      <c r="I727" s="61" t="str">
        <f aca="false">IF(LEN(A727&amp;"")=0,"",G727-H727)</f>
        <v/>
      </c>
      <c r="J727" s="61" t="str">
        <f aca="false">IF(LEN(A727&amp;"")=0,"",Base!M727)</f>
        <v/>
      </c>
      <c r="K727" s="1" t="n">
        <f aca="false">IF(OR(LEN(A727&amp;"")=0,$P$3=0),0,IF(AND(B727&gt;=Painel!$B$8,B727&lt;=Painel!$G$8,OR(Painel!$L$8="Todos",C727=Painel!$L$8),OR(Painel!$Q$8="Todos",D727=Painel!$Q$8),OR(Painel!$V$8="Todas",E727=Painel!$V$8)),1,0))</f>
        <v>0</v>
      </c>
      <c r="L727" s="61" t="str">
        <f aca="false">IF(LEN(A727&amp;"")=0,"",J727-I727)</f>
        <v/>
      </c>
      <c r="M727" s="1" t="n">
        <f aca="false">IF(LEN(A727&amp;"")=0,0,IF(COUNTIFS(Base!$A$7:$A$1006,A727)&gt;1,1,0))</f>
        <v>0</v>
      </c>
      <c r="N727" s="1" t="n">
        <f aca="false">IF(LEN(A727&amp;"")=0,0,IF(ABS(L727)&gt;0.005,1,0))</f>
        <v>0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customFormat="false" ht="23" hidden="false" customHeight="true" outlineLevel="0" collapsed="false">
      <c r="A728" s="1" t="str">
        <f aca="false">IF(LEN(Base!A728&amp;"")=0,"",Base!A728)</f>
        <v/>
      </c>
      <c r="B728" s="60" t="str">
        <f aca="false">IF(LEN(A728&amp;"")=0,"",Base!D728)</f>
        <v/>
      </c>
      <c r="C728" s="1" t="str">
        <f aca="false">IF(LEN(A728&amp;"")=0,"",Base!C728)</f>
        <v/>
      </c>
      <c r="D728" s="1" t="str">
        <f aca="false">IF(LEN(A728&amp;"")=0,"",Base!G728)</f>
        <v/>
      </c>
      <c r="E728" s="1" t="str">
        <f aca="false">IF(LEN(A728&amp;"")=0,"",Base!E728)</f>
        <v/>
      </c>
      <c r="F728" s="61" t="str">
        <f aca="false">IF(LEN(A728&amp;"")=0,"",IF(Base!I728="-",0,Base!I728))</f>
        <v/>
      </c>
      <c r="G728" s="61" t="str">
        <f aca="false">IF(LEN(A728&amp;"")=0,"",SUM(Base!F728,F728,Base!K728))</f>
        <v/>
      </c>
      <c r="H728" s="61" t="str">
        <f aca="false">IF(LEN(A728&amp;"")=0,"",Base!L728)</f>
        <v/>
      </c>
      <c r="I728" s="61" t="str">
        <f aca="false">IF(LEN(A728&amp;"")=0,"",G728-H728)</f>
        <v/>
      </c>
      <c r="J728" s="61" t="str">
        <f aca="false">IF(LEN(A728&amp;"")=0,"",Base!M728)</f>
        <v/>
      </c>
      <c r="K728" s="1" t="n">
        <f aca="false">IF(OR(LEN(A728&amp;"")=0,$P$3=0),0,IF(AND(B728&gt;=Painel!$B$8,B728&lt;=Painel!$G$8,OR(Painel!$L$8="Todos",C728=Painel!$L$8),OR(Painel!$Q$8="Todos",D728=Painel!$Q$8),OR(Painel!$V$8="Todas",E728=Painel!$V$8)),1,0))</f>
        <v>0</v>
      </c>
      <c r="L728" s="61" t="str">
        <f aca="false">IF(LEN(A728&amp;"")=0,"",J728-I728)</f>
        <v/>
      </c>
      <c r="M728" s="1" t="n">
        <f aca="false">IF(LEN(A728&amp;"")=0,0,IF(COUNTIFS(Base!$A$7:$A$1006,A728)&gt;1,1,0))</f>
        <v>0</v>
      </c>
      <c r="N728" s="1" t="n">
        <f aca="false">IF(LEN(A728&amp;"")=0,0,IF(ABS(L728)&gt;0.005,1,0))</f>
        <v>0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customFormat="false" ht="23" hidden="false" customHeight="true" outlineLevel="0" collapsed="false">
      <c r="A729" s="1" t="str">
        <f aca="false">IF(LEN(Base!A729&amp;"")=0,"",Base!A729)</f>
        <v/>
      </c>
      <c r="B729" s="60" t="str">
        <f aca="false">IF(LEN(A729&amp;"")=0,"",Base!D729)</f>
        <v/>
      </c>
      <c r="C729" s="1" t="str">
        <f aca="false">IF(LEN(A729&amp;"")=0,"",Base!C729)</f>
        <v/>
      </c>
      <c r="D729" s="1" t="str">
        <f aca="false">IF(LEN(A729&amp;"")=0,"",Base!G729)</f>
        <v/>
      </c>
      <c r="E729" s="1" t="str">
        <f aca="false">IF(LEN(A729&amp;"")=0,"",Base!E729)</f>
        <v/>
      </c>
      <c r="F729" s="61" t="str">
        <f aca="false">IF(LEN(A729&amp;"")=0,"",IF(Base!I729="-",0,Base!I729))</f>
        <v/>
      </c>
      <c r="G729" s="61" t="str">
        <f aca="false">IF(LEN(A729&amp;"")=0,"",SUM(Base!F729,F729,Base!K729))</f>
        <v/>
      </c>
      <c r="H729" s="61" t="str">
        <f aca="false">IF(LEN(A729&amp;"")=0,"",Base!L729)</f>
        <v/>
      </c>
      <c r="I729" s="61" t="str">
        <f aca="false">IF(LEN(A729&amp;"")=0,"",G729-H729)</f>
        <v/>
      </c>
      <c r="J729" s="61" t="str">
        <f aca="false">IF(LEN(A729&amp;"")=0,"",Base!M729)</f>
        <v/>
      </c>
      <c r="K729" s="1" t="n">
        <f aca="false">IF(OR(LEN(A729&amp;"")=0,$P$3=0),0,IF(AND(B729&gt;=Painel!$B$8,B729&lt;=Painel!$G$8,OR(Painel!$L$8="Todos",C729=Painel!$L$8),OR(Painel!$Q$8="Todos",D729=Painel!$Q$8),OR(Painel!$V$8="Todas",E729=Painel!$V$8)),1,0))</f>
        <v>0</v>
      </c>
      <c r="L729" s="61" t="str">
        <f aca="false">IF(LEN(A729&amp;"")=0,"",J729-I729)</f>
        <v/>
      </c>
      <c r="M729" s="1" t="n">
        <f aca="false">IF(LEN(A729&amp;"")=0,0,IF(COUNTIFS(Base!$A$7:$A$1006,A729)&gt;1,1,0))</f>
        <v>0</v>
      </c>
      <c r="N729" s="1" t="n">
        <f aca="false">IF(LEN(A729&amp;"")=0,0,IF(ABS(L729)&gt;0.005,1,0))</f>
        <v>0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customFormat="false" ht="23" hidden="false" customHeight="true" outlineLevel="0" collapsed="false">
      <c r="A730" s="1" t="str">
        <f aca="false">IF(LEN(Base!A730&amp;"")=0,"",Base!A730)</f>
        <v/>
      </c>
      <c r="B730" s="60" t="str">
        <f aca="false">IF(LEN(A730&amp;"")=0,"",Base!D730)</f>
        <v/>
      </c>
      <c r="C730" s="1" t="str">
        <f aca="false">IF(LEN(A730&amp;"")=0,"",Base!C730)</f>
        <v/>
      </c>
      <c r="D730" s="1" t="str">
        <f aca="false">IF(LEN(A730&amp;"")=0,"",Base!G730)</f>
        <v/>
      </c>
      <c r="E730" s="1" t="str">
        <f aca="false">IF(LEN(A730&amp;"")=0,"",Base!E730)</f>
        <v/>
      </c>
      <c r="F730" s="61" t="str">
        <f aca="false">IF(LEN(A730&amp;"")=0,"",IF(Base!I730="-",0,Base!I730))</f>
        <v/>
      </c>
      <c r="G730" s="61" t="str">
        <f aca="false">IF(LEN(A730&amp;"")=0,"",SUM(Base!F730,F730,Base!K730))</f>
        <v/>
      </c>
      <c r="H730" s="61" t="str">
        <f aca="false">IF(LEN(A730&amp;"")=0,"",Base!L730)</f>
        <v/>
      </c>
      <c r="I730" s="61" t="str">
        <f aca="false">IF(LEN(A730&amp;"")=0,"",G730-H730)</f>
        <v/>
      </c>
      <c r="J730" s="61" t="str">
        <f aca="false">IF(LEN(A730&amp;"")=0,"",Base!M730)</f>
        <v/>
      </c>
      <c r="K730" s="1" t="n">
        <f aca="false">IF(OR(LEN(A730&amp;"")=0,$P$3=0),0,IF(AND(B730&gt;=Painel!$B$8,B730&lt;=Painel!$G$8,OR(Painel!$L$8="Todos",C730=Painel!$L$8),OR(Painel!$Q$8="Todos",D730=Painel!$Q$8),OR(Painel!$V$8="Todas",E730=Painel!$V$8)),1,0))</f>
        <v>0</v>
      </c>
      <c r="L730" s="61" t="str">
        <f aca="false">IF(LEN(A730&amp;"")=0,"",J730-I730)</f>
        <v/>
      </c>
      <c r="M730" s="1" t="n">
        <f aca="false">IF(LEN(A730&amp;"")=0,0,IF(COUNTIFS(Base!$A$7:$A$1006,A730)&gt;1,1,0))</f>
        <v>0</v>
      </c>
      <c r="N730" s="1" t="n">
        <f aca="false">IF(LEN(A730&amp;"")=0,0,IF(ABS(L730)&gt;0.005,1,0))</f>
        <v>0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customFormat="false" ht="23" hidden="false" customHeight="true" outlineLevel="0" collapsed="false">
      <c r="A731" s="1" t="str">
        <f aca="false">IF(LEN(Base!A731&amp;"")=0,"",Base!A731)</f>
        <v/>
      </c>
      <c r="B731" s="60" t="str">
        <f aca="false">IF(LEN(A731&amp;"")=0,"",Base!D731)</f>
        <v/>
      </c>
      <c r="C731" s="1" t="str">
        <f aca="false">IF(LEN(A731&amp;"")=0,"",Base!C731)</f>
        <v/>
      </c>
      <c r="D731" s="1" t="str">
        <f aca="false">IF(LEN(A731&amp;"")=0,"",Base!G731)</f>
        <v/>
      </c>
      <c r="E731" s="1" t="str">
        <f aca="false">IF(LEN(A731&amp;"")=0,"",Base!E731)</f>
        <v/>
      </c>
      <c r="F731" s="61" t="str">
        <f aca="false">IF(LEN(A731&amp;"")=0,"",IF(Base!I731="-",0,Base!I731))</f>
        <v/>
      </c>
      <c r="G731" s="61" t="str">
        <f aca="false">IF(LEN(A731&amp;"")=0,"",SUM(Base!F731,F731,Base!K731))</f>
        <v/>
      </c>
      <c r="H731" s="61" t="str">
        <f aca="false">IF(LEN(A731&amp;"")=0,"",Base!L731)</f>
        <v/>
      </c>
      <c r="I731" s="61" t="str">
        <f aca="false">IF(LEN(A731&amp;"")=0,"",G731-H731)</f>
        <v/>
      </c>
      <c r="J731" s="61" t="str">
        <f aca="false">IF(LEN(A731&amp;"")=0,"",Base!M731)</f>
        <v/>
      </c>
      <c r="K731" s="1" t="n">
        <f aca="false">IF(OR(LEN(A731&amp;"")=0,$P$3=0),0,IF(AND(B731&gt;=Painel!$B$8,B731&lt;=Painel!$G$8,OR(Painel!$L$8="Todos",C731=Painel!$L$8),OR(Painel!$Q$8="Todos",D731=Painel!$Q$8),OR(Painel!$V$8="Todas",E731=Painel!$V$8)),1,0))</f>
        <v>0</v>
      </c>
      <c r="L731" s="61" t="str">
        <f aca="false">IF(LEN(A731&amp;"")=0,"",J731-I731)</f>
        <v/>
      </c>
      <c r="M731" s="1" t="n">
        <f aca="false">IF(LEN(A731&amp;"")=0,0,IF(COUNTIFS(Base!$A$7:$A$1006,A731)&gt;1,1,0))</f>
        <v>0</v>
      </c>
      <c r="N731" s="1" t="n">
        <f aca="false">IF(LEN(A731&amp;"")=0,0,IF(ABS(L731)&gt;0.005,1,0))</f>
        <v>0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customFormat="false" ht="23" hidden="false" customHeight="true" outlineLevel="0" collapsed="false">
      <c r="A732" s="1" t="str">
        <f aca="false">IF(LEN(Base!A732&amp;"")=0,"",Base!A732)</f>
        <v/>
      </c>
      <c r="B732" s="60" t="str">
        <f aca="false">IF(LEN(A732&amp;"")=0,"",Base!D732)</f>
        <v/>
      </c>
      <c r="C732" s="1" t="str">
        <f aca="false">IF(LEN(A732&amp;"")=0,"",Base!C732)</f>
        <v/>
      </c>
      <c r="D732" s="1" t="str">
        <f aca="false">IF(LEN(A732&amp;"")=0,"",Base!G732)</f>
        <v/>
      </c>
      <c r="E732" s="1" t="str">
        <f aca="false">IF(LEN(A732&amp;"")=0,"",Base!E732)</f>
        <v/>
      </c>
      <c r="F732" s="61" t="str">
        <f aca="false">IF(LEN(A732&amp;"")=0,"",IF(Base!I732="-",0,Base!I732))</f>
        <v/>
      </c>
      <c r="G732" s="61" t="str">
        <f aca="false">IF(LEN(A732&amp;"")=0,"",SUM(Base!F732,F732,Base!K732))</f>
        <v/>
      </c>
      <c r="H732" s="61" t="str">
        <f aca="false">IF(LEN(A732&amp;"")=0,"",Base!L732)</f>
        <v/>
      </c>
      <c r="I732" s="61" t="str">
        <f aca="false">IF(LEN(A732&amp;"")=0,"",G732-H732)</f>
        <v/>
      </c>
      <c r="J732" s="61" t="str">
        <f aca="false">IF(LEN(A732&amp;"")=0,"",Base!M732)</f>
        <v/>
      </c>
      <c r="K732" s="1" t="n">
        <f aca="false">IF(OR(LEN(A732&amp;"")=0,$P$3=0),0,IF(AND(B732&gt;=Painel!$B$8,B732&lt;=Painel!$G$8,OR(Painel!$L$8="Todos",C732=Painel!$L$8),OR(Painel!$Q$8="Todos",D732=Painel!$Q$8),OR(Painel!$V$8="Todas",E732=Painel!$V$8)),1,0))</f>
        <v>0</v>
      </c>
      <c r="L732" s="61" t="str">
        <f aca="false">IF(LEN(A732&amp;"")=0,"",J732-I732)</f>
        <v/>
      </c>
      <c r="M732" s="1" t="n">
        <f aca="false">IF(LEN(A732&amp;"")=0,0,IF(COUNTIFS(Base!$A$7:$A$1006,A732)&gt;1,1,0))</f>
        <v>0</v>
      </c>
      <c r="N732" s="1" t="n">
        <f aca="false">IF(LEN(A732&amp;"")=0,0,IF(ABS(L732)&gt;0.005,1,0))</f>
        <v>0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customFormat="false" ht="23" hidden="false" customHeight="true" outlineLevel="0" collapsed="false">
      <c r="A733" s="1" t="str">
        <f aca="false">IF(LEN(Base!A733&amp;"")=0,"",Base!A733)</f>
        <v/>
      </c>
      <c r="B733" s="60" t="str">
        <f aca="false">IF(LEN(A733&amp;"")=0,"",Base!D733)</f>
        <v/>
      </c>
      <c r="C733" s="1" t="str">
        <f aca="false">IF(LEN(A733&amp;"")=0,"",Base!C733)</f>
        <v/>
      </c>
      <c r="D733" s="1" t="str">
        <f aca="false">IF(LEN(A733&amp;"")=0,"",Base!G733)</f>
        <v/>
      </c>
      <c r="E733" s="1" t="str">
        <f aca="false">IF(LEN(A733&amp;"")=0,"",Base!E733)</f>
        <v/>
      </c>
      <c r="F733" s="61" t="str">
        <f aca="false">IF(LEN(A733&amp;"")=0,"",IF(Base!I733="-",0,Base!I733))</f>
        <v/>
      </c>
      <c r="G733" s="61" t="str">
        <f aca="false">IF(LEN(A733&amp;"")=0,"",SUM(Base!F733,F733,Base!K733))</f>
        <v/>
      </c>
      <c r="H733" s="61" t="str">
        <f aca="false">IF(LEN(A733&amp;"")=0,"",Base!L733)</f>
        <v/>
      </c>
      <c r="I733" s="61" t="str">
        <f aca="false">IF(LEN(A733&amp;"")=0,"",G733-H733)</f>
        <v/>
      </c>
      <c r="J733" s="61" t="str">
        <f aca="false">IF(LEN(A733&amp;"")=0,"",Base!M733)</f>
        <v/>
      </c>
      <c r="K733" s="1" t="n">
        <f aca="false">IF(OR(LEN(A733&amp;"")=0,$P$3=0),0,IF(AND(B733&gt;=Painel!$B$8,B733&lt;=Painel!$G$8,OR(Painel!$L$8="Todos",C733=Painel!$L$8),OR(Painel!$Q$8="Todos",D733=Painel!$Q$8),OR(Painel!$V$8="Todas",E733=Painel!$V$8)),1,0))</f>
        <v>0</v>
      </c>
      <c r="L733" s="61" t="str">
        <f aca="false">IF(LEN(A733&amp;"")=0,"",J733-I733)</f>
        <v/>
      </c>
      <c r="M733" s="1" t="n">
        <f aca="false">IF(LEN(A733&amp;"")=0,0,IF(COUNTIFS(Base!$A$7:$A$1006,A733)&gt;1,1,0))</f>
        <v>0</v>
      </c>
      <c r="N733" s="1" t="n">
        <f aca="false">IF(LEN(A733&amp;"")=0,0,IF(ABS(L733)&gt;0.005,1,0))</f>
        <v>0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customFormat="false" ht="23" hidden="false" customHeight="true" outlineLevel="0" collapsed="false">
      <c r="A734" s="1" t="str">
        <f aca="false">IF(LEN(Base!A734&amp;"")=0,"",Base!A734)</f>
        <v/>
      </c>
      <c r="B734" s="60" t="str">
        <f aca="false">IF(LEN(A734&amp;"")=0,"",Base!D734)</f>
        <v/>
      </c>
      <c r="C734" s="1" t="str">
        <f aca="false">IF(LEN(A734&amp;"")=0,"",Base!C734)</f>
        <v/>
      </c>
      <c r="D734" s="1" t="str">
        <f aca="false">IF(LEN(A734&amp;"")=0,"",Base!G734)</f>
        <v/>
      </c>
      <c r="E734" s="1" t="str">
        <f aca="false">IF(LEN(A734&amp;"")=0,"",Base!E734)</f>
        <v/>
      </c>
      <c r="F734" s="61" t="str">
        <f aca="false">IF(LEN(A734&amp;"")=0,"",IF(Base!I734="-",0,Base!I734))</f>
        <v/>
      </c>
      <c r="G734" s="61" t="str">
        <f aca="false">IF(LEN(A734&amp;"")=0,"",SUM(Base!F734,F734,Base!K734))</f>
        <v/>
      </c>
      <c r="H734" s="61" t="str">
        <f aca="false">IF(LEN(A734&amp;"")=0,"",Base!L734)</f>
        <v/>
      </c>
      <c r="I734" s="61" t="str">
        <f aca="false">IF(LEN(A734&amp;"")=0,"",G734-H734)</f>
        <v/>
      </c>
      <c r="J734" s="61" t="str">
        <f aca="false">IF(LEN(A734&amp;"")=0,"",Base!M734)</f>
        <v/>
      </c>
      <c r="K734" s="1" t="n">
        <f aca="false">IF(OR(LEN(A734&amp;"")=0,$P$3=0),0,IF(AND(B734&gt;=Painel!$B$8,B734&lt;=Painel!$G$8,OR(Painel!$L$8="Todos",C734=Painel!$L$8),OR(Painel!$Q$8="Todos",D734=Painel!$Q$8),OR(Painel!$V$8="Todas",E734=Painel!$V$8)),1,0))</f>
        <v>0</v>
      </c>
      <c r="L734" s="61" t="str">
        <f aca="false">IF(LEN(A734&amp;"")=0,"",J734-I734)</f>
        <v/>
      </c>
      <c r="M734" s="1" t="n">
        <f aca="false">IF(LEN(A734&amp;"")=0,0,IF(COUNTIFS(Base!$A$7:$A$1006,A734)&gt;1,1,0))</f>
        <v>0</v>
      </c>
      <c r="N734" s="1" t="n">
        <f aca="false">IF(LEN(A734&amp;"")=0,0,IF(ABS(L734)&gt;0.005,1,0))</f>
        <v>0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customFormat="false" ht="23" hidden="false" customHeight="true" outlineLevel="0" collapsed="false">
      <c r="A735" s="1" t="str">
        <f aca="false">IF(LEN(Base!A735&amp;"")=0,"",Base!A735)</f>
        <v/>
      </c>
      <c r="B735" s="60" t="str">
        <f aca="false">IF(LEN(A735&amp;"")=0,"",Base!D735)</f>
        <v/>
      </c>
      <c r="C735" s="1" t="str">
        <f aca="false">IF(LEN(A735&amp;"")=0,"",Base!C735)</f>
        <v/>
      </c>
      <c r="D735" s="1" t="str">
        <f aca="false">IF(LEN(A735&amp;"")=0,"",Base!G735)</f>
        <v/>
      </c>
      <c r="E735" s="1" t="str">
        <f aca="false">IF(LEN(A735&amp;"")=0,"",Base!E735)</f>
        <v/>
      </c>
      <c r="F735" s="61" t="str">
        <f aca="false">IF(LEN(A735&amp;"")=0,"",IF(Base!I735="-",0,Base!I735))</f>
        <v/>
      </c>
      <c r="G735" s="61" t="str">
        <f aca="false">IF(LEN(A735&amp;"")=0,"",SUM(Base!F735,F735,Base!K735))</f>
        <v/>
      </c>
      <c r="H735" s="61" t="str">
        <f aca="false">IF(LEN(A735&amp;"")=0,"",Base!L735)</f>
        <v/>
      </c>
      <c r="I735" s="61" t="str">
        <f aca="false">IF(LEN(A735&amp;"")=0,"",G735-H735)</f>
        <v/>
      </c>
      <c r="J735" s="61" t="str">
        <f aca="false">IF(LEN(A735&amp;"")=0,"",Base!M735)</f>
        <v/>
      </c>
      <c r="K735" s="1" t="n">
        <f aca="false">IF(OR(LEN(A735&amp;"")=0,$P$3=0),0,IF(AND(B735&gt;=Painel!$B$8,B735&lt;=Painel!$G$8,OR(Painel!$L$8="Todos",C735=Painel!$L$8),OR(Painel!$Q$8="Todos",D735=Painel!$Q$8),OR(Painel!$V$8="Todas",E735=Painel!$V$8)),1,0))</f>
        <v>0</v>
      </c>
      <c r="L735" s="61" t="str">
        <f aca="false">IF(LEN(A735&amp;"")=0,"",J735-I735)</f>
        <v/>
      </c>
      <c r="M735" s="1" t="n">
        <f aca="false">IF(LEN(A735&amp;"")=0,0,IF(COUNTIFS(Base!$A$7:$A$1006,A735)&gt;1,1,0))</f>
        <v>0</v>
      </c>
      <c r="N735" s="1" t="n">
        <f aca="false">IF(LEN(A735&amp;"")=0,0,IF(ABS(L735)&gt;0.005,1,0))</f>
        <v>0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customFormat="false" ht="23" hidden="false" customHeight="true" outlineLevel="0" collapsed="false">
      <c r="A736" s="1" t="str">
        <f aca="false">IF(LEN(Base!A736&amp;"")=0,"",Base!A736)</f>
        <v/>
      </c>
      <c r="B736" s="60" t="str">
        <f aca="false">IF(LEN(A736&amp;"")=0,"",Base!D736)</f>
        <v/>
      </c>
      <c r="C736" s="1" t="str">
        <f aca="false">IF(LEN(A736&amp;"")=0,"",Base!C736)</f>
        <v/>
      </c>
      <c r="D736" s="1" t="str">
        <f aca="false">IF(LEN(A736&amp;"")=0,"",Base!G736)</f>
        <v/>
      </c>
      <c r="E736" s="1" t="str">
        <f aca="false">IF(LEN(A736&amp;"")=0,"",Base!E736)</f>
        <v/>
      </c>
      <c r="F736" s="61" t="str">
        <f aca="false">IF(LEN(A736&amp;"")=0,"",IF(Base!I736="-",0,Base!I736))</f>
        <v/>
      </c>
      <c r="G736" s="61" t="str">
        <f aca="false">IF(LEN(A736&amp;"")=0,"",SUM(Base!F736,F736,Base!K736))</f>
        <v/>
      </c>
      <c r="H736" s="61" t="str">
        <f aca="false">IF(LEN(A736&amp;"")=0,"",Base!L736)</f>
        <v/>
      </c>
      <c r="I736" s="61" t="str">
        <f aca="false">IF(LEN(A736&amp;"")=0,"",G736-H736)</f>
        <v/>
      </c>
      <c r="J736" s="61" t="str">
        <f aca="false">IF(LEN(A736&amp;"")=0,"",Base!M736)</f>
        <v/>
      </c>
      <c r="K736" s="1" t="n">
        <f aca="false">IF(OR(LEN(A736&amp;"")=0,$P$3=0),0,IF(AND(B736&gt;=Painel!$B$8,B736&lt;=Painel!$G$8,OR(Painel!$L$8="Todos",C736=Painel!$L$8),OR(Painel!$Q$8="Todos",D736=Painel!$Q$8),OR(Painel!$V$8="Todas",E736=Painel!$V$8)),1,0))</f>
        <v>0</v>
      </c>
      <c r="L736" s="61" t="str">
        <f aca="false">IF(LEN(A736&amp;"")=0,"",J736-I736)</f>
        <v/>
      </c>
      <c r="M736" s="1" t="n">
        <f aca="false">IF(LEN(A736&amp;"")=0,0,IF(COUNTIFS(Base!$A$7:$A$1006,A736)&gt;1,1,0))</f>
        <v>0</v>
      </c>
      <c r="N736" s="1" t="n">
        <f aca="false">IF(LEN(A736&amp;"")=0,0,IF(ABS(L736)&gt;0.005,1,0))</f>
        <v>0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customFormat="false" ht="23" hidden="false" customHeight="true" outlineLevel="0" collapsed="false">
      <c r="A737" s="1" t="str">
        <f aca="false">IF(LEN(Base!A737&amp;"")=0,"",Base!A737)</f>
        <v/>
      </c>
      <c r="B737" s="60" t="str">
        <f aca="false">IF(LEN(A737&amp;"")=0,"",Base!D737)</f>
        <v/>
      </c>
      <c r="C737" s="1" t="str">
        <f aca="false">IF(LEN(A737&amp;"")=0,"",Base!C737)</f>
        <v/>
      </c>
      <c r="D737" s="1" t="str">
        <f aca="false">IF(LEN(A737&amp;"")=0,"",Base!G737)</f>
        <v/>
      </c>
      <c r="E737" s="1" t="str">
        <f aca="false">IF(LEN(A737&amp;"")=0,"",Base!E737)</f>
        <v/>
      </c>
      <c r="F737" s="61" t="str">
        <f aca="false">IF(LEN(A737&amp;"")=0,"",IF(Base!I737="-",0,Base!I737))</f>
        <v/>
      </c>
      <c r="G737" s="61" t="str">
        <f aca="false">IF(LEN(A737&amp;"")=0,"",SUM(Base!F737,F737,Base!K737))</f>
        <v/>
      </c>
      <c r="H737" s="61" t="str">
        <f aca="false">IF(LEN(A737&amp;"")=0,"",Base!L737)</f>
        <v/>
      </c>
      <c r="I737" s="61" t="str">
        <f aca="false">IF(LEN(A737&amp;"")=0,"",G737-H737)</f>
        <v/>
      </c>
      <c r="J737" s="61" t="str">
        <f aca="false">IF(LEN(A737&amp;"")=0,"",Base!M737)</f>
        <v/>
      </c>
      <c r="K737" s="1" t="n">
        <f aca="false">IF(OR(LEN(A737&amp;"")=0,$P$3=0),0,IF(AND(B737&gt;=Painel!$B$8,B737&lt;=Painel!$G$8,OR(Painel!$L$8="Todos",C737=Painel!$L$8),OR(Painel!$Q$8="Todos",D737=Painel!$Q$8),OR(Painel!$V$8="Todas",E737=Painel!$V$8)),1,0))</f>
        <v>0</v>
      </c>
      <c r="L737" s="61" t="str">
        <f aca="false">IF(LEN(A737&amp;"")=0,"",J737-I737)</f>
        <v/>
      </c>
      <c r="M737" s="1" t="n">
        <f aca="false">IF(LEN(A737&amp;"")=0,0,IF(COUNTIFS(Base!$A$7:$A$1006,A737)&gt;1,1,0))</f>
        <v>0</v>
      </c>
      <c r="N737" s="1" t="n">
        <f aca="false">IF(LEN(A737&amp;"")=0,0,IF(ABS(L737)&gt;0.005,1,0))</f>
        <v>0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customFormat="false" ht="23" hidden="false" customHeight="true" outlineLevel="0" collapsed="false">
      <c r="A738" s="1" t="str">
        <f aca="false">IF(LEN(Base!A738&amp;"")=0,"",Base!A738)</f>
        <v/>
      </c>
      <c r="B738" s="60" t="str">
        <f aca="false">IF(LEN(A738&amp;"")=0,"",Base!D738)</f>
        <v/>
      </c>
      <c r="C738" s="1" t="str">
        <f aca="false">IF(LEN(A738&amp;"")=0,"",Base!C738)</f>
        <v/>
      </c>
      <c r="D738" s="1" t="str">
        <f aca="false">IF(LEN(A738&amp;"")=0,"",Base!G738)</f>
        <v/>
      </c>
      <c r="E738" s="1" t="str">
        <f aca="false">IF(LEN(A738&amp;"")=0,"",Base!E738)</f>
        <v/>
      </c>
      <c r="F738" s="61" t="str">
        <f aca="false">IF(LEN(A738&amp;"")=0,"",IF(Base!I738="-",0,Base!I738))</f>
        <v/>
      </c>
      <c r="G738" s="61" t="str">
        <f aca="false">IF(LEN(A738&amp;"")=0,"",SUM(Base!F738,F738,Base!K738))</f>
        <v/>
      </c>
      <c r="H738" s="61" t="str">
        <f aca="false">IF(LEN(A738&amp;"")=0,"",Base!L738)</f>
        <v/>
      </c>
      <c r="I738" s="61" t="str">
        <f aca="false">IF(LEN(A738&amp;"")=0,"",G738-H738)</f>
        <v/>
      </c>
      <c r="J738" s="61" t="str">
        <f aca="false">IF(LEN(A738&amp;"")=0,"",Base!M738)</f>
        <v/>
      </c>
      <c r="K738" s="1" t="n">
        <f aca="false">IF(OR(LEN(A738&amp;"")=0,$P$3=0),0,IF(AND(B738&gt;=Painel!$B$8,B738&lt;=Painel!$G$8,OR(Painel!$L$8="Todos",C738=Painel!$L$8),OR(Painel!$Q$8="Todos",D738=Painel!$Q$8),OR(Painel!$V$8="Todas",E738=Painel!$V$8)),1,0))</f>
        <v>0</v>
      </c>
      <c r="L738" s="61" t="str">
        <f aca="false">IF(LEN(A738&amp;"")=0,"",J738-I738)</f>
        <v/>
      </c>
      <c r="M738" s="1" t="n">
        <f aca="false">IF(LEN(A738&amp;"")=0,0,IF(COUNTIFS(Base!$A$7:$A$1006,A738)&gt;1,1,0))</f>
        <v>0</v>
      </c>
      <c r="N738" s="1" t="n">
        <f aca="false">IF(LEN(A738&amp;"")=0,0,IF(ABS(L738)&gt;0.005,1,0))</f>
        <v>0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customFormat="false" ht="23" hidden="false" customHeight="true" outlineLevel="0" collapsed="false">
      <c r="A739" s="1" t="str">
        <f aca="false">IF(LEN(Base!A739&amp;"")=0,"",Base!A739)</f>
        <v/>
      </c>
      <c r="B739" s="60" t="str">
        <f aca="false">IF(LEN(A739&amp;"")=0,"",Base!D739)</f>
        <v/>
      </c>
      <c r="C739" s="1" t="str">
        <f aca="false">IF(LEN(A739&amp;"")=0,"",Base!C739)</f>
        <v/>
      </c>
      <c r="D739" s="1" t="str">
        <f aca="false">IF(LEN(A739&amp;"")=0,"",Base!G739)</f>
        <v/>
      </c>
      <c r="E739" s="1" t="str">
        <f aca="false">IF(LEN(A739&amp;"")=0,"",Base!E739)</f>
        <v/>
      </c>
      <c r="F739" s="61" t="str">
        <f aca="false">IF(LEN(A739&amp;"")=0,"",IF(Base!I739="-",0,Base!I739))</f>
        <v/>
      </c>
      <c r="G739" s="61" t="str">
        <f aca="false">IF(LEN(A739&amp;"")=0,"",SUM(Base!F739,F739,Base!K739))</f>
        <v/>
      </c>
      <c r="H739" s="61" t="str">
        <f aca="false">IF(LEN(A739&amp;"")=0,"",Base!L739)</f>
        <v/>
      </c>
      <c r="I739" s="61" t="str">
        <f aca="false">IF(LEN(A739&amp;"")=0,"",G739-H739)</f>
        <v/>
      </c>
      <c r="J739" s="61" t="str">
        <f aca="false">IF(LEN(A739&amp;"")=0,"",Base!M739)</f>
        <v/>
      </c>
      <c r="K739" s="1" t="n">
        <f aca="false">IF(OR(LEN(A739&amp;"")=0,$P$3=0),0,IF(AND(B739&gt;=Painel!$B$8,B739&lt;=Painel!$G$8,OR(Painel!$L$8="Todos",C739=Painel!$L$8),OR(Painel!$Q$8="Todos",D739=Painel!$Q$8),OR(Painel!$V$8="Todas",E739=Painel!$V$8)),1,0))</f>
        <v>0</v>
      </c>
      <c r="L739" s="61" t="str">
        <f aca="false">IF(LEN(A739&amp;"")=0,"",J739-I739)</f>
        <v/>
      </c>
      <c r="M739" s="1" t="n">
        <f aca="false">IF(LEN(A739&amp;"")=0,0,IF(COUNTIFS(Base!$A$7:$A$1006,A739)&gt;1,1,0))</f>
        <v>0</v>
      </c>
      <c r="N739" s="1" t="n">
        <f aca="false">IF(LEN(A739&amp;"")=0,0,IF(ABS(L739)&gt;0.005,1,0))</f>
        <v>0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customFormat="false" ht="23" hidden="false" customHeight="true" outlineLevel="0" collapsed="false">
      <c r="A740" s="1" t="str">
        <f aca="false">IF(LEN(Base!A740&amp;"")=0,"",Base!A740)</f>
        <v/>
      </c>
      <c r="B740" s="60" t="str">
        <f aca="false">IF(LEN(A740&amp;"")=0,"",Base!D740)</f>
        <v/>
      </c>
      <c r="C740" s="1" t="str">
        <f aca="false">IF(LEN(A740&amp;"")=0,"",Base!C740)</f>
        <v/>
      </c>
      <c r="D740" s="1" t="str">
        <f aca="false">IF(LEN(A740&amp;"")=0,"",Base!G740)</f>
        <v/>
      </c>
      <c r="E740" s="1" t="str">
        <f aca="false">IF(LEN(A740&amp;"")=0,"",Base!E740)</f>
        <v/>
      </c>
      <c r="F740" s="61" t="str">
        <f aca="false">IF(LEN(A740&amp;"")=0,"",IF(Base!I740="-",0,Base!I740))</f>
        <v/>
      </c>
      <c r="G740" s="61" t="str">
        <f aca="false">IF(LEN(A740&amp;"")=0,"",SUM(Base!F740,F740,Base!K740))</f>
        <v/>
      </c>
      <c r="H740" s="61" t="str">
        <f aca="false">IF(LEN(A740&amp;"")=0,"",Base!L740)</f>
        <v/>
      </c>
      <c r="I740" s="61" t="str">
        <f aca="false">IF(LEN(A740&amp;"")=0,"",G740-H740)</f>
        <v/>
      </c>
      <c r="J740" s="61" t="str">
        <f aca="false">IF(LEN(A740&amp;"")=0,"",Base!M740)</f>
        <v/>
      </c>
      <c r="K740" s="1" t="n">
        <f aca="false">IF(OR(LEN(A740&amp;"")=0,$P$3=0),0,IF(AND(B740&gt;=Painel!$B$8,B740&lt;=Painel!$G$8,OR(Painel!$L$8="Todos",C740=Painel!$L$8),OR(Painel!$Q$8="Todos",D740=Painel!$Q$8),OR(Painel!$V$8="Todas",E740=Painel!$V$8)),1,0))</f>
        <v>0</v>
      </c>
      <c r="L740" s="61" t="str">
        <f aca="false">IF(LEN(A740&amp;"")=0,"",J740-I740)</f>
        <v/>
      </c>
      <c r="M740" s="1" t="n">
        <f aca="false">IF(LEN(A740&amp;"")=0,0,IF(COUNTIFS(Base!$A$7:$A$1006,A740)&gt;1,1,0))</f>
        <v>0</v>
      </c>
      <c r="N740" s="1" t="n">
        <f aca="false">IF(LEN(A740&amp;"")=0,0,IF(ABS(L740)&gt;0.005,1,0))</f>
        <v>0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customFormat="false" ht="23" hidden="false" customHeight="true" outlineLevel="0" collapsed="false">
      <c r="A741" s="1" t="str">
        <f aca="false">IF(LEN(Base!A741&amp;"")=0,"",Base!A741)</f>
        <v/>
      </c>
      <c r="B741" s="60" t="str">
        <f aca="false">IF(LEN(A741&amp;"")=0,"",Base!D741)</f>
        <v/>
      </c>
      <c r="C741" s="1" t="str">
        <f aca="false">IF(LEN(A741&amp;"")=0,"",Base!C741)</f>
        <v/>
      </c>
      <c r="D741" s="1" t="str">
        <f aca="false">IF(LEN(A741&amp;"")=0,"",Base!G741)</f>
        <v/>
      </c>
      <c r="E741" s="1" t="str">
        <f aca="false">IF(LEN(A741&amp;"")=0,"",Base!E741)</f>
        <v/>
      </c>
      <c r="F741" s="61" t="str">
        <f aca="false">IF(LEN(A741&amp;"")=0,"",IF(Base!I741="-",0,Base!I741))</f>
        <v/>
      </c>
      <c r="G741" s="61" t="str">
        <f aca="false">IF(LEN(A741&amp;"")=0,"",SUM(Base!F741,F741,Base!K741))</f>
        <v/>
      </c>
      <c r="H741" s="61" t="str">
        <f aca="false">IF(LEN(A741&amp;"")=0,"",Base!L741)</f>
        <v/>
      </c>
      <c r="I741" s="61" t="str">
        <f aca="false">IF(LEN(A741&amp;"")=0,"",G741-H741)</f>
        <v/>
      </c>
      <c r="J741" s="61" t="str">
        <f aca="false">IF(LEN(A741&amp;"")=0,"",Base!M741)</f>
        <v/>
      </c>
      <c r="K741" s="1" t="n">
        <f aca="false">IF(OR(LEN(A741&amp;"")=0,$P$3=0),0,IF(AND(B741&gt;=Painel!$B$8,B741&lt;=Painel!$G$8,OR(Painel!$L$8="Todos",C741=Painel!$L$8),OR(Painel!$Q$8="Todos",D741=Painel!$Q$8),OR(Painel!$V$8="Todas",E741=Painel!$V$8)),1,0))</f>
        <v>0</v>
      </c>
      <c r="L741" s="61" t="str">
        <f aca="false">IF(LEN(A741&amp;"")=0,"",J741-I741)</f>
        <v/>
      </c>
      <c r="M741" s="1" t="n">
        <f aca="false">IF(LEN(A741&amp;"")=0,0,IF(COUNTIFS(Base!$A$7:$A$1006,A741)&gt;1,1,0))</f>
        <v>0</v>
      </c>
      <c r="N741" s="1" t="n">
        <f aca="false">IF(LEN(A741&amp;"")=0,0,IF(ABS(L741)&gt;0.005,1,0))</f>
        <v>0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customFormat="false" ht="23" hidden="false" customHeight="true" outlineLevel="0" collapsed="false">
      <c r="A742" s="1" t="str">
        <f aca="false">IF(LEN(Base!A742&amp;"")=0,"",Base!A742)</f>
        <v/>
      </c>
      <c r="B742" s="60" t="str">
        <f aca="false">IF(LEN(A742&amp;"")=0,"",Base!D742)</f>
        <v/>
      </c>
      <c r="C742" s="1" t="str">
        <f aca="false">IF(LEN(A742&amp;"")=0,"",Base!C742)</f>
        <v/>
      </c>
      <c r="D742" s="1" t="str">
        <f aca="false">IF(LEN(A742&amp;"")=0,"",Base!G742)</f>
        <v/>
      </c>
      <c r="E742" s="1" t="str">
        <f aca="false">IF(LEN(A742&amp;"")=0,"",Base!E742)</f>
        <v/>
      </c>
      <c r="F742" s="61" t="str">
        <f aca="false">IF(LEN(A742&amp;"")=0,"",IF(Base!I742="-",0,Base!I742))</f>
        <v/>
      </c>
      <c r="G742" s="61" t="str">
        <f aca="false">IF(LEN(A742&amp;"")=0,"",SUM(Base!F742,F742,Base!K742))</f>
        <v/>
      </c>
      <c r="H742" s="61" t="str">
        <f aca="false">IF(LEN(A742&amp;"")=0,"",Base!L742)</f>
        <v/>
      </c>
      <c r="I742" s="61" t="str">
        <f aca="false">IF(LEN(A742&amp;"")=0,"",G742-H742)</f>
        <v/>
      </c>
      <c r="J742" s="61" t="str">
        <f aca="false">IF(LEN(A742&amp;"")=0,"",Base!M742)</f>
        <v/>
      </c>
      <c r="K742" s="1" t="n">
        <f aca="false">IF(OR(LEN(A742&amp;"")=0,$P$3=0),0,IF(AND(B742&gt;=Painel!$B$8,B742&lt;=Painel!$G$8,OR(Painel!$L$8="Todos",C742=Painel!$L$8),OR(Painel!$Q$8="Todos",D742=Painel!$Q$8),OR(Painel!$V$8="Todas",E742=Painel!$V$8)),1,0))</f>
        <v>0</v>
      </c>
      <c r="L742" s="61" t="str">
        <f aca="false">IF(LEN(A742&amp;"")=0,"",J742-I742)</f>
        <v/>
      </c>
      <c r="M742" s="1" t="n">
        <f aca="false">IF(LEN(A742&amp;"")=0,0,IF(COUNTIFS(Base!$A$7:$A$1006,A742)&gt;1,1,0))</f>
        <v>0</v>
      </c>
      <c r="N742" s="1" t="n">
        <f aca="false">IF(LEN(A742&amp;"")=0,0,IF(ABS(L742)&gt;0.005,1,0))</f>
        <v>0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customFormat="false" ht="23" hidden="false" customHeight="true" outlineLevel="0" collapsed="false">
      <c r="A743" s="1" t="str">
        <f aca="false">IF(LEN(Base!A743&amp;"")=0,"",Base!A743)</f>
        <v/>
      </c>
      <c r="B743" s="60" t="str">
        <f aca="false">IF(LEN(A743&amp;"")=0,"",Base!D743)</f>
        <v/>
      </c>
      <c r="C743" s="1" t="str">
        <f aca="false">IF(LEN(A743&amp;"")=0,"",Base!C743)</f>
        <v/>
      </c>
      <c r="D743" s="1" t="str">
        <f aca="false">IF(LEN(A743&amp;"")=0,"",Base!G743)</f>
        <v/>
      </c>
      <c r="E743" s="1" t="str">
        <f aca="false">IF(LEN(A743&amp;"")=0,"",Base!E743)</f>
        <v/>
      </c>
      <c r="F743" s="61" t="str">
        <f aca="false">IF(LEN(A743&amp;"")=0,"",IF(Base!I743="-",0,Base!I743))</f>
        <v/>
      </c>
      <c r="G743" s="61" t="str">
        <f aca="false">IF(LEN(A743&amp;"")=0,"",SUM(Base!F743,F743,Base!K743))</f>
        <v/>
      </c>
      <c r="H743" s="61" t="str">
        <f aca="false">IF(LEN(A743&amp;"")=0,"",Base!L743)</f>
        <v/>
      </c>
      <c r="I743" s="61" t="str">
        <f aca="false">IF(LEN(A743&amp;"")=0,"",G743-H743)</f>
        <v/>
      </c>
      <c r="J743" s="61" t="str">
        <f aca="false">IF(LEN(A743&amp;"")=0,"",Base!M743)</f>
        <v/>
      </c>
      <c r="K743" s="1" t="n">
        <f aca="false">IF(OR(LEN(A743&amp;"")=0,$P$3=0),0,IF(AND(B743&gt;=Painel!$B$8,B743&lt;=Painel!$G$8,OR(Painel!$L$8="Todos",C743=Painel!$L$8),OR(Painel!$Q$8="Todos",D743=Painel!$Q$8),OR(Painel!$V$8="Todas",E743=Painel!$V$8)),1,0))</f>
        <v>0</v>
      </c>
      <c r="L743" s="61" t="str">
        <f aca="false">IF(LEN(A743&amp;"")=0,"",J743-I743)</f>
        <v/>
      </c>
      <c r="M743" s="1" t="n">
        <f aca="false">IF(LEN(A743&amp;"")=0,0,IF(COUNTIFS(Base!$A$7:$A$1006,A743)&gt;1,1,0))</f>
        <v>0</v>
      </c>
      <c r="N743" s="1" t="n">
        <f aca="false">IF(LEN(A743&amp;"")=0,0,IF(ABS(L743)&gt;0.005,1,0))</f>
        <v>0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customFormat="false" ht="23" hidden="false" customHeight="true" outlineLevel="0" collapsed="false">
      <c r="A744" s="1" t="str">
        <f aca="false">IF(LEN(Base!A744&amp;"")=0,"",Base!A744)</f>
        <v/>
      </c>
      <c r="B744" s="60" t="str">
        <f aca="false">IF(LEN(A744&amp;"")=0,"",Base!D744)</f>
        <v/>
      </c>
      <c r="C744" s="1" t="str">
        <f aca="false">IF(LEN(A744&amp;"")=0,"",Base!C744)</f>
        <v/>
      </c>
      <c r="D744" s="1" t="str">
        <f aca="false">IF(LEN(A744&amp;"")=0,"",Base!G744)</f>
        <v/>
      </c>
      <c r="E744" s="1" t="str">
        <f aca="false">IF(LEN(A744&amp;"")=0,"",Base!E744)</f>
        <v/>
      </c>
      <c r="F744" s="61" t="str">
        <f aca="false">IF(LEN(A744&amp;"")=0,"",IF(Base!I744="-",0,Base!I744))</f>
        <v/>
      </c>
      <c r="G744" s="61" t="str">
        <f aca="false">IF(LEN(A744&amp;"")=0,"",SUM(Base!F744,F744,Base!K744))</f>
        <v/>
      </c>
      <c r="H744" s="61" t="str">
        <f aca="false">IF(LEN(A744&amp;"")=0,"",Base!L744)</f>
        <v/>
      </c>
      <c r="I744" s="61" t="str">
        <f aca="false">IF(LEN(A744&amp;"")=0,"",G744-H744)</f>
        <v/>
      </c>
      <c r="J744" s="61" t="str">
        <f aca="false">IF(LEN(A744&amp;"")=0,"",Base!M744)</f>
        <v/>
      </c>
      <c r="K744" s="1" t="n">
        <f aca="false">IF(OR(LEN(A744&amp;"")=0,$P$3=0),0,IF(AND(B744&gt;=Painel!$B$8,B744&lt;=Painel!$G$8,OR(Painel!$L$8="Todos",C744=Painel!$L$8),OR(Painel!$Q$8="Todos",D744=Painel!$Q$8),OR(Painel!$V$8="Todas",E744=Painel!$V$8)),1,0))</f>
        <v>0</v>
      </c>
      <c r="L744" s="61" t="str">
        <f aca="false">IF(LEN(A744&amp;"")=0,"",J744-I744)</f>
        <v/>
      </c>
      <c r="M744" s="1" t="n">
        <f aca="false">IF(LEN(A744&amp;"")=0,0,IF(COUNTIFS(Base!$A$7:$A$1006,A744)&gt;1,1,0))</f>
        <v>0</v>
      </c>
      <c r="N744" s="1" t="n">
        <f aca="false">IF(LEN(A744&amp;"")=0,0,IF(ABS(L744)&gt;0.005,1,0))</f>
        <v>0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customFormat="false" ht="23" hidden="false" customHeight="true" outlineLevel="0" collapsed="false">
      <c r="A745" s="1" t="str">
        <f aca="false">IF(LEN(Base!A745&amp;"")=0,"",Base!A745)</f>
        <v/>
      </c>
      <c r="B745" s="60" t="str">
        <f aca="false">IF(LEN(A745&amp;"")=0,"",Base!D745)</f>
        <v/>
      </c>
      <c r="C745" s="1" t="str">
        <f aca="false">IF(LEN(A745&amp;"")=0,"",Base!C745)</f>
        <v/>
      </c>
      <c r="D745" s="1" t="str">
        <f aca="false">IF(LEN(A745&amp;"")=0,"",Base!G745)</f>
        <v/>
      </c>
      <c r="E745" s="1" t="str">
        <f aca="false">IF(LEN(A745&amp;"")=0,"",Base!E745)</f>
        <v/>
      </c>
      <c r="F745" s="61" t="str">
        <f aca="false">IF(LEN(A745&amp;"")=0,"",IF(Base!I745="-",0,Base!I745))</f>
        <v/>
      </c>
      <c r="G745" s="61" t="str">
        <f aca="false">IF(LEN(A745&amp;"")=0,"",SUM(Base!F745,F745,Base!K745))</f>
        <v/>
      </c>
      <c r="H745" s="61" t="str">
        <f aca="false">IF(LEN(A745&amp;"")=0,"",Base!L745)</f>
        <v/>
      </c>
      <c r="I745" s="61" t="str">
        <f aca="false">IF(LEN(A745&amp;"")=0,"",G745-H745)</f>
        <v/>
      </c>
      <c r="J745" s="61" t="str">
        <f aca="false">IF(LEN(A745&amp;"")=0,"",Base!M745)</f>
        <v/>
      </c>
      <c r="K745" s="1" t="n">
        <f aca="false">IF(OR(LEN(A745&amp;"")=0,$P$3=0),0,IF(AND(B745&gt;=Painel!$B$8,B745&lt;=Painel!$G$8,OR(Painel!$L$8="Todos",C745=Painel!$L$8),OR(Painel!$Q$8="Todos",D745=Painel!$Q$8),OR(Painel!$V$8="Todas",E745=Painel!$V$8)),1,0))</f>
        <v>0</v>
      </c>
      <c r="L745" s="61" t="str">
        <f aca="false">IF(LEN(A745&amp;"")=0,"",J745-I745)</f>
        <v/>
      </c>
      <c r="M745" s="1" t="n">
        <f aca="false">IF(LEN(A745&amp;"")=0,0,IF(COUNTIFS(Base!$A$7:$A$1006,A745)&gt;1,1,0))</f>
        <v>0</v>
      </c>
      <c r="N745" s="1" t="n">
        <f aca="false">IF(LEN(A745&amp;"")=0,0,IF(ABS(L745)&gt;0.005,1,0))</f>
        <v>0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customFormat="false" ht="23" hidden="false" customHeight="true" outlineLevel="0" collapsed="false">
      <c r="A746" s="1" t="str">
        <f aca="false">IF(LEN(Base!A746&amp;"")=0,"",Base!A746)</f>
        <v/>
      </c>
      <c r="B746" s="60" t="str">
        <f aca="false">IF(LEN(A746&amp;"")=0,"",Base!D746)</f>
        <v/>
      </c>
      <c r="C746" s="1" t="str">
        <f aca="false">IF(LEN(A746&amp;"")=0,"",Base!C746)</f>
        <v/>
      </c>
      <c r="D746" s="1" t="str">
        <f aca="false">IF(LEN(A746&amp;"")=0,"",Base!G746)</f>
        <v/>
      </c>
      <c r="E746" s="1" t="str">
        <f aca="false">IF(LEN(A746&amp;"")=0,"",Base!E746)</f>
        <v/>
      </c>
      <c r="F746" s="61" t="str">
        <f aca="false">IF(LEN(A746&amp;"")=0,"",IF(Base!I746="-",0,Base!I746))</f>
        <v/>
      </c>
      <c r="G746" s="61" t="str">
        <f aca="false">IF(LEN(A746&amp;"")=0,"",SUM(Base!F746,F746,Base!K746))</f>
        <v/>
      </c>
      <c r="H746" s="61" t="str">
        <f aca="false">IF(LEN(A746&amp;"")=0,"",Base!L746)</f>
        <v/>
      </c>
      <c r="I746" s="61" t="str">
        <f aca="false">IF(LEN(A746&amp;"")=0,"",G746-H746)</f>
        <v/>
      </c>
      <c r="J746" s="61" t="str">
        <f aca="false">IF(LEN(A746&amp;"")=0,"",Base!M746)</f>
        <v/>
      </c>
      <c r="K746" s="1" t="n">
        <f aca="false">IF(OR(LEN(A746&amp;"")=0,$P$3=0),0,IF(AND(B746&gt;=Painel!$B$8,B746&lt;=Painel!$G$8,OR(Painel!$L$8="Todos",C746=Painel!$L$8),OR(Painel!$Q$8="Todos",D746=Painel!$Q$8),OR(Painel!$V$8="Todas",E746=Painel!$V$8)),1,0))</f>
        <v>0</v>
      </c>
      <c r="L746" s="61" t="str">
        <f aca="false">IF(LEN(A746&amp;"")=0,"",J746-I746)</f>
        <v/>
      </c>
      <c r="M746" s="1" t="n">
        <f aca="false">IF(LEN(A746&amp;"")=0,0,IF(COUNTIFS(Base!$A$7:$A$1006,A746)&gt;1,1,0))</f>
        <v>0</v>
      </c>
      <c r="N746" s="1" t="n">
        <f aca="false">IF(LEN(A746&amp;"")=0,0,IF(ABS(L746)&gt;0.005,1,0))</f>
        <v>0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customFormat="false" ht="23" hidden="false" customHeight="true" outlineLevel="0" collapsed="false">
      <c r="A747" s="1" t="str">
        <f aca="false">IF(LEN(Base!A747&amp;"")=0,"",Base!A747)</f>
        <v/>
      </c>
      <c r="B747" s="60" t="str">
        <f aca="false">IF(LEN(A747&amp;"")=0,"",Base!D747)</f>
        <v/>
      </c>
      <c r="C747" s="1" t="str">
        <f aca="false">IF(LEN(A747&amp;"")=0,"",Base!C747)</f>
        <v/>
      </c>
      <c r="D747" s="1" t="str">
        <f aca="false">IF(LEN(A747&amp;"")=0,"",Base!G747)</f>
        <v/>
      </c>
      <c r="E747" s="1" t="str">
        <f aca="false">IF(LEN(A747&amp;"")=0,"",Base!E747)</f>
        <v/>
      </c>
      <c r="F747" s="61" t="str">
        <f aca="false">IF(LEN(A747&amp;"")=0,"",IF(Base!I747="-",0,Base!I747))</f>
        <v/>
      </c>
      <c r="G747" s="61" t="str">
        <f aca="false">IF(LEN(A747&amp;"")=0,"",SUM(Base!F747,F747,Base!K747))</f>
        <v/>
      </c>
      <c r="H747" s="61" t="str">
        <f aca="false">IF(LEN(A747&amp;"")=0,"",Base!L747)</f>
        <v/>
      </c>
      <c r="I747" s="61" t="str">
        <f aca="false">IF(LEN(A747&amp;"")=0,"",G747-H747)</f>
        <v/>
      </c>
      <c r="J747" s="61" t="str">
        <f aca="false">IF(LEN(A747&amp;"")=0,"",Base!M747)</f>
        <v/>
      </c>
      <c r="K747" s="1" t="n">
        <f aca="false">IF(OR(LEN(A747&amp;"")=0,$P$3=0),0,IF(AND(B747&gt;=Painel!$B$8,B747&lt;=Painel!$G$8,OR(Painel!$L$8="Todos",C747=Painel!$L$8),OR(Painel!$Q$8="Todos",D747=Painel!$Q$8),OR(Painel!$V$8="Todas",E747=Painel!$V$8)),1,0))</f>
        <v>0</v>
      </c>
      <c r="L747" s="61" t="str">
        <f aca="false">IF(LEN(A747&amp;"")=0,"",J747-I747)</f>
        <v/>
      </c>
      <c r="M747" s="1" t="n">
        <f aca="false">IF(LEN(A747&amp;"")=0,0,IF(COUNTIFS(Base!$A$7:$A$1006,A747)&gt;1,1,0))</f>
        <v>0</v>
      </c>
      <c r="N747" s="1" t="n">
        <f aca="false">IF(LEN(A747&amp;"")=0,0,IF(ABS(L747)&gt;0.005,1,0))</f>
        <v>0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customFormat="false" ht="23" hidden="false" customHeight="true" outlineLevel="0" collapsed="false">
      <c r="A748" s="1" t="str">
        <f aca="false">IF(LEN(Base!A748&amp;"")=0,"",Base!A748)</f>
        <v/>
      </c>
      <c r="B748" s="60" t="str">
        <f aca="false">IF(LEN(A748&amp;"")=0,"",Base!D748)</f>
        <v/>
      </c>
      <c r="C748" s="1" t="str">
        <f aca="false">IF(LEN(A748&amp;"")=0,"",Base!C748)</f>
        <v/>
      </c>
      <c r="D748" s="1" t="str">
        <f aca="false">IF(LEN(A748&amp;"")=0,"",Base!G748)</f>
        <v/>
      </c>
      <c r="E748" s="1" t="str">
        <f aca="false">IF(LEN(A748&amp;"")=0,"",Base!E748)</f>
        <v/>
      </c>
      <c r="F748" s="61" t="str">
        <f aca="false">IF(LEN(A748&amp;"")=0,"",IF(Base!I748="-",0,Base!I748))</f>
        <v/>
      </c>
      <c r="G748" s="61" t="str">
        <f aca="false">IF(LEN(A748&amp;"")=0,"",SUM(Base!F748,F748,Base!K748))</f>
        <v/>
      </c>
      <c r="H748" s="61" t="str">
        <f aca="false">IF(LEN(A748&amp;"")=0,"",Base!L748)</f>
        <v/>
      </c>
      <c r="I748" s="61" t="str">
        <f aca="false">IF(LEN(A748&amp;"")=0,"",G748-H748)</f>
        <v/>
      </c>
      <c r="J748" s="61" t="str">
        <f aca="false">IF(LEN(A748&amp;"")=0,"",Base!M748)</f>
        <v/>
      </c>
      <c r="K748" s="1" t="n">
        <f aca="false">IF(OR(LEN(A748&amp;"")=0,$P$3=0),0,IF(AND(B748&gt;=Painel!$B$8,B748&lt;=Painel!$G$8,OR(Painel!$L$8="Todos",C748=Painel!$L$8),OR(Painel!$Q$8="Todos",D748=Painel!$Q$8),OR(Painel!$V$8="Todas",E748=Painel!$V$8)),1,0))</f>
        <v>0</v>
      </c>
      <c r="L748" s="61" t="str">
        <f aca="false">IF(LEN(A748&amp;"")=0,"",J748-I748)</f>
        <v/>
      </c>
      <c r="M748" s="1" t="n">
        <f aca="false">IF(LEN(A748&amp;"")=0,0,IF(COUNTIFS(Base!$A$7:$A$1006,A748)&gt;1,1,0))</f>
        <v>0</v>
      </c>
      <c r="N748" s="1" t="n">
        <f aca="false">IF(LEN(A748&amp;"")=0,0,IF(ABS(L748)&gt;0.005,1,0))</f>
        <v>0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customFormat="false" ht="23" hidden="false" customHeight="true" outlineLevel="0" collapsed="false">
      <c r="A749" s="1" t="str">
        <f aca="false">IF(LEN(Base!A749&amp;"")=0,"",Base!A749)</f>
        <v/>
      </c>
      <c r="B749" s="60" t="str">
        <f aca="false">IF(LEN(A749&amp;"")=0,"",Base!D749)</f>
        <v/>
      </c>
      <c r="C749" s="1" t="str">
        <f aca="false">IF(LEN(A749&amp;"")=0,"",Base!C749)</f>
        <v/>
      </c>
      <c r="D749" s="1" t="str">
        <f aca="false">IF(LEN(A749&amp;"")=0,"",Base!G749)</f>
        <v/>
      </c>
      <c r="E749" s="1" t="str">
        <f aca="false">IF(LEN(A749&amp;"")=0,"",Base!E749)</f>
        <v/>
      </c>
      <c r="F749" s="61" t="str">
        <f aca="false">IF(LEN(A749&amp;"")=0,"",IF(Base!I749="-",0,Base!I749))</f>
        <v/>
      </c>
      <c r="G749" s="61" t="str">
        <f aca="false">IF(LEN(A749&amp;"")=0,"",SUM(Base!F749,F749,Base!K749))</f>
        <v/>
      </c>
      <c r="H749" s="61" t="str">
        <f aca="false">IF(LEN(A749&amp;"")=0,"",Base!L749)</f>
        <v/>
      </c>
      <c r="I749" s="61" t="str">
        <f aca="false">IF(LEN(A749&amp;"")=0,"",G749-H749)</f>
        <v/>
      </c>
      <c r="J749" s="61" t="str">
        <f aca="false">IF(LEN(A749&amp;"")=0,"",Base!M749)</f>
        <v/>
      </c>
      <c r="K749" s="1" t="n">
        <f aca="false">IF(OR(LEN(A749&amp;"")=0,$P$3=0),0,IF(AND(B749&gt;=Painel!$B$8,B749&lt;=Painel!$G$8,OR(Painel!$L$8="Todos",C749=Painel!$L$8),OR(Painel!$Q$8="Todos",D749=Painel!$Q$8),OR(Painel!$V$8="Todas",E749=Painel!$V$8)),1,0))</f>
        <v>0</v>
      </c>
      <c r="L749" s="61" t="str">
        <f aca="false">IF(LEN(A749&amp;"")=0,"",J749-I749)</f>
        <v/>
      </c>
      <c r="M749" s="1" t="n">
        <f aca="false">IF(LEN(A749&amp;"")=0,0,IF(COUNTIFS(Base!$A$7:$A$1006,A749)&gt;1,1,0))</f>
        <v>0</v>
      </c>
      <c r="N749" s="1" t="n">
        <f aca="false">IF(LEN(A749&amp;"")=0,0,IF(ABS(L749)&gt;0.005,1,0))</f>
        <v>0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customFormat="false" ht="23" hidden="false" customHeight="true" outlineLevel="0" collapsed="false">
      <c r="A750" s="1" t="str">
        <f aca="false">IF(LEN(Base!A750&amp;"")=0,"",Base!A750)</f>
        <v/>
      </c>
      <c r="B750" s="60" t="str">
        <f aca="false">IF(LEN(A750&amp;"")=0,"",Base!D750)</f>
        <v/>
      </c>
      <c r="C750" s="1" t="str">
        <f aca="false">IF(LEN(A750&amp;"")=0,"",Base!C750)</f>
        <v/>
      </c>
      <c r="D750" s="1" t="str">
        <f aca="false">IF(LEN(A750&amp;"")=0,"",Base!G750)</f>
        <v/>
      </c>
      <c r="E750" s="1" t="str">
        <f aca="false">IF(LEN(A750&amp;"")=0,"",Base!E750)</f>
        <v/>
      </c>
      <c r="F750" s="61" t="str">
        <f aca="false">IF(LEN(A750&amp;"")=0,"",IF(Base!I750="-",0,Base!I750))</f>
        <v/>
      </c>
      <c r="G750" s="61" t="str">
        <f aca="false">IF(LEN(A750&amp;"")=0,"",SUM(Base!F750,F750,Base!K750))</f>
        <v/>
      </c>
      <c r="H750" s="61" t="str">
        <f aca="false">IF(LEN(A750&amp;"")=0,"",Base!L750)</f>
        <v/>
      </c>
      <c r="I750" s="61" t="str">
        <f aca="false">IF(LEN(A750&amp;"")=0,"",G750-H750)</f>
        <v/>
      </c>
      <c r="J750" s="61" t="str">
        <f aca="false">IF(LEN(A750&amp;"")=0,"",Base!M750)</f>
        <v/>
      </c>
      <c r="K750" s="1" t="n">
        <f aca="false">IF(OR(LEN(A750&amp;"")=0,$P$3=0),0,IF(AND(B750&gt;=Painel!$B$8,B750&lt;=Painel!$G$8,OR(Painel!$L$8="Todos",C750=Painel!$L$8),OR(Painel!$Q$8="Todos",D750=Painel!$Q$8),OR(Painel!$V$8="Todas",E750=Painel!$V$8)),1,0))</f>
        <v>0</v>
      </c>
      <c r="L750" s="61" t="str">
        <f aca="false">IF(LEN(A750&amp;"")=0,"",J750-I750)</f>
        <v/>
      </c>
      <c r="M750" s="1" t="n">
        <f aca="false">IF(LEN(A750&amp;"")=0,0,IF(COUNTIFS(Base!$A$7:$A$1006,A750)&gt;1,1,0))</f>
        <v>0</v>
      </c>
      <c r="N750" s="1" t="n">
        <f aca="false">IF(LEN(A750&amp;"")=0,0,IF(ABS(L750)&gt;0.005,1,0))</f>
        <v>0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customFormat="false" ht="23" hidden="false" customHeight="true" outlineLevel="0" collapsed="false">
      <c r="A751" s="1" t="str">
        <f aca="false">IF(LEN(Base!A751&amp;"")=0,"",Base!A751)</f>
        <v/>
      </c>
      <c r="B751" s="60" t="str">
        <f aca="false">IF(LEN(A751&amp;"")=0,"",Base!D751)</f>
        <v/>
      </c>
      <c r="C751" s="1" t="str">
        <f aca="false">IF(LEN(A751&amp;"")=0,"",Base!C751)</f>
        <v/>
      </c>
      <c r="D751" s="1" t="str">
        <f aca="false">IF(LEN(A751&amp;"")=0,"",Base!G751)</f>
        <v/>
      </c>
      <c r="E751" s="1" t="str">
        <f aca="false">IF(LEN(A751&amp;"")=0,"",Base!E751)</f>
        <v/>
      </c>
      <c r="F751" s="61" t="str">
        <f aca="false">IF(LEN(A751&amp;"")=0,"",IF(Base!I751="-",0,Base!I751))</f>
        <v/>
      </c>
      <c r="G751" s="61" t="str">
        <f aca="false">IF(LEN(A751&amp;"")=0,"",SUM(Base!F751,F751,Base!K751))</f>
        <v/>
      </c>
      <c r="H751" s="61" t="str">
        <f aca="false">IF(LEN(A751&amp;"")=0,"",Base!L751)</f>
        <v/>
      </c>
      <c r="I751" s="61" t="str">
        <f aca="false">IF(LEN(A751&amp;"")=0,"",G751-H751)</f>
        <v/>
      </c>
      <c r="J751" s="61" t="str">
        <f aca="false">IF(LEN(A751&amp;"")=0,"",Base!M751)</f>
        <v/>
      </c>
      <c r="K751" s="1" t="n">
        <f aca="false">IF(OR(LEN(A751&amp;"")=0,$P$3=0),0,IF(AND(B751&gt;=Painel!$B$8,B751&lt;=Painel!$G$8,OR(Painel!$L$8="Todos",C751=Painel!$L$8),OR(Painel!$Q$8="Todos",D751=Painel!$Q$8),OR(Painel!$V$8="Todas",E751=Painel!$V$8)),1,0))</f>
        <v>0</v>
      </c>
      <c r="L751" s="61" t="str">
        <f aca="false">IF(LEN(A751&amp;"")=0,"",J751-I751)</f>
        <v/>
      </c>
      <c r="M751" s="1" t="n">
        <f aca="false">IF(LEN(A751&amp;"")=0,0,IF(COUNTIFS(Base!$A$7:$A$1006,A751)&gt;1,1,0))</f>
        <v>0</v>
      </c>
      <c r="N751" s="1" t="n">
        <f aca="false">IF(LEN(A751&amp;"")=0,0,IF(ABS(L751)&gt;0.005,1,0))</f>
        <v>0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customFormat="false" ht="23" hidden="false" customHeight="true" outlineLevel="0" collapsed="false">
      <c r="A752" s="1" t="str">
        <f aca="false">IF(LEN(Base!A752&amp;"")=0,"",Base!A752)</f>
        <v/>
      </c>
      <c r="B752" s="60" t="str">
        <f aca="false">IF(LEN(A752&amp;"")=0,"",Base!D752)</f>
        <v/>
      </c>
      <c r="C752" s="1" t="str">
        <f aca="false">IF(LEN(A752&amp;"")=0,"",Base!C752)</f>
        <v/>
      </c>
      <c r="D752" s="1" t="str">
        <f aca="false">IF(LEN(A752&amp;"")=0,"",Base!G752)</f>
        <v/>
      </c>
      <c r="E752" s="1" t="str">
        <f aca="false">IF(LEN(A752&amp;"")=0,"",Base!E752)</f>
        <v/>
      </c>
      <c r="F752" s="61" t="str">
        <f aca="false">IF(LEN(A752&amp;"")=0,"",IF(Base!I752="-",0,Base!I752))</f>
        <v/>
      </c>
      <c r="G752" s="61" t="str">
        <f aca="false">IF(LEN(A752&amp;"")=0,"",SUM(Base!F752,F752,Base!K752))</f>
        <v/>
      </c>
      <c r="H752" s="61" t="str">
        <f aca="false">IF(LEN(A752&amp;"")=0,"",Base!L752)</f>
        <v/>
      </c>
      <c r="I752" s="61" t="str">
        <f aca="false">IF(LEN(A752&amp;"")=0,"",G752-H752)</f>
        <v/>
      </c>
      <c r="J752" s="61" t="str">
        <f aca="false">IF(LEN(A752&amp;"")=0,"",Base!M752)</f>
        <v/>
      </c>
      <c r="K752" s="1" t="n">
        <f aca="false">IF(OR(LEN(A752&amp;"")=0,$P$3=0),0,IF(AND(B752&gt;=Painel!$B$8,B752&lt;=Painel!$G$8,OR(Painel!$L$8="Todos",C752=Painel!$L$8),OR(Painel!$Q$8="Todos",D752=Painel!$Q$8),OR(Painel!$V$8="Todas",E752=Painel!$V$8)),1,0))</f>
        <v>0</v>
      </c>
      <c r="L752" s="61" t="str">
        <f aca="false">IF(LEN(A752&amp;"")=0,"",J752-I752)</f>
        <v/>
      </c>
      <c r="M752" s="1" t="n">
        <f aca="false">IF(LEN(A752&amp;"")=0,0,IF(COUNTIFS(Base!$A$7:$A$1006,A752)&gt;1,1,0))</f>
        <v>0</v>
      </c>
      <c r="N752" s="1" t="n">
        <f aca="false">IF(LEN(A752&amp;"")=0,0,IF(ABS(L752)&gt;0.005,1,0))</f>
        <v>0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customFormat="false" ht="23" hidden="false" customHeight="true" outlineLevel="0" collapsed="false">
      <c r="A753" s="1" t="str">
        <f aca="false">IF(LEN(Base!A753&amp;"")=0,"",Base!A753)</f>
        <v/>
      </c>
      <c r="B753" s="60" t="str">
        <f aca="false">IF(LEN(A753&amp;"")=0,"",Base!D753)</f>
        <v/>
      </c>
      <c r="C753" s="1" t="str">
        <f aca="false">IF(LEN(A753&amp;"")=0,"",Base!C753)</f>
        <v/>
      </c>
      <c r="D753" s="1" t="str">
        <f aca="false">IF(LEN(A753&amp;"")=0,"",Base!G753)</f>
        <v/>
      </c>
      <c r="E753" s="1" t="str">
        <f aca="false">IF(LEN(A753&amp;"")=0,"",Base!E753)</f>
        <v/>
      </c>
      <c r="F753" s="61" t="str">
        <f aca="false">IF(LEN(A753&amp;"")=0,"",IF(Base!I753="-",0,Base!I753))</f>
        <v/>
      </c>
      <c r="G753" s="61" t="str">
        <f aca="false">IF(LEN(A753&amp;"")=0,"",SUM(Base!F753,F753,Base!K753))</f>
        <v/>
      </c>
      <c r="H753" s="61" t="str">
        <f aca="false">IF(LEN(A753&amp;"")=0,"",Base!L753)</f>
        <v/>
      </c>
      <c r="I753" s="61" t="str">
        <f aca="false">IF(LEN(A753&amp;"")=0,"",G753-H753)</f>
        <v/>
      </c>
      <c r="J753" s="61" t="str">
        <f aca="false">IF(LEN(A753&amp;"")=0,"",Base!M753)</f>
        <v/>
      </c>
      <c r="K753" s="1" t="n">
        <f aca="false">IF(OR(LEN(A753&amp;"")=0,$P$3=0),0,IF(AND(B753&gt;=Painel!$B$8,B753&lt;=Painel!$G$8,OR(Painel!$L$8="Todos",C753=Painel!$L$8),OR(Painel!$Q$8="Todos",D753=Painel!$Q$8),OR(Painel!$V$8="Todas",E753=Painel!$V$8)),1,0))</f>
        <v>0</v>
      </c>
      <c r="L753" s="61" t="str">
        <f aca="false">IF(LEN(A753&amp;"")=0,"",J753-I753)</f>
        <v/>
      </c>
      <c r="M753" s="1" t="n">
        <f aca="false">IF(LEN(A753&amp;"")=0,0,IF(COUNTIFS(Base!$A$7:$A$1006,A753)&gt;1,1,0))</f>
        <v>0</v>
      </c>
      <c r="N753" s="1" t="n">
        <f aca="false">IF(LEN(A753&amp;"")=0,0,IF(ABS(L753)&gt;0.005,1,0))</f>
        <v>0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customFormat="false" ht="23" hidden="false" customHeight="true" outlineLevel="0" collapsed="false">
      <c r="A754" s="1" t="str">
        <f aca="false">IF(LEN(Base!A754&amp;"")=0,"",Base!A754)</f>
        <v/>
      </c>
      <c r="B754" s="60" t="str">
        <f aca="false">IF(LEN(A754&amp;"")=0,"",Base!D754)</f>
        <v/>
      </c>
      <c r="C754" s="1" t="str">
        <f aca="false">IF(LEN(A754&amp;"")=0,"",Base!C754)</f>
        <v/>
      </c>
      <c r="D754" s="1" t="str">
        <f aca="false">IF(LEN(A754&amp;"")=0,"",Base!G754)</f>
        <v/>
      </c>
      <c r="E754" s="1" t="str">
        <f aca="false">IF(LEN(A754&amp;"")=0,"",Base!E754)</f>
        <v/>
      </c>
      <c r="F754" s="61" t="str">
        <f aca="false">IF(LEN(A754&amp;"")=0,"",IF(Base!I754="-",0,Base!I754))</f>
        <v/>
      </c>
      <c r="G754" s="61" t="str">
        <f aca="false">IF(LEN(A754&amp;"")=0,"",SUM(Base!F754,F754,Base!K754))</f>
        <v/>
      </c>
      <c r="H754" s="61" t="str">
        <f aca="false">IF(LEN(A754&amp;"")=0,"",Base!L754)</f>
        <v/>
      </c>
      <c r="I754" s="61" t="str">
        <f aca="false">IF(LEN(A754&amp;"")=0,"",G754-H754)</f>
        <v/>
      </c>
      <c r="J754" s="61" t="str">
        <f aca="false">IF(LEN(A754&amp;"")=0,"",Base!M754)</f>
        <v/>
      </c>
      <c r="K754" s="1" t="n">
        <f aca="false">IF(OR(LEN(A754&amp;"")=0,$P$3=0),0,IF(AND(B754&gt;=Painel!$B$8,B754&lt;=Painel!$G$8,OR(Painel!$L$8="Todos",C754=Painel!$L$8),OR(Painel!$Q$8="Todos",D754=Painel!$Q$8),OR(Painel!$V$8="Todas",E754=Painel!$V$8)),1,0))</f>
        <v>0</v>
      </c>
      <c r="L754" s="61" t="str">
        <f aca="false">IF(LEN(A754&amp;"")=0,"",J754-I754)</f>
        <v/>
      </c>
      <c r="M754" s="1" t="n">
        <f aca="false">IF(LEN(A754&amp;"")=0,0,IF(COUNTIFS(Base!$A$7:$A$1006,A754)&gt;1,1,0))</f>
        <v>0</v>
      </c>
      <c r="N754" s="1" t="n">
        <f aca="false">IF(LEN(A754&amp;"")=0,0,IF(ABS(L754)&gt;0.005,1,0))</f>
        <v>0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customFormat="false" ht="23" hidden="false" customHeight="true" outlineLevel="0" collapsed="false">
      <c r="A755" s="1" t="str">
        <f aca="false">IF(LEN(Base!A755&amp;"")=0,"",Base!A755)</f>
        <v/>
      </c>
      <c r="B755" s="60" t="str">
        <f aca="false">IF(LEN(A755&amp;"")=0,"",Base!D755)</f>
        <v/>
      </c>
      <c r="C755" s="1" t="str">
        <f aca="false">IF(LEN(A755&amp;"")=0,"",Base!C755)</f>
        <v/>
      </c>
      <c r="D755" s="1" t="str">
        <f aca="false">IF(LEN(A755&amp;"")=0,"",Base!G755)</f>
        <v/>
      </c>
      <c r="E755" s="1" t="str">
        <f aca="false">IF(LEN(A755&amp;"")=0,"",Base!E755)</f>
        <v/>
      </c>
      <c r="F755" s="61" t="str">
        <f aca="false">IF(LEN(A755&amp;"")=0,"",IF(Base!I755="-",0,Base!I755))</f>
        <v/>
      </c>
      <c r="G755" s="61" t="str">
        <f aca="false">IF(LEN(A755&amp;"")=0,"",SUM(Base!F755,F755,Base!K755))</f>
        <v/>
      </c>
      <c r="H755" s="61" t="str">
        <f aca="false">IF(LEN(A755&amp;"")=0,"",Base!L755)</f>
        <v/>
      </c>
      <c r="I755" s="61" t="str">
        <f aca="false">IF(LEN(A755&amp;"")=0,"",G755-H755)</f>
        <v/>
      </c>
      <c r="J755" s="61" t="str">
        <f aca="false">IF(LEN(A755&amp;"")=0,"",Base!M755)</f>
        <v/>
      </c>
      <c r="K755" s="1" t="n">
        <f aca="false">IF(OR(LEN(A755&amp;"")=0,$P$3=0),0,IF(AND(B755&gt;=Painel!$B$8,B755&lt;=Painel!$G$8,OR(Painel!$L$8="Todos",C755=Painel!$L$8),OR(Painel!$Q$8="Todos",D755=Painel!$Q$8),OR(Painel!$V$8="Todas",E755=Painel!$V$8)),1,0))</f>
        <v>0</v>
      </c>
      <c r="L755" s="61" t="str">
        <f aca="false">IF(LEN(A755&amp;"")=0,"",J755-I755)</f>
        <v/>
      </c>
      <c r="M755" s="1" t="n">
        <f aca="false">IF(LEN(A755&amp;"")=0,0,IF(COUNTIFS(Base!$A$7:$A$1006,A755)&gt;1,1,0))</f>
        <v>0</v>
      </c>
      <c r="N755" s="1" t="n">
        <f aca="false">IF(LEN(A755&amp;"")=0,0,IF(ABS(L755)&gt;0.005,1,0))</f>
        <v>0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customFormat="false" ht="23" hidden="false" customHeight="true" outlineLevel="0" collapsed="false">
      <c r="A756" s="1" t="str">
        <f aca="false">IF(LEN(Base!A756&amp;"")=0,"",Base!A756)</f>
        <v/>
      </c>
      <c r="B756" s="60" t="str">
        <f aca="false">IF(LEN(A756&amp;"")=0,"",Base!D756)</f>
        <v/>
      </c>
      <c r="C756" s="1" t="str">
        <f aca="false">IF(LEN(A756&amp;"")=0,"",Base!C756)</f>
        <v/>
      </c>
      <c r="D756" s="1" t="str">
        <f aca="false">IF(LEN(A756&amp;"")=0,"",Base!G756)</f>
        <v/>
      </c>
      <c r="E756" s="1" t="str">
        <f aca="false">IF(LEN(A756&amp;"")=0,"",Base!E756)</f>
        <v/>
      </c>
      <c r="F756" s="61" t="str">
        <f aca="false">IF(LEN(A756&amp;"")=0,"",IF(Base!I756="-",0,Base!I756))</f>
        <v/>
      </c>
      <c r="G756" s="61" t="str">
        <f aca="false">IF(LEN(A756&amp;"")=0,"",SUM(Base!F756,F756,Base!K756))</f>
        <v/>
      </c>
      <c r="H756" s="61" t="str">
        <f aca="false">IF(LEN(A756&amp;"")=0,"",Base!L756)</f>
        <v/>
      </c>
      <c r="I756" s="61" t="str">
        <f aca="false">IF(LEN(A756&amp;"")=0,"",G756-H756)</f>
        <v/>
      </c>
      <c r="J756" s="61" t="str">
        <f aca="false">IF(LEN(A756&amp;"")=0,"",Base!M756)</f>
        <v/>
      </c>
      <c r="K756" s="1" t="n">
        <f aca="false">IF(OR(LEN(A756&amp;"")=0,$P$3=0),0,IF(AND(B756&gt;=Painel!$B$8,B756&lt;=Painel!$G$8,OR(Painel!$L$8="Todos",C756=Painel!$L$8),OR(Painel!$Q$8="Todos",D756=Painel!$Q$8),OR(Painel!$V$8="Todas",E756=Painel!$V$8)),1,0))</f>
        <v>0</v>
      </c>
      <c r="L756" s="61" t="str">
        <f aca="false">IF(LEN(A756&amp;"")=0,"",J756-I756)</f>
        <v/>
      </c>
      <c r="M756" s="1" t="n">
        <f aca="false">IF(LEN(A756&amp;"")=0,0,IF(COUNTIFS(Base!$A$7:$A$1006,A756)&gt;1,1,0))</f>
        <v>0</v>
      </c>
      <c r="N756" s="1" t="n">
        <f aca="false">IF(LEN(A756&amp;"")=0,0,IF(ABS(L756)&gt;0.005,1,0))</f>
        <v>0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customFormat="false" ht="23" hidden="false" customHeight="true" outlineLevel="0" collapsed="false">
      <c r="A757" s="1" t="str">
        <f aca="false">IF(LEN(Base!A757&amp;"")=0,"",Base!A757)</f>
        <v/>
      </c>
      <c r="B757" s="60" t="str">
        <f aca="false">IF(LEN(A757&amp;"")=0,"",Base!D757)</f>
        <v/>
      </c>
      <c r="C757" s="1" t="str">
        <f aca="false">IF(LEN(A757&amp;"")=0,"",Base!C757)</f>
        <v/>
      </c>
      <c r="D757" s="1" t="str">
        <f aca="false">IF(LEN(A757&amp;"")=0,"",Base!G757)</f>
        <v/>
      </c>
      <c r="E757" s="1" t="str">
        <f aca="false">IF(LEN(A757&amp;"")=0,"",Base!E757)</f>
        <v/>
      </c>
      <c r="F757" s="61" t="str">
        <f aca="false">IF(LEN(A757&amp;"")=0,"",IF(Base!I757="-",0,Base!I757))</f>
        <v/>
      </c>
      <c r="G757" s="61" t="str">
        <f aca="false">IF(LEN(A757&amp;"")=0,"",SUM(Base!F757,F757,Base!K757))</f>
        <v/>
      </c>
      <c r="H757" s="61" t="str">
        <f aca="false">IF(LEN(A757&amp;"")=0,"",Base!L757)</f>
        <v/>
      </c>
      <c r="I757" s="61" t="str">
        <f aca="false">IF(LEN(A757&amp;"")=0,"",G757-H757)</f>
        <v/>
      </c>
      <c r="J757" s="61" t="str">
        <f aca="false">IF(LEN(A757&amp;"")=0,"",Base!M757)</f>
        <v/>
      </c>
      <c r="K757" s="1" t="n">
        <f aca="false">IF(OR(LEN(A757&amp;"")=0,$P$3=0),0,IF(AND(B757&gt;=Painel!$B$8,B757&lt;=Painel!$G$8,OR(Painel!$L$8="Todos",C757=Painel!$L$8),OR(Painel!$Q$8="Todos",D757=Painel!$Q$8),OR(Painel!$V$8="Todas",E757=Painel!$V$8)),1,0))</f>
        <v>0</v>
      </c>
      <c r="L757" s="61" t="str">
        <f aca="false">IF(LEN(A757&amp;"")=0,"",J757-I757)</f>
        <v/>
      </c>
      <c r="M757" s="1" t="n">
        <f aca="false">IF(LEN(A757&amp;"")=0,0,IF(COUNTIFS(Base!$A$7:$A$1006,A757)&gt;1,1,0))</f>
        <v>0</v>
      </c>
      <c r="N757" s="1" t="n">
        <f aca="false">IF(LEN(A757&amp;"")=0,0,IF(ABS(L757)&gt;0.005,1,0))</f>
        <v>0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customFormat="false" ht="23" hidden="false" customHeight="true" outlineLevel="0" collapsed="false">
      <c r="A758" s="1" t="str">
        <f aca="false">IF(LEN(Base!A758&amp;"")=0,"",Base!A758)</f>
        <v/>
      </c>
      <c r="B758" s="60" t="str">
        <f aca="false">IF(LEN(A758&amp;"")=0,"",Base!D758)</f>
        <v/>
      </c>
      <c r="C758" s="1" t="str">
        <f aca="false">IF(LEN(A758&amp;"")=0,"",Base!C758)</f>
        <v/>
      </c>
      <c r="D758" s="1" t="str">
        <f aca="false">IF(LEN(A758&amp;"")=0,"",Base!G758)</f>
        <v/>
      </c>
      <c r="E758" s="1" t="str">
        <f aca="false">IF(LEN(A758&amp;"")=0,"",Base!E758)</f>
        <v/>
      </c>
      <c r="F758" s="61" t="str">
        <f aca="false">IF(LEN(A758&amp;"")=0,"",IF(Base!I758="-",0,Base!I758))</f>
        <v/>
      </c>
      <c r="G758" s="61" t="str">
        <f aca="false">IF(LEN(A758&amp;"")=0,"",SUM(Base!F758,F758,Base!K758))</f>
        <v/>
      </c>
      <c r="H758" s="61" t="str">
        <f aca="false">IF(LEN(A758&amp;"")=0,"",Base!L758)</f>
        <v/>
      </c>
      <c r="I758" s="61" t="str">
        <f aca="false">IF(LEN(A758&amp;"")=0,"",G758-H758)</f>
        <v/>
      </c>
      <c r="J758" s="61" t="str">
        <f aca="false">IF(LEN(A758&amp;"")=0,"",Base!M758)</f>
        <v/>
      </c>
      <c r="K758" s="1" t="n">
        <f aca="false">IF(OR(LEN(A758&amp;"")=0,$P$3=0),0,IF(AND(B758&gt;=Painel!$B$8,B758&lt;=Painel!$G$8,OR(Painel!$L$8="Todos",C758=Painel!$L$8),OR(Painel!$Q$8="Todos",D758=Painel!$Q$8),OR(Painel!$V$8="Todas",E758=Painel!$V$8)),1,0))</f>
        <v>0</v>
      </c>
      <c r="L758" s="61" t="str">
        <f aca="false">IF(LEN(A758&amp;"")=0,"",J758-I758)</f>
        <v/>
      </c>
      <c r="M758" s="1" t="n">
        <f aca="false">IF(LEN(A758&amp;"")=0,0,IF(COUNTIFS(Base!$A$7:$A$1006,A758)&gt;1,1,0))</f>
        <v>0</v>
      </c>
      <c r="N758" s="1" t="n">
        <f aca="false">IF(LEN(A758&amp;"")=0,0,IF(ABS(L758)&gt;0.005,1,0))</f>
        <v>0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customFormat="false" ht="23" hidden="false" customHeight="true" outlineLevel="0" collapsed="false">
      <c r="A759" s="1" t="str">
        <f aca="false">IF(LEN(Base!A759&amp;"")=0,"",Base!A759)</f>
        <v/>
      </c>
      <c r="B759" s="60" t="str">
        <f aca="false">IF(LEN(A759&amp;"")=0,"",Base!D759)</f>
        <v/>
      </c>
      <c r="C759" s="1" t="str">
        <f aca="false">IF(LEN(A759&amp;"")=0,"",Base!C759)</f>
        <v/>
      </c>
      <c r="D759" s="1" t="str">
        <f aca="false">IF(LEN(A759&amp;"")=0,"",Base!G759)</f>
        <v/>
      </c>
      <c r="E759" s="1" t="str">
        <f aca="false">IF(LEN(A759&amp;"")=0,"",Base!E759)</f>
        <v/>
      </c>
      <c r="F759" s="61" t="str">
        <f aca="false">IF(LEN(A759&amp;"")=0,"",IF(Base!I759="-",0,Base!I759))</f>
        <v/>
      </c>
      <c r="G759" s="61" t="str">
        <f aca="false">IF(LEN(A759&amp;"")=0,"",SUM(Base!F759,F759,Base!K759))</f>
        <v/>
      </c>
      <c r="H759" s="61" t="str">
        <f aca="false">IF(LEN(A759&amp;"")=0,"",Base!L759)</f>
        <v/>
      </c>
      <c r="I759" s="61" t="str">
        <f aca="false">IF(LEN(A759&amp;"")=0,"",G759-H759)</f>
        <v/>
      </c>
      <c r="J759" s="61" t="str">
        <f aca="false">IF(LEN(A759&amp;"")=0,"",Base!M759)</f>
        <v/>
      </c>
      <c r="K759" s="1" t="n">
        <f aca="false">IF(OR(LEN(A759&amp;"")=0,$P$3=0),0,IF(AND(B759&gt;=Painel!$B$8,B759&lt;=Painel!$G$8,OR(Painel!$L$8="Todos",C759=Painel!$L$8),OR(Painel!$Q$8="Todos",D759=Painel!$Q$8),OR(Painel!$V$8="Todas",E759=Painel!$V$8)),1,0))</f>
        <v>0</v>
      </c>
      <c r="L759" s="61" t="str">
        <f aca="false">IF(LEN(A759&amp;"")=0,"",J759-I759)</f>
        <v/>
      </c>
      <c r="M759" s="1" t="n">
        <f aca="false">IF(LEN(A759&amp;"")=0,0,IF(COUNTIFS(Base!$A$7:$A$1006,A759)&gt;1,1,0))</f>
        <v>0</v>
      </c>
      <c r="N759" s="1" t="n">
        <f aca="false">IF(LEN(A759&amp;"")=0,0,IF(ABS(L759)&gt;0.005,1,0))</f>
        <v>0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customFormat="false" ht="23" hidden="false" customHeight="true" outlineLevel="0" collapsed="false">
      <c r="A760" s="1" t="str">
        <f aca="false">IF(LEN(Base!A760&amp;"")=0,"",Base!A760)</f>
        <v/>
      </c>
      <c r="B760" s="60" t="str">
        <f aca="false">IF(LEN(A760&amp;"")=0,"",Base!D760)</f>
        <v/>
      </c>
      <c r="C760" s="1" t="str">
        <f aca="false">IF(LEN(A760&amp;"")=0,"",Base!C760)</f>
        <v/>
      </c>
      <c r="D760" s="1" t="str">
        <f aca="false">IF(LEN(A760&amp;"")=0,"",Base!G760)</f>
        <v/>
      </c>
      <c r="E760" s="1" t="str">
        <f aca="false">IF(LEN(A760&amp;"")=0,"",Base!E760)</f>
        <v/>
      </c>
      <c r="F760" s="61" t="str">
        <f aca="false">IF(LEN(A760&amp;"")=0,"",IF(Base!I760="-",0,Base!I760))</f>
        <v/>
      </c>
      <c r="G760" s="61" t="str">
        <f aca="false">IF(LEN(A760&amp;"")=0,"",SUM(Base!F760,F760,Base!K760))</f>
        <v/>
      </c>
      <c r="H760" s="61" t="str">
        <f aca="false">IF(LEN(A760&amp;"")=0,"",Base!L760)</f>
        <v/>
      </c>
      <c r="I760" s="61" t="str">
        <f aca="false">IF(LEN(A760&amp;"")=0,"",G760-H760)</f>
        <v/>
      </c>
      <c r="J760" s="61" t="str">
        <f aca="false">IF(LEN(A760&amp;"")=0,"",Base!M760)</f>
        <v/>
      </c>
      <c r="K760" s="1" t="n">
        <f aca="false">IF(OR(LEN(A760&amp;"")=0,$P$3=0),0,IF(AND(B760&gt;=Painel!$B$8,B760&lt;=Painel!$G$8,OR(Painel!$L$8="Todos",C760=Painel!$L$8),OR(Painel!$Q$8="Todos",D760=Painel!$Q$8),OR(Painel!$V$8="Todas",E760=Painel!$V$8)),1,0))</f>
        <v>0</v>
      </c>
      <c r="L760" s="61" t="str">
        <f aca="false">IF(LEN(A760&amp;"")=0,"",J760-I760)</f>
        <v/>
      </c>
      <c r="M760" s="1" t="n">
        <f aca="false">IF(LEN(A760&amp;"")=0,0,IF(COUNTIFS(Base!$A$7:$A$1006,A760)&gt;1,1,0))</f>
        <v>0</v>
      </c>
      <c r="N760" s="1" t="n">
        <f aca="false">IF(LEN(A760&amp;"")=0,0,IF(ABS(L760)&gt;0.005,1,0))</f>
        <v>0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customFormat="false" ht="23" hidden="false" customHeight="true" outlineLevel="0" collapsed="false">
      <c r="A761" s="1" t="str">
        <f aca="false">IF(LEN(Base!A761&amp;"")=0,"",Base!A761)</f>
        <v/>
      </c>
      <c r="B761" s="60" t="str">
        <f aca="false">IF(LEN(A761&amp;"")=0,"",Base!D761)</f>
        <v/>
      </c>
      <c r="C761" s="1" t="str">
        <f aca="false">IF(LEN(A761&amp;"")=0,"",Base!C761)</f>
        <v/>
      </c>
      <c r="D761" s="1" t="str">
        <f aca="false">IF(LEN(A761&amp;"")=0,"",Base!G761)</f>
        <v/>
      </c>
      <c r="E761" s="1" t="str">
        <f aca="false">IF(LEN(A761&amp;"")=0,"",Base!E761)</f>
        <v/>
      </c>
      <c r="F761" s="61" t="str">
        <f aca="false">IF(LEN(A761&amp;"")=0,"",IF(Base!I761="-",0,Base!I761))</f>
        <v/>
      </c>
      <c r="G761" s="61" t="str">
        <f aca="false">IF(LEN(A761&amp;"")=0,"",SUM(Base!F761,F761,Base!K761))</f>
        <v/>
      </c>
      <c r="H761" s="61" t="str">
        <f aca="false">IF(LEN(A761&amp;"")=0,"",Base!L761)</f>
        <v/>
      </c>
      <c r="I761" s="61" t="str">
        <f aca="false">IF(LEN(A761&amp;"")=0,"",G761-H761)</f>
        <v/>
      </c>
      <c r="J761" s="61" t="str">
        <f aca="false">IF(LEN(A761&amp;"")=0,"",Base!M761)</f>
        <v/>
      </c>
      <c r="K761" s="1" t="n">
        <f aca="false">IF(OR(LEN(A761&amp;"")=0,$P$3=0),0,IF(AND(B761&gt;=Painel!$B$8,B761&lt;=Painel!$G$8,OR(Painel!$L$8="Todos",C761=Painel!$L$8),OR(Painel!$Q$8="Todos",D761=Painel!$Q$8),OR(Painel!$V$8="Todas",E761=Painel!$V$8)),1,0))</f>
        <v>0</v>
      </c>
      <c r="L761" s="61" t="str">
        <f aca="false">IF(LEN(A761&amp;"")=0,"",J761-I761)</f>
        <v/>
      </c>
      <c r="M761" s="1" t="n">
        <f aca="false">IF(LEN(A761&amp;"")=0,0,IF(COUNTIFS(Base!$A$7:$A$1006,A761)&gt;1,1,0))</f>
        <v>0</v>
      </c>
      <c r="N761" s="1" t="n">
        <f aca="false">IF(LEN(A761&amp;"")=0,0,IF(ABS(L761)&gt;0.005,1,0))</f>
        <v>0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customFormat="false" ht="23" hidden="false" customHeight="true" outlineLevel="0" collapsed="false">
      <c r="A762" s="1" t="str">
        <f aca="false">IF(LEN(Base!A762&amp;"")=0,"",Base!A762)</f>
        <v/>
      </c>
      <c r="B762" s="60" t="str">
        <f aca="false">IF(LEN(A762&amp;"")=0,"",Base!D762)</f>
        <v/>
      </c>
      <c r="C762" s="1" t="str">
        <f aca="false">IF(LEN(A762&amp;"")=0,"",Base!C762)</f>
        <v/>
      </c>
      <c r="D762" s="1" t="str">
        <f aca="false">IF(LEN(A762&amp;"")=0,"",Base!G762)</f>
        <v/>
      </c>
      <c r="E762" s="1" t="str">
        <f aca="false">IF(LEN(A762&amp;"")=0,"",Base!E762)</f>
        <v/>
      </c>
      <c r="F762" s="61" t="str">
        <f aca="false">IF(LEN(A762&amp;"")=0,"",IF(Base!I762="-",0,Base!I762))</f>
        <v/>
      </c>
      <c r="G762" s="61" t="str">
        <f aca="false">IF(LEN(A762&amp;"")=0,"",SUM(Base!F762,F762,Base!K762))</f>
        <v/>
      </c>
      <c r="H762" s="61" t="str">
        <f aca="false">IF(LEN(A762&amp;"")=0,"",Base!L762)</f>
        <v/>
      </c>
      <c r="I762" s="61" t="str">
        <f aca="false">IF(LEN(A762&amp;"")=0,"",G762-H762)</f>
        <v/>
      </c>
      <c r="J762" s="61" t="str">
        <f aca="false">IF(LEN(A762&amp;"")=0,"",Base!M762)</f>
        <v/>
      </c>
      <c r="K762" s="1" t="n">
        <f aca="false">IF(OR(LEN(A762&amp;"")=0,$P$3=0),0,IF(AND(B762&gt;=Painel!$B$8,B762&lt;=Painel!$G$8,OR(Painel!$L$8="Todos",C762=Painel!$L$8),OR(Painel!$Q$8="Todos",D762=Painel!$Q$8),OR(Painel!$V$8="Todas",E762=Painel!$V$8)),1,0))</f>
        <v>0</v>
      </c>
      <c r="L762" s="61" t="str">
        <f aca="false">IF(LEN(A762&amp;"")=0,"",J762-I762)</f>
        <v/>
      </c>
      <c r="M762" s="1" t="n">
        <f aca="false">IF(LEN(A762&amp;"")=0,0,IF(COUNTIFS(Base!$A$7:$A$1006,A762)&gt;1,1,0))</f>
        <v>0</v>
      </c>
      <c r="N762" s="1" t="n">
        <f aca="false">IF(LEN(A762&amp;"")=0,0,IF(ABS(L762)&gt;0.005,1,0))</f>
        <v>0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customFormat="false" ht="23" hidden="false" customHeight="true" outlineLevel="0" collapsed="false">
      <c r="A763" s="1" t="str">
        <f aca="false">IF(LEN(Base!A763&amp;"")=0,"",Base!A763)</f>
        <v/>
      </c>
      <c r="B763" s="60" t="str">
        <f aca="false">IF(LEN(A763&amp;"")=0,"",Base!D763)</f>
        <v/>
      </c>
      <c r="C763" s="1" t="str">
        <f aca="false">IF(LEN(A763&amp;"")=0,"",Base!C763)</f>
        <v/>
      </c>
      <c r="D763" s="1" t="str">
        <f aca="false">IF(LEN(A763&amp;"")=0,"",Base!G763)</f>
        <v/>
      </c>
      <c r="E763" s="1" t="str">
        <f aca="false">IF(LEN(A763&amp;"")=0,"",Base!E763)</f>
        <v/>
      </c>
      <c r="F763" s="61" t="str">
        <f aca="false">IF(LEN(A763&amp;"")=0,"",IF(Base!I763="-",0,Base!I763))</f>
        <v/>
      </c>
      <c r="G763" s="61" t="str">
        <f aca="false">IF(LEN(A763&amp;"")=0,"",SUM(Base!F763,F763,Base!K763))</f>
        <v/>
      </c>
      <c r="H763" s="61" t="str">
        <f aca="false">IF(LEN(A763&amp;"")=0,"",Base!L763)</f>
        <v/>
      </c>
      <c r="I763" s="61" t="str">
        <f aca="false">IF(LEN(A763&amp;"")=0,"",G763-H763)</f>
        <v/>
      </c>
      <c r="J763" s="61" t="str">
        <f aca="false">IF(LEN(A763&amp;"")=0,"",Base!M763)</f>
        <v/>
      </c>
      <c r="K763" s="1" t="n">
        <f aca="false">IF(OR(LEN(A763&amp;"")=0,$P$3=0),0,IF(AND(B763&gt;=Painel!$B$8,B763&lt;=Painel!$G$8,OR(Painel!$L$8="Todos",C763=Painel!$L$8),OR(Painel!$Q$8="Todos",D763=Painel!$Q$8),OR(Painel!$V$8="Todas",E763=Painel!$V$8)),1,0))</f>
        <v>0</v>
      </c>
      <c r="L763" s="61" t="str">
        <f aca="false">IF(LEN(A763&amp;"")=0,"",J763-I763)</f>
        <v/>
      </c>
      <c r="M763" s="1" t="n">
        <f aca="false">IF(LEN(A763&amp;"")=0,0,IF(COUNTIFS(Base!$A$7:$A$1006,A763)&gt;1,1,0))</f>
        <v>0</v>
      </c>
      <c r="N763" s="1" t="n">
        <f aca="false">IF(LEN(A763&amp;"")=0,0,IF(ABS(L763)&gt;0.005,1,0))</f>
        <v>0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customFormat="false" ht="23" hidden="false" customHeight="true" outlineLevel="0" collapsed="false">
      <c r="A764" s="1" t="str">
        <f aca="false">IF(LEN(Base!A764&amp;"")=0,"",Base!A764)</f>
        <v/>
      </c>
      <c r="B764" s="60" t="str">
        <f aca="false">IF(LEN(A764&amp;"")=0,"",Base!D764)</f>
        <v/>
      </c>
      <c r="C764" s="1" t="str">
        <f aca="false">IF(LEN(A764&amp;"")=0,"",Base!C764)</f>
        <v/>
      </c>
      <c r="D764" s="1" t="str">
        <f aca="false">IF(LEN(A764&amp;"")=0,"",Base!G764)</f>
        <v/>
      </c>
      <c r="E764" s="1" t="str">
        <f aca="false">IF(LEN(A764&amp;"")=0,"",Base!E764)</f>
        <v/>
      </c>
      <c r="F764" s="61" t="str">
        <f aca="false">IF(LEN(A764&amp;"")=0,"",IF(Base!I764="-",0,Base!I764))</f>
        <v/>
      </c>
      <c r="G764" s="61" t="str">
        <f aca="false">IF(LEN(A764&amp;"")=0,"",SUM(Base!F764,F764,Base!K764))</f>
        <v/>
      </c>
      <c r="H764" s="61" t="str">
        <f aca="false">IF(LEN(A764&amp;"")=0,"",Base!L764)</f>
        <v/>
      </c>
      <c r="I764" s="61" t="str">
        <f aca="false">IF(LEN(A764&amp;"")=0,"",G764-H764)</f>
        <v/>
      </c>
      <c r="J764" s="61" t="str">
        <f aca="false">IF(LEN(A764&amp;"")=0,"",Base!M764)</f>
        <v/>
      </c>
      <c r="K764" s="1" t="n">
        <f aca="false">IF(OR(LEN(A764&amp;"")=0,$P$3=0),0,IF(AND(B764&gt;=Painel!$B$8,B764&lt;=Painel!$G$8,OR(Painel!$L$8="Todos",C764=Painel!$L$8),OR(Painel!$Q$8="Todos",D764=Painel!$Q$8),OR(Painel!$V$8="Todas",E764=Painel!$V$8)),1,0))</f>
        <v>0</v>
      </c>
      <c r="L764" s="61" t="str">
        <f aca="false">IF(LEN(A764&amp;"")=0,"",J764-I764)</f>
        <v/>
      </c>
      <c r="M764" s="1" t="n">
        <f aca="false">IF(LEN(A764&amp;"")=0,0,IF(COUNTIFS(Base!$A$7:$A$1006,A764)&gt;1,1,0))</f>
        <v>0</v>
      </c>
      <c r="N764" s="1" t="n">
        <f aca="false">IF(LEN(A764&amp;"")=0,0,IF(ABS(L764)&gt;0.005,1,0))</f>
        <v>0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customFormat="false" ht="23" hidden="false" customHeight="true" outlineLevel="0" collapsed="false">
      <c r="A765" s="1" t="str">
        <f aca="false">IF(LEN(Base!A765&amp;"")=0,"",Base!A765)</f>
        <v/>
      </c>
      <c r="B765" s="60" t="str">
        <f aca="false">IF(LEN(A765&amp;"")=0,"",Base!D765)</f>
        <v/>
      </c>
      <c r="C765" s="1" t="str">
        <f aca="false">IF(LEN(A765&amp;"")=0,"",Base!C765)</f>
        <v/>
      </c>
      <c r="D765" s="1" t="str">
        <f aca="false">IF(LEN(A765&amp;"")=0,"",Base!G765)</f>
        <v/>
      </c>
      <c r="E765" s="1" t="str">
        <f aca="false">IF(LEN(A765&amp;"")=0,"",Base!E765)</f>
        <v/>
      </c>
      <c r="F765" s="61" t="str">
        <f aca="false">IF(LEN(A765&amp;"")=0,"",IF(Base!I765="-",0,Base!I765))</f>
        <v/>
      </c>
      <c r="G765" s="61" t="str">
        <f aca="false">IF(LEN(A765&amp;"")=0,"",SUM(Base!F765,F765,Base!K765))</f>
        <v/>
      </c>
      <c r="H765" s="61" t="str">
        <f aca="false">IF(LEN(A765&amp;"")=0,"",Base!L765)</f>
        <v/>
      </c>
      <c r="I765" s="61" t="str">
        <f aca="false">IF(LEN(A765&amp;"")=0,"",G765-H765)</f>
        <v/>
      </c>
      <c r="J765" s="61" t="str">
        <f aca="false">IF(LEN(A765&amp;"")=0,"",Base!M765)</f>
        <v/>
      </c>
      <c r="K765" s="1" t="n">
        <f aca="false">IF(OR(LEN(A765&amp;"")=0,$P$3=0),0,IF(AND(B765&gt;=Painel!$B$8,B765&lt;=Painel!$G$8,OR(Painel!$L$8="Todos",C765=Painel!$L$8),OR(Painel!$Q$8="Todos",D765=Painel!$Q$8),OR(Painel!$V$8="Todas",E765=Painel!$V$8)),1,0))</f>
        <v>0</v>
      </c>
      <c r="L765" s="61" t="str">
        <f aca="false">IF(LEN(A765&amp;"")=0,"",J765-I765)</f>
        <v/>
      </c>
      <c r="M765" s="1" t="n">
        <f aca="false">IF(LEN(A765&amp;"")=0,0,IF(COUNTIFS(Base!$A$7:$A$1006,A765)&gt;1,1,0))</f>
        <v>0</v>
      </c>
      <c r="N765" s="1" t="n">
        <f aca="false">IF(LEN(A765&amp;"")=0,0,IF(ABS(L765)&gt;0.005,1,0))</f>
        <v>0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customFormat="false" ht="23" hidden="false" customHeight="true" outlineLevel="0" collapsed="false">
      <c r="A766" s="1" t="str">
        <f aca="false">IF(LEN(Base!A766&amp;"")=0,"",Base!A766)</f>
        <v/>
      </c>
      <c r="B766" s="60" t="str">
        <f aca="false">IF(LEN(A766&amp;"")=0,"",Base!D766)</f>
        <v/>
      </c>
      <c r="C766" s="1" t="str">
        <f aca="false">IF(LEN(A766&amp;"")=0,"",Base!C766)</f>
        <v/>
      </c>
      <c r="D766" s="1" t="str">
        <f aca="false">IF(LEN(A766&amp;"")=0,"",Base!G766)</f>
        <v/>
      </c>
      <c r="E766" s="1" t="str">
        <f aca="false">IF(LEN(A766&amp;"")=0,"",Base!E766)</f>
        <v/>
      </c>
      <c r="F766" s="61" t="str">
        <f aca="false">IF(LEN(A766&amp;"")=0,"",IF(Base!I766="-",0,Base!I766))</f>
        <v/>
      </c>
      <c r="G766" s="61" t="str">
        <f aca="false">IF(LEN(A766&amp;"")=0,"",SUM(Base!F766,F766,Base!K766))</f>
        <v/>
      </c>
      <c r="H766" s="61" t="str">
        <f aca="false">IF(LEN(A766&amp;"")=0,"",Base!L766)</f>
        <v/>
      </c>
      <c r="I766" s="61" t="str">
        <f aca="false">IF(LEN(A766&amp;"")=0,"",G766-H766)</f>
        <v/>
      </c>
      <c r="J766" s="61" t="str">
        <f aca="false">IF(LEN(A766&amp;"")=0,"",Base!M766)</f>
        <v/>
      </c>
      <c r="K766" s="1" t="n">
        <f aca="false">IF(OR(LEN(A766&amp;"")=0,$P$3=0),0,IF(AND(B766&gt;=Painel!$B$8,B766&lt;=Painel!$G$8,OR(Painel!$L$8="Todos",C766=Painel!$L$8),OR(Painel!$Q$8="Todos",D766=Painel!$Q$8),OR(Painel!$V$8="Todas",E766=Painel!$V$8)),1,0))</f>
        <v>0</v>
      </c>
      <c r="L766" s="61" t="str">
        <f aca="false">IF(LEN(A766&amp;"")=0,"",J766-I766)</f>
        <v/>
      </c>
      <c r="M766" s="1" t="n">
        <f aca="false">IF(LEN(A766&amp;"")=0,0,IF(COUNTIFS(Base!$A$7:$A$1006,A766)&gt;1,1,0))</f>
        <v>0</v>
      </c>
      <c r="N766" s="1" t="n">
        <f aca="false">IF(LEN(A766&amp;"")=0,0,IF(ABS(L766)&gt;0.005,1,0))</f>
        <v>0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customFormat="false" ht="23" hidden="false" customHeight="true" outlineLevel="0" collapsed="false">
      <c r="A767" s="1" t="str">
        <f aca="false">IF(LEN(Base!A767&amp;"")=0,"",Base!A767)</f>
        <v/>
      </c>
      <c r="B767" s="60" t="str">
        <f aca="false">IF(LEN(A767&amp;"")=0,"",Base!D767)</f>
        <v/>
      </c>
      <c r="C767" s="1" t="str">
        <f aca="false">IF(LEN(A767&amp;"")=0,"",Base!C767)</f>
        <v/>
      </c>
      <c r="D767" s="1" t="str">
        <f aca="false">IF(LEN(A767&amp;"")=0,"",Base!G767)</f>
        <v/>
      </c>
      <c r="E767" s="1" t="str">
        <f aca="false">IF(LEN(A767&amp;"")=0,"",Base!E767)</f>
        <v/>
      </c>
      <c r="F767" s="61" t="str">
        <f aca="false">IF(LEN(A767&amp;"")=0,"",IF(Base!I767="-",0,Base!I767))</f>
        <v/>
      </c>
      <c r="G767" s="61" t="str">
        <f aca="false">IF(LEN(A767&amp;"")=0,"",SUM(Base!F767,F767,Base!K767))</f>
        <v/>
      </c>
      <c r="H767" s="61" t="str">
        <f aca="false">IF(LEN(A767&amp;"")=0,"",Base!L767)</f>
        <v/>
      </c>
      <c r="I767" s="61" t="str">
        <f aca="false">IF(LEN(A767&amp;"")=0,"",G767-H767)</f>
        <v/>
      </c>
      <c r="J767" s="61" t="str">
        <f aca="false">IF(LEN(A767&amp;"")=0,"",Base!M767)</f>
        <v/>
      </c>
      <c r="K767" s="1" t="n">
        <f aca="false">IF(OR(LEN(A767&amp;"")=0,$P$3=0),0,IF(AND(B767&gt;=Painel!$B$8,B767&lt;=Painel!$G$8,OR(Painel!$L$8="Todos",C767=Painel!$L$8),OR(Painel!$Q$8="Todos",D767=Painel!$Q$8),OR(Painel!$V$8="Todas",E767=Painel!$V$8)),1,0))</f>
        <v>0</v>
      </c>
      <c r="L767" s="61" t="str">
        <f aca="false">IF(LEN(A767&amp;"")=0,"",J767-I767)</f>
        <v/>
      </c>
      <c r="M767" s="1" t="n">
        <f aca="false">IF(LEN(A767&amp;"")=0,0,IF(COUNTIFS(Base!$A$7:$A$1006,A767)&gt;1,1,0))</f>
        <v>0</v>
      </c>
      <c r="N767" s="1" t="n">
        <f aca="false">IF(LEN(A767&amp;"")=0,0,IF(ABS(L767)&gt;0.005,1,0))</f>
        <v>0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customFormat="false" ht="23" hidden="false" customHeight="true" outlineLevel="0" collapsed="false">
      <c r="A768" s="1" t="str">
        <f aca="false">IF(LEN(Base!A768&amp;"")=0,"",Base!A768)</f>
        <v/>
      </c>
      <c r="B768" s="60" t="str">
        <f aca="false">IF(LEN(A768&amp;"")=0,"",Base!D768)</f>
        <v/>
      </c>
      <c r="C768" s="1" t="str">
        <f aca="false">IF(LEN(A768&amp;"")=0,"",Base!C768)</f>
        <v/>
      </c>
      <c r="D768" s="1" t="str">
        <f aca="false">IF(LEN(A768&amp;"")=0,"",Base!G768)</f>
        <v/>
      </c>
      <c r="E768" s="1" t="str">
        <f aca="false">IF(LEN(A768&amp;"")=0,"",Base!E768)</f>
        <v/>
      </c>
      <c r="F768" s="61" t="str">
        <f aca="false">IF(LEN(A768&amp;"")=0,"",IF(Base!I768="-",0,Base!I768))</f>
        <v/>
      </c>
      <c r="G768" s="61" t="str">
        <f aca="false">IF(LEN(A768&amp;"")=0,"",SUM(Base!F768,F768,Base!K768))</f>
        <v/>
      </c>
      <c r="H768" s="61" t="str">
        <f aca="false">IF(LEN(A768&amp;"")=0,"",Base!L768)</f>
        <v/>
      </c>
      <c r="I768" s="61" t="str">
        <f aca="false">IF(LEN(A768&amp;"")=0,"",G768-H768)</f>
        <v/>
      </c>
      <c r="J768" s="61" t="str">
        <f aca="false">IF(LEN(A768&amp;"")=0,"",Base!M768)</f>
        <v/>
      </c>
      <c r="K768" s="1" t="n">
        <f aca="false">IF(OR(LEN(A768&amp;"")=0,$P$3=0),0,IF(AND(B768&gt;=Painel!$B$8,B768&lt;=Painel!$G$8,OR(Painel!$L$8="Todos",C768=Painel!$L$8),OR(Painel!$Q$8="Todos",D768=Painel!$Q$8),OR(Painel!$V$8="Todas",E768=Painel!$V$8)),1,0))</f>
        <v>0</v>
      </c>
      <c r="L768" s="61" t="str">
        <f aca="false">IF(LEN(A768&amp;"")=0,"",J768-I768)</f>
        <v/>
      </c>
      <c r="M768" s="1" t="n">
        <f aca="false">IF(LEN(A768&amp;"")=0,0,IF(COUNTIFS(Base!$A$7:$A$1006,A768)&gt;1,1,0))</f>
        <v>0</v>
      </c>
      <c r="N768" s="1" t="n">
        <f aca="false">IF(LEN(A768&amp;"")=0,0,IF(ABS(L768)&gt;0.005,1,0))</f>
        <v>0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customFormat="false" ht="23" hidden="false" customHeight="true" outlineLevel="0" collapsed="false">
      <c r="A769" s="1" t="str">
        <f aca="false">IF(LEN(Base!A769&amp;"")=0,"",Base!A769)</f>
        <v/>
      </c>
      <c r="B769" s="60" t="str">
        <f aca="false">IF(LEN(A769&amp;"")=0,"",Base!D769)</f>
        <v/>
      </c>
      <c r="C769" s="1" t="str">
        <f aca="false">IF(LEN(A769&amp;"")=0,"",Base!C769)</f>
        <v/>
      </c>
      <c r="D769" s="1" t="str">
        <f aca="false">IF(LEN(A769&amp;"")=0,"",Base!G769)</f>
        <v/>
      </c>
      <c r="E769" s="1" t="str">
        <f aca="false">IF(LEN(A769&amp;"")=0,"",Base!E769)</f>
        <v/>
      </c>
      <c r="F769" s="61" t="str">
        <f aca="false">IF(LEN(A769&amp;"")=0,"",IF(Base!I769="-",0,Base!I769))</f>
        <v/>
      </c>
      <c r="G769" s="61" t="str">
        <f aca="false">IF(LEN(A769&amp;"")=0,"",SUM(Base!F769,F769,Base!K769))</f>
        <v/>
      </c>
      <c r="H769" s="61" t="str">
        <f aca="false">IF(LEN(A769&amp;"")=0,"",Base!L769)</f>
        <v/>
      </c>
      <c r="I769" s="61" t="str">
        <f aca="false">IF(LEN(A769&amp;"")=0,"",G769-H769)</f>
        <v/>
      </c>
      <c r="J769" s="61" t="str">
        <f aca="false">IF(LEN(A769&amp;"")=0,"",Base!M769)</f>
        <v/>
      </c>
      <c r="K769" s="1" t="n">
        <f aca="false">IF(OR(LEN(A769&amp;"")=0,$P$3=0),0,IF(AND(B769&gt;=Painel!$B$8,B769&lt;=Painel!$G$8,OR(Painel!$L$8="Todos",C769=Painel!$L$8),OR(Painel!$Q$8="Todos",D769=Painel!$Q$8),OR(Painel!$V$8="Todas",E769=Painel!$V$8)),1,0))</f>
        <v>0</v>
      </c>
      <c r="L769" s="61" t="str">
        <f aca="false">IF(LEN(A769&amp;"")=0,"",J769-I769)</f>
        <v/>
      </c>
      <c r="M769" s="1" t="n">
        <f aca="false">IF(LEN(A769&amp;"")=0,0,IF(COUNTIFS(Base!$A$7:$A$1006,A769)&gt;1,1,0))</f>
        <v>0</v>
      </c>
      <c r="N769" s="1" t="n">
        <f aca="false">IF(LEN(A769&amp;"")=0,0,IF(ABS(L769)&gt;0.005,1,0))</f>
        <v>0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customFormat="false" ht="23" hidden="false" customHeight="true" outlineLevel="0" collapsed="false">
      <c r="A770" s="1" t="str">
        <f aca="false">IF(LEN(Base!A770&amp;"")=0,"",Base!A770)</f>
        <v/>
      </c>
      <c r="B770" s="60" t="str">
        <f aca="false">IF(LEN(A770&amp;"")=0,"",Base!D770)</f>
        <v/>
      </c>
      <c r="C770" s="1" t="str">
        <f aca="false">IF(LEN(A770&amp;"")=0,"",Base!C770)</f>
        <v/>
      </c>
      <c r="D770" s="1" t="str">
        <f aca="false">IF(LEN(A770&amp;"")=0,"",Base!G770)</f>
        <v/>
      </c>
      <c r="E770" s="1" t="str">
        <f aca="false">IF(LEN(A770&amp;"")=0,"",Base!E770)</f>
        <v/>
      </c>
      <c r="F770" s="61" t="str">
        <f aca="false">IF(LEN(A770&amp;"")=0,"",IF(Base!I770="-",0,Base!I770))</f>
        <v/>
      </c>
      <c r="G770" s="61" t="str">
        <f aca="false">IF(LEN(A770&amp;"")=0,"",SUM(Base!F770,F770,Base!K770))</f>
        <v/>
      </c>
      <c r="H770" s="61" t="str">
        <f aca="false">IF(LEN(A770&amp;"")=0,"",Base!L770)</f>
        <v/>
      </c>
      <c r="I770" s="61" t="str">
        <f aca="false">IF(LEN(A770&amp;"")=0,"",G770-H770)</f>
        <v/>
      </c>
      <c r="J770" s="61" t="str">
        <f aca="false">IF(LEN(A770&amp;"")=0,"",Base!M770)</f>
        <v/>
      </c>
      <c r="K770" s="1" t="n">
        <f aca="false">IF(OR(LEN(A770&amp;"")=0,$P$3=0),0,IF(AND(B770&gt;=Painel!$B$8,B770&lt;=Painel!$G$8,OR(Painel!$L$8="Todos",C770=Painel!$L$8),OR(Painel!$Q$8="Todos",D770=Painel!$Q$8),OR(Painel!$V$8="Todas",E770=Painel!$V$8)),1,0))</f>
        <v>0</v>
      </c>
      <c r="L770" s="61" t="str">
        <f aca="false">IF(LEN(A770&amp;"")=0,"",J770-I770)</f>
        <v/>
      </c>
      <c r="M770" s="1" t="n">
        <f aca="false">IF(LEN(A770&amp;"")=0,0,IF(COUNTIFS(Base!$A$7:$A$1006,A770)&gt;1,1,0))</f>
        <v>0</v>
      </c>
      <c r="N770" s="1" t="n">
        <f aca="false">IF(LEN(A770&amp;"")=0,0,IF(ABS(L770)&gt;0.005,1,0))</f>
        <v>0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customFormat="false" ht="23" hidden="false" customHeight="true" outlineLevel="0" collapsed="false">
      <c r="A771" s="1" t="str">
        <f aca="false">IF(LEN(Base!A771&amp;"")=0,"",Base!A771)</f>
        <v/>
      </c>
      <c r="B771" s="60" t="str">
        <f aca="false">IF(LEN(A771&amp;"")=0,"",Base!D771)</f>
        <v/>
      </c>
      <c r="C771" s="1" t="str">
        <f aca="false">IF(LEN(A771&amp;"")=0,"",Base!C771)</f>
        <v/>
      </c>
      <c r="D771" s="1" t="str">
        <f aca="false">IF(LEN(A771&amp;"")=0,"",Base!G771)</f>
        <v/>
      </c>
      <c r="E771" s="1" t="str">
        <f aca="false">IF(LEN(A771&amp;"")=0,"",Base!E771)</f>
        <v/>
      </c>
      <c r="F771" s="61" t="str">
        <f aca="false">IF(LEN(A771&amp;"")=0,"",IF(Base!I771="-",0,Base!I771))</f>
        <v/>
      </c>
      <c r="G771" s="61" t="str">
        <f aca="false">IF(LEN(A771&amp;"")=0,"",SUM(Base!F771,F771,Base!K771))</f>
        <v/>
      </c>
      <c r="H771" s="61" t="str">
        <f aca="false">IF(LEN(A771&amp;"")=0,"",Base!L771)</f>
        <v/>
      </c>
      <c r="I771" s="61" t="str">
        <f aca="false">IF(LEN(A771&amp;"")=0,"",G771-H771)</f>
        <v/>
      </c>
      <c r="J771" s="61" t="str">
        <f aca="false">IF(LEN(A771&amp;"")=0,"",Base!M771)</f>
        <v/>
      </c>
      <c r="K771" s="1" t="n">
        <f aca="false">IF(OR(LEN(A771&amp;"")=0,$P$3=0),0,IF(AND(B771&gt;=Painel!$B$8,B771&lt;=Painel!$G$8,OR(Painel!$L$8="Todos",C771=Painel!$L$8),OR(Painel!$Q$8="Todos",D771=Painel!$Q$8),OR(Painel!$V$8="Todas",E771=Painel!$V$8)),1,0))</f>
        <v>0</v>
      </c>
      <c r="L771" s="61" t="str">
        <f aca="false">IF(LEN(A771&amp;"")=0,"",J771-I771)</f>
        <v/>
      </c>
      <c r="M771" s="1" t="n">
        <f aca="false">IF(LEN(A771&amp;"")=0,0,IF(COUNTIFS(Base!$A$7:$A$1006,A771)&gt;1,1,0))</f>
        <v>0</v>
      </c>
      <c r="N771" s="1" t="n">
        <f aca="false">IF(LEN(A771&amp;"")=0,0,IF(ABS(L771)&gt;0.005,1,0))</f>
        <v>0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customFormat="false" ht="23" hidden="false" customHeight="true" outlineLevel="0" collapsed="false">
      <c r="A772" s="1" t="str">
        <f aca="false">IF(LEN(Base!A772&amp;"")=0,"",Base!A772)</f>
        <v/>
      </c>
      <c r="B772" s="60" t="str">
        <f aca="false">IF(LEN(A772&amp;"")=0,"",Base!D772)</f>
        <v/>
      </c>
      <c r="C772" s="1" t="str">
        <f aca="false">IF(LEN(A772&amp;"")=0,"",Base!C772)</f>
        <v/>
      </c>
      <c r="D772" s="1" t="str">
        <f aca="false">IF(LEN(A772&amp;"")=0,"",Base!G772)</f>
        <v/>
      </c>
      <c r="E772" s="1" t="str">
        <f aca="false">IF(LEN(A772&amp;"")=0,"",Base!E772)</f>
        <v/>
      </c>
      <c r="F772" s="61" t="str">
        <f aca="false">IF(LEN(A772&amp;"")=0,"",IF(Base!I772="-",0,Base!I772))</f>
        <v/>
      </c>
      <c r="G772" s="61" t="str">
        <f aca="false">IF(LEN(A772&amp;"")=0,"",SUM(Base!F772,F772,Base!K772))</f>
        <v/>
      </c>
      <c r="H772" s="61" t="str">
        <f aca="false">IF(LEN(A772&amp;"")=0,"",Base!L772)</f>
        <v/>
      </c>
      <c r="I772" s="61" t="str">
        <f aca="false">IF(LEN(A772&amp;"")=0,"",G772-H772)</f>
        <v/>
      </c>
      <c r="J772" s="61" t="str">
        <f aca="false">IF(LEN(A772&amp;"")=0,"",Base!M772)</f>
        <v/>
      </c>
      <c r="K772" s="1" t="n">
        <f aca="false">IF(OR(LEN(A772&amp;"")=0,$P$3=0),0,IF(AND(B772&gt;=Painel!$B$8,B772&lt;=Painel!$G$8,OR(Painel!$L$8="Todos",C772=Painel!$L$8),OR(Painel!$Q$8="Todos",D772=Painel!$Q$8),OR(Painel!$V$8="Todas",E772=Painel!$V$8)),1,0))</f>
        <v>0</v>
      </c>
      <c r="L772" s="61" t="str">
        <f aca="false">IF(LEN(A772&amp;"")=0,"",J772-I772)</f>
        <v/>
      </c>
      <c r="M772" s="1" t="n">
        <f aca="false">IF(LEN(A772&amp;"")=0,0,IF(COUNTIFS(Base!$A$7:$A$1006,A772)&gt;1,1,0))</f>
        <v>0</v>
      </c>
      <c r="N772" s="1" t="n">
        <f aca="false">IF(LEN(A772&amp;"")=0,0,IF(ABS(L772)&gt;0.005,1,0))</f>
        <v>0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customFormat="false" ht="23" hidden="false" customHeight="true" outlineLevel="0" collapsed="false">
      <c r="A773" s="1" t="str">
        <f aca="false">IF(LEN(Base!A773&amp;"")=0,"",Base!A773)</f>
        <v/>
      </c>
      <c r="B773" s="60" t="str">
        <f aca="false">IF(LEN(A773&amp;"")=0,"",Base!D773)</f>
        <v/>
      </c>
      <c r="C773" s="1" t="str">
        <f aca="false">IF(LEN(A773&amp;"")=0,"",Base!C773)</f>
        <v/>
      </c>
      <c r="D773" s="1" t="str">
        <f aca="false">IF(LEN(A773&amp;"")=0,"",Base!G773)</f>
        <v/>
      </c>
      <c r="E773" s="1" t="str">
        <f aca="false">IF(LEN(A773&amp;"")=0,"",Base!E773)</f>
        <v/>
      </c>
      <c r="F773" s="61" t="str">
        <f aca="false">IF(LEN(A773&amp;"")=0,"",IF(Base!I773="-",0,Base!I773))</f>
        <v/>
      </c>
      <c r="G773" s="61" t="str">
        <f aca="false">IF(LEN(A773&amp;"")=0,"",SUM(Base!F773,F773,Base!K773))</f>
        <v/>
      </c>
      <c r="H773" s="61" t="str">
        <f aca="false">IF(LEN(A773&amp;"")=0,"",Base!L773)</f>
        <v/>
      </c>
      <c r="I773" s="61" t="str">
        <f aca="false">IF(LEN(A773&amp;"")=0,"",G773-H773)</f>
        <v/>
      </c>
      <c r="J773" s="61" t="str">
        <f aca="false">IF(LEN(A773&amp;"")=0,"",Base!M773)</f>
        <v/>
      </c>
      <c r="K773" s="1" t="n">
        <f aca="false">IF(OR(LEN(A773&amp;"")=0,$P$3=0),0,IF(AND(B773&gt;=Painel!$B$8,B773&lt;=Painel!$G$8,OR(Painel!$L$8="Todos",C773=Painel!$L$8),OR(Painel!$Q$8="Todos",D773=Painel!$Q$8),OR(Painel!$V$8="Todas",E773=Painel!$V$8)),1,0))</f>
        <v>0</v>
      </c>
      <c r="L773" s="61" t="str">
        <f aca="false">IF(LEN(A773&amp;"")=0,"",J773-I773)</f>
        <v/>
      </c>
      <c r="M773" s="1" t="n">
        <f aca="false">IF(LEN(A773&amp;"")=0,0,IF(COUNTIFS(Base!$A$7:$A$1006,A773)&gt;1,1,0))</f>
        <v>0</v>
      </c>
      <c r="N773" s="1" t="n">
        <f aca="false">IF(LEN(A773&amp;"")=0,0,IF(ABS(L773)&gt;0.005,1,0))</f>
        <v>0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customFormat="false" ht="23" hidden="false" customHeight="true" outlineLevel="0" collapsed="false">
      <c r="A774" s="1" t="str">
        <f aca="false">IF(LEN(Base!A774&amp;"")=0,"",Base!A774)</f>
        <v/>
      </c>
      <c r="B774" s="60" t="str">
        <f aca="false">IF(LEN(A774&amp;"")=0,"",Base!D774)</f>
        <v/>
      </c>
      <c r="C774" s="1" t="str">
        <f aca="false">IF(LEN(A774&amp;"")=0,"",Base!C774)</f>
        <v/>
      </c>
      <c r="D774" s="1" t="str">
        <f aca="false">IF(LEN(A774&amp;"")=0,"",Base!G774)</f>
        <v/>
      </c>
      <c r="E774" s="1" t="str">
        <f aca="false">IF(LEN(A774&amp;"")=0,"",Base!E774)</f>
        <v/>
      </c>
      <c r="F774" s="61" t="str">
        <f aca="false">IF(LEN(A774&amp;"")=0,"",IF(Base!I774="-",0,Base!I774))</f>
        <v/>
      </c>
      <c r="G774" s="61" t="str">
        <f aca="false">IF(LEN(A774&amp;"")=0,"",SUM(Base!F774,F774,Base!K774))</f>
        <v/>
      </c>
      <c r="H774" s="61" t="str">
        <f aca="false">IF(LEN(A774&amp;"")=0,"",Base!L774)</f>
        <v/>
      </c>
      <c r="I774" s="61" t="str">
        <f aca="false">IF(LEN(A774&amp;"")=0,"",G774-H774)</f>
        <v/>
      </c>
      <c r="J774" s="61" t="str">
        <f aca="false">IF(LEN(A774&amp;"")=0,"",Base!M774)</f>
        <v/>
      </c>
      <c r="K774" s="1" t="n">
        <f aca="false">IF(OR(LEN(A774&amp;"")=0,$P$3=0),0,IF(AND(B774&gt;=Painel!$B$8,B774&lt;=Painel!$G$8,OR(Painel!$L$8="Todos",C774=Painel!$L$8),OR(Painel!$Q$8="Todos",D774=Painel!$Q$8),OR(Painel!$V$8="Todas",E774=Painel!$V$8)),1,0))</f>
        <v>0</v>
      </c>
      <c r="L774" s="61" t="str">
        <f aca="false">IF(LEN(A774&amp;"")=0,"",J774-I774)</f>
        <v/>
      </c>
      <c r="M774" s="1" t="n">
        <f aca="false">IF(LEN(A774&amp;"")=0,0,IF(COUNTIFS(Base!$A$7:$A$1006,A774)&gt;1,1,0))</f>
        <v>0</v>
      </c>
      <c r="N774" s="1" t="n">
        <f aca="false">IF(LEN(A774&amp;"")=0,0,IF(ABS(L774)&gt;0.005,1,0))</f>
        <v>0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customFormat="false" ht="23" hidden="false" customHeight="true" outlineLevel="0" collapsed="false">
      <c r="A775" s="1" t="str">
        <f aca="false">IF(LEN(Base!A775&amp;"")=0,"",Base!A775)</f>
        <v/>
      </c>
      <c r="B775" s="60" t="str">
        <f aca="false">IF(LEN(A775&amp;"")=0,"",Base!D775)</f>
        <v/>
      </c>
      <c r="C775" s="1" t="str">
        <f aca="false">IF(LEN(A775&amp;"")=0,"",Base!C775)</f>
        <v/>
      </c>
      <c r="D775" s="1" t="str">
        <f aca="false">IF(LEN(A775&amp;"")=0,"",Base!G775)</f>
        <v/>
      </c>
      <c r="E775" s="1" t="str">
        <f aca="false">IF(LEN(A775&amp;"")=0,"",Base!E775)</f>
        <v/>
      </c>
      <c r="F775" s="61" t="str">
        <f aca="false">IF(LEN(A775&amp;"")=0,"",IF(Base!I775="-",0,Base!I775))</f>
        <v/>
      </c>
      <c r="G775" s="61" t="str">
        <f aca="false">IF(LEN(A775&amp;"")=0,"",SUM(Base!F775,F775,Base!K775))</f>
        <v/>
      </c>
      <c r="H775" s="61" t="str">
        <f aca="false">IF(LEN(A775&amp;"")=0,"",Base!L775)</f>
        <v/>
      </c>
      <c r="I775" s="61" t="str">
        <f aca="false">IF(LEN(A775&amp;"")=0,"",G775-H775)</f>
        <v/>
      </c>
      <c r="J775" s="61" t="str">
        <f aca="false">IF(LEN(A775&amp;"")=0,"",Base!M775)</f>
        <v/>
      </c>
      <c r="K775" s="1" t="n">
        <f aca="false">IF(OR(LEN(A775&amp;"")=0,$P$3=0),0,IF(AND(B775&gt;=Painel!$B$8,B775&lt;=Painel!$G$8,OR(Painel!$L$8="Todos",C775=Painel!$L$8),OR(Painel!$Q$8="Todos",D775=Painel!$Q$8),OR(Painel!$V$8="Todas",E775=Painel!$V$8)),1,0))</f>
        <v>0</v>
      </c>
      <c r="L775" s="61" t="str">
        <f aca="false">IF(LEN(A775&amp;"")=0,"",J775-I775)</f>
        <v/>
      </c>
      <c r="M775" s="1" t="n">
        <f aca="false">IF(LEN(A775&amp;"")=0,0,IF(COUNTIFS(Base!$A$7:$A$1006,A775)&gt;1,1,0))</f>
        <v>0</v>
      </c>
      <c r="N775" s="1" t="n">
        <f aca="false">IF(LEN(A775&amp;"")=0,0,IF(ABS(L775)&gt;0.005,1,0))</f>
        <v>0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customFormat="false" ht="23" hidden="false" customHeight="true" outlineLevel="0" collapsed="false">
      <c r="A776" s="1" t="str">
        <f aca="false">IF(LEN(Base!A776&amp;"")=0,"",Base!A776)</f>
        <v/>
      </c>
      <c r="B776" s="60" t="str">
        <f aca="false">IF(LEN(A776&amp;"")=0,"",Base!D776)</f>
        <v/>
      </c>
      <c r="C776" s="1" t="str">
        <f aca="false">IF(LEN(A776&amp;"")=0,"",Base!C776)</f>
        <v/>
      </c>
      <c r="D776" s="1" t="str">
        <f aca="false">IF(LEN(A776&amp;"")=0,"",Base!G776)</f>
        <v/>
      </c>
      <c r="E776" s="1" t="str">
        <f aca="false">IF(LEN(A776&amp;"")=0,"",Base!E776)</f>
        <v/>
      </c>
      <c r="F776" s="61" t="str">
        <f aca="false">IF(LEN(A776&amp;"")=0,"",IF(Base!I776="-",0,Base!I776))</f>
        <v/>
      </c>
      <c r="G776" s="61" t="str">
        <f aca="false">IF(LEN(A776&amp;"")=0,"",SUM(Base!F776,F776,Base!K776))</f>
        <v/>
      </c>
      <c r="H776" s="61" t="str">
        <f aca="false">IF(LEN(A776&amp;"")=0,"",Base!L776)</f>
        <v/>
      </c>
      <c r="I776" s="61" t="str">
        <f aca="false">IF(LEN(A776&amp;"")=0,"",G776-H776)</f>
        <v/>
      </c>
      <c r="J776" s="61" t="str">
        <f aca="false">IF(LEN(A776&amp;"")=0,"",Base!M776)</f>
        <v/>
      </c>
      <c r="K776" s="1" t="n">
        <f aca="false">IF(OR(LEN(A776&amp;"")=0,$P$3=0),0,IF(AND(B776&gt;=Painel!$B$8,B776&lt;=Painel!$G$8,OR(Painel!$L$8="Todos",C776=Painel!$L$8),OR(Painel!$Q$8="Todos",D776=Painel!$Q$8),OR(Painel!$V$8="Todas",E776=Painel!$V$8)),1,0))</f>
        <v>0</v>
      </c>
      <c r="L776" s="61" t="str">
        <f aca="false">IF(LEN(A776&amp;"")=0,"",J776-I776)</f>
        <v/>
      </c>
      <c r="M776" s="1" t="n">
        <f aca="false">IF(LEN(A776&amp;"")=0,0,IF(COUNTIFS(Base!$A$7:$A$1006,A776)&gt;1,1,0))</f>
        <v>0</v>
      </c>
      <c r="N776" s="1" t="n">
        <f aca="false">IF(LEN(A776&amp;"")=0,0,IF(ABS(L776)&gt;0.005,1,0))</f>
        <v>0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customFormat="false" ht="23" hidden="false" customHeight="true" outlineLevel="0" collapsed="false">
      <c r="A777" s="1" t="str">
        <f aca="false">IF(LEN(Base!A777&amp;"")=0,"",Base!A777)</f>
        <v/>
      </c>
      <c r="B777" s="60" t="str">
        <f aca="false">IF(LEN(A777&amp;"")=0,"",Base!D777)</f>
        <v/>
      </c>
      <c r="C777" s="1" t="str">
        <f aca="false">IF(LEN(A777&amp;"")=0,"",Base!C777)</f>
        <v/>
      </c>
      <c r="D777" s="1" t="str">
        <f aca="false">IF(LEN(A777&amp;"")=0,"",Base!G777)</f>
        <v/>
      </c>
      <c r="E777" s="1" t="str">
        <f aca="false">IF(LEN(A777&amp;"")=0,"",Base!E777)</f>
        <v/>
      </c>
      <c r="F777" s="61" t="str">
        <f aca="false">IF(LEN(A777&amp;"")=0,"",IF(Base!I777="-",0,Base!I777))</f>
        <v/>
      </c>
      <c r="G777" s="61" t="str">
        <f aca="false">IF(LEN(A777&amp;"")=0,"",SUM(Base!F777,F777,Base!K777))</f>
        <v/>
      </c>
      <c r="H777" s="61" t="str">
        <f aca="false">IF(LEN(A777&amp;"")=0,"",Base!L777)</f>
        <v/>
      </c>
      <c r="I777" s="61" t="str">
        <f aca="false">IF(LEN(A777&amp;"")=0,"",G777-H777)</f>
        <v/>
      </c>
      <c r="J777" s="61" t="str">
        <f aca="false">IF(LEN(A777&amp;"")=0,"",Base!M777)</f>
        <v/>
      </c>
      <c r="K777" s="1" t="n">
        <f aca="false">IF(OR(LEN(A777&amp;"")=0,$P$3=0),0,IF(AND(B777&gt;=Painel!$B$8,B777&lt;=Painel!$G$8,OR(Painel!$L$8="Todos",C777=Painel!$L$8),OR(Painel!$Q$8="Todos",D777=Painel!$Q$8),OR(Painel!$V$8="Todas",E777=Painel!$V$8)),1,0))</f>
        <v>0</v>
      </c>
      <c r="L777" s="61" t="str">
        <f aca="false">IF(LEN(A777&amp;"")=0,"",J777-I777)</f>
        <v/>
      </c>
      <c r="M777" s="1" t="n">
        <f aca="false">IF(LEN(A777&amp;"")=0,0,IF(COUNTIFS(Base!$A$7:$A$1006,A777)&gt;1,1,0))</f>
        <v>0</v>
      </c>
      <c r="N777" s="1" t="n">
        <f aca="false">IF(LEN(A777&amp;"")=0,0,IF(ABS(L777)&gt;0.005,1,0))</f>
        <v>0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customFormat="false" ht="23" hidden="false" customHeight="true" outlineLevel="0" collapsed="false">
      <c r="A778" s="1" t="str">
        <f aca="false">IF(LEN(Base!A778&amp;"")=0,"",Base!A778)</f>
        <v/>
      </c>
      <c r="B778" s="60" t="str">
        <f aca="false">IF(LEN(A778&amp;"")=0,"",Base!D778)</f>
        <v/>
      </c>
      <c r="C778" s="1" t="str">
        <f aca="false">IF(LEN(A778&amp;"")=0,"",Base!C778)</f>
        <v/>
      </c>
      <c r="D778" s="1" t="str">
        <f aca="false">IF(LEN(A778&amp;"")=0,"",Base!G778)</f>
        <v/>
      </c>
      <c r="E778" s="1" t="str">
        <f aca="false">IF(LEN(A778&amp;"")=0,"",Base!E778)</f>
        <v/>
      </c>
      <c r="F778" s="61" t="str">
        <f aca="false">IF(LEN(A778&amp;"")=0,"",IF(Base!I778="-",0,Base!I778))</f>
        <v/>
      </c>
      <c r="G778" s="61" t="str">
        <f aca="false">IF(LEN(A778&amp;"")=0,"",SUM(Base!F778,F778,Base!K778))</f>
        <v/>
      </c>
      <c r="H778" s="61" t="str">
        <f aca="false">IF(LEN(A778&amp;"")=0,"",Base!L778)</f>
        <v/>
      </c>
      <c r="I778" s="61" t="str">
        <f aca="false">IF(LEN(A778&amp;"")=0,"",G778-H778)</f>
        <v/>
      </c>
      <c r="J778" s="61" t="str">
        <f aca="false">IF(LEN(A778&amp;"")=0,"",Base!M778)</f>
        <v/>
      </c>
      <c r="K778" s="1" t="n">
        <f aca="false">IF(OR(LEN(A778&amp;"")=0,$P$3=0),0,IF(AND(B778&gt;=Painel!$B$8,B778&lt;=Painel!$G$8,OR(Painel!$L$8="Todos",C778=Painel!$L$8),OR(Painel!$Q$8="Todos",D778=Painel!$Q$8),OR(Painel!$V$8="Todas",E778=Painel!$V$8)),1,0))</f>
        <v>0</v>
      </c>
      <c r="L778" s="61" t="str">
        <f aca="false">IF(LEN(A778&amp;"")=0,"",J778-I778)</f>
        <v/>
      </c>
      <c r="M778" s="1" t="n">
        <f aca="false">IF(LEN(A778&amp;"")=0,0,IF(COUNTIFS(Base!$A$7:$A$1006,A778)&gt;1,1,0))</f>
        <v>0</v>
      </c>
      <c r="N778" s="1" t="n">
        <f aca="false">IF(LEN(A778&amp;"")=0,0,IF(ABS(L778)&gt;0.005,1,0))</f>
        <v>0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customFormat="false" ht="23" hidden="false" customHeight="true" outlineLevel="0" collapsed="false">
      <c r="A779" s="1" t="str">
        <f aca="false">IF(LEN(Base!A779&amp;"")=0,"",Base!A779)</f>
        <v/>
      </c>
      <c r="B779" s="60" t="str">
        <f aca="false">IF(LEN(A779&amp;"")=0,"",Base!D779)</f>
        <v/>
      </c>
      <c r="C779" s="1" t="str">
        <f aca="false">IF(LEN(A779&amp;"")=0,"",Base!C779)</f>
        <v/>
      </c>
      <c r="D779" s="1" t="str">
        <f aca="false">IF(LEN(A779&amp;"")=0,"",Base!G779)</f>
        <v/>
      </c>
      <c r="E779" s="1" t="str">
        <f aca="false">IF(LEN(A779&amp;"")=0,"",Base!E779)</f>
        <v/>
      </c>
      <c r="F779" s="61" t="str">
        <f aca="false">IF(LEN(A779&amp;"")=0,"",IF(Base!I779="-",0,Base!I779))</f>
        <v/>
      </c>
      <c r="G779" s="61" t="str">
        <f aca="false">IF(LEN(A779&amp;"")=0,"",SUM(Base!F779,F779,Base!K779))</f>
        <v/>
      </c>
      <c r="H779" s="61" t="str">
        <f aca="false">IF(LEN(A779&amp;"")=0,"",Base!L779)</f>
        <v/>
      </c>
      <c r="I779" s="61" t="str">
        <f aca="false">IF(LEN(A779&amp;"")=0,"",G779-H779)</f>
        <v/>
      </c>
      <c r="J779" s="61" t="str">
        <f aca="false">IF(LEN(A779&amp;"")=0,"",Base!M779)</f>
        <v/>
      </c>
      <c r="K779" s="1" t="n">
        <f aca="false">IF(OR(LEN(A779&amp;"")=0,$P$3=0),0,IF(AND(B779&gt;=Painel!$B$8,B779&lt;=Painel!$G$8,OR(Painel!$L$8="Todos",C779=Painel!$L$8),OR(Painel!$Q$8="Todos",D779=Painel!$Q$8),OR(Painel!$V$8="Todas",E779=Painel!$V$8)),1,0))</f>
        <v>0</v>
      </c>
      <c r="L779" s="61" t="str">
        <f aca="false">IF(LEN(A779&amp;"")=0,"",J779-I779)</f>
        <v/>
      </c>
      <c r="M779" s="1" t="n">
        <f aca="false">IF(LEN(A779&amp;"")=0,0,IF(COUNTIFS(Base!$A$7:$A$1006,A779)&gt;1,1,0))</f>
        <v>0</v>
      </c>
      <c r="N779" s="1" t="n">
        <f aca="false">IF(LEN(A779&amp;"")=0,0,IF(ABS(L779)&gt;0.005,1,0))</f>
        <v>0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customFormat="false" ht="23" hidden="false" customHeight="true" outlineLevel="0" collapsed="false">
      <c r="A780" s="1" t="str">
        <f aca="false">IF(LEN(Base!A780&amp;"")=0,"",Base!A780)</f>
        <v/>
      </c>
      <c r="B780" s="60" t="str">
        <f aca="false">IF(LEN(A780&amp;"")=0,"",Base!D780)</f>
        <v/>
      </c>
      <c r="C780" s="1" t="str">
        <f aca="false">IF(LEN(A780&amp;"")=0,"",Base!C780)</f>
        <v/>
      </c>
      <c r="D780" s="1" t="str">
        <f aca="false">IF(LEN(A780&amp;"")=0,"",Base!G780)</f>
        <v/>
      </c>
      <c r="E780" s="1" t="str">
        <f aca="false">IF(LEN(A780&amp;"")=0,"",Base!E780)</f>
        <v/>
      </c>
      <c r="F780" s="61" t="str">
        <f aca="false">IF(LEN(A780&amp;"")=0,"",IF(Base!I780="-",0,Base!I780))</f>
        <v/>
      </c>
      <c r="G780" s="61" t="str">
        <f aca="false">IF(LEN(A780&amp;"")=0,"",SUM(Base!F780,F780,Base!K780))</f>
        <v/>
      </c>
      <c r="H780" s="61" t="str">
        <f aca="false">IF(LEN(A780&amp;"")=0,"",Base!L780)</f>
        <v/>
      </c>
      <c r="I780" s="61" t="str">
        <f aca="false">IF(LEN(A780&amp;"")=0,"",G780-H780)</f>
        <v/>
      </c>
      <c r="J780" s="61" t="str">
        <f aca="false">IF(LEN(A780&amp;"")=0,"",Base!M780)</f>
        <v/>
      </c>
      <c r="K780" s="1" t="n">
        <f aca="false">IF(OR(LEN(A780&amp;"")=0,$P$3=0),0,IF(AND(B780&gt;=Painel!$B$8,B780&lt;=Painel!$G$8,OR(Painel!$L$8="Todos",C780=Painel!$L$8),OR(Painel!$Q$8="Todos",D780=Painel!$Q$8),OR(Painel!$V$8="Todas",E780=Painel!$V$8)),1,0))</f>
        <v>0</v>
      </c>
      <c r="L780" s="61" t="str">
        <f aca="false">IF(LEN(A780&amp;"")=0,"",J780-I780)</f>
        <v/>
      </c>
      <c r="M780" s="1" t="n">
        <f aca="false">IF(LEN(A780&amp;"")=0,0,IF(COUNTIFS(Base!$A$7:$A$1006,A780)&gt;1,1,0))</f>
        <v>0</v>
      </c>
      <c r="N780" s="1" t="n">
        <f aca="false">IF(LEN(A780&amp;"")=0,0,IF(ABS(L780)&gt;0.005,1,0))</f>
        <v>0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customFormat="false" ht="23" hidden="false" customHeight="true" outlineLevel="0" collapsed="false">
      <c r="A781" s="1" t="str">
        <f aca="false">IF(LEN(Base!A781&amp;"")=0,"",Base!A781)</f>
        <v/>
      </c>
      <c r="B781" s="60" t="str">
        <f aca="false">IF(LEN(A781&amp;"")=0,"",Base!D781)</f>
        <v/>
      </c>
      <c r="C781" s="1" t="str">
        <f aca="false">IF(LEN(A781&amp;"")=0,"",Base!C781)</f>
        <v/>
      </c>
      <c r="D781" s="1" t="str">
        <f aca="false">IF(LEN(A781&amp;"")=0,"",Base!G781)</f>
        <v/>
      </c>
      <c r="E781" s="1" t="str">
        <f aca="false">IF(LEN(A781&amp;"")=0,"",Base!E781)</f>
        <v/>
      </c>
      <c r="F781" s="61" t="str">
        <f aca="false">IF(LEN(A781&amp;"")=0,"",IF(Base!I781="-",0,Base!I781))</f>
        <v/>
      </c>
      <c r="G781" s="61" t="str">
        <f aca="false">IF(LEN(A781&amp;"")=0,"",SUM(Base!F781,F781,Base!K781))</f>
        <v/>
      </c>
      <c r="H781" s="61" t="str">
        <f aca="false">IF(LEN(A781&amp;"")=0,"",Base!L781)</f>
        <v/>
      </c>
      <c r="I781" s="61" t="str">
        <f aca="false">IF(LEN(A781&amp;"")=0,"",G781-H781)</f>
        <v/>
      </c>
      <c r="J781" s="61" t="str">
        <f aca="false">IF(LEN(A781&amp;"")=0,"",Base!M781)</f>
        <v/>
      </c>
      <c r="K781" s="1" t="n">
        <f aca="false">IF(OR(LEN(A781&amp;"")=0,$P$3=0),0,IF(AND(B781&gt;=Painel!$B$8,B781&lt;=Painel!$G$8,OR(Painel!$L$8="Todos",C781=Painel!$L$8),OR(Painel!$Q$8="Todos",D781=Painel!$Q$8),OR(Painel!$V$8="Todas",E781=Painel!$V$8)),1,0))</f>
        <v>0</v>
      </c>
      <c r="L781" s="61" t="str">
        <f aca="false">IF(LEN(A781&amp;"")=0,"",J781-I781)</f>
        <v/>
      </c>
      <c r="M781" s="1" t="n">
        <f aca="false">IF(LEN(A781&amp;"")=0,0,IF(COUNTIFS(Base!$A$7:$A$1006,A781)&gt;1,1,0))</f>
        <v>0</v>
      </c>
      <c r="N781" s="1" t="n">
        <f aca="false">IF(LEN(A781&amp;"")=0,0,IF(ABS(L781)&gt;0.005,1,0))</f>
        <v>0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customFormat="false" ht="23" hidden="false" customHeight="true" outlineLevel="0" collapsed="false">
      <c r="A782" s="1" t="str">
        <f aca="false">IF(LEN(Base!A782&amp;"")=0,"",Base!A782)</f>
        <v/>
      </c>
      <c r="B782" s="60" t="str">
        <f aca="false">IF(LEN(A782&amp;"")=0,"",Base!D782)</f>
        <v/>
      </c>
      <c r="C782" s="1" t="str">
        <f aca="false">IF(LEN(A782&amp;"")=0,"",Base!C782)</f>
        <v/>
      </c>
      <c r="D782" s="1" t="str">
        <f aca="false">IF(LEN(A782&amp;"")=0,"",Base!G782)</f>
        <v/>
      </c>
      <c r="E782" s="1" t="str">
        <f aca="false">IF(LEN(A782&amp;"")=0,"",Base!E782)</f>
        <v/>
      </c>
      <c r="F782" s="61" t="str">
        <f aca="false">IF(LEN(A782&amp;"")=0,"",IF(Base!I782="-",0,Base!I782))</f>
        <v/>
      </c>
      <c r="G782" s="61" t="str">
        <f aca="false">IF(LEN(A782&amp;"")=0,"",SUM(Base!F782,F782,Base!K782))</f>
        <v/>
      </c>
      <c r="H782" s="61" t="str">
        <f aca="false">IF(LEN(A782&amp;"")=0,"",Base!L782)</f>
        <v/>
      </c>
      <c r="I782" s="61" t="str">
        <f aca="false">IF(LEN(A782&amp;"")=0,"",G782-H782)</f>
        <v/>
      </c>
      <c r="J782" s="61" t="str">
        <f aca="false">IF(LEN(A782&amp;"")=0,"",Base!M782)</f>
        <v/>
      </c>
      <c r="K782" s="1" t="n">
        <f aca="false">IF(OR(LEN(A782&amp;"")=0,$P$3=0),0,IF(AND(B782&gt;=Painel!$B$8,B782&lt;=Painel!$G$8,OR(Painel!$L$8="Todos",C782=Painel!$L$8),OR(Painel!$Q$8="Todos",D782=Painel!$Q$8),OR(Painel!$V$8="Todas",E782=Painel!$V$8)),1,0))</f>
        <v>0</v>
      </c>
      <c r="L782" s="61" t="str">
        <f aca="false">IF(LEN(A782&amp;"")=0,"",J782-I782)</f>
        <v/>
      </c>
      <c r="M782" s="1" t="n">
        <f aca="false">IF(LEN(A782&amp;"")=0,0,IF(COUNTIFS(Base!$A$7:$A$1006,A782)&gt;1,1,0))</f>
        <v>0</v>
      </c>
      <c r="N782" s="1" t="n">
        <f aca="false">IF(LEN(A782&amp;"")=0,0,IF(ABS(L782)&gt;0.005,1,0))</f>
        <v>0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customFormat="false" ht="23" hidden="false" customHeight="true" outlineLevel="0" collapsed="false">
      <c r="A783" s="1" t="str">
        <f aca="false">IF(LEN(Base!A783&amp;"")=0,"",Base!A783)</f>
        <v/>
      </c>
      <c r="B783" s="60" t="str">
        <f aca="false">IF(LEN(A783&amp;"")=0,"",Base!D783)</f>
        <v/>
      </c>
      <c r="C783" s="1" t="str">
        <f aca="false">IF(LEN(A783&amp;"")=0,"",Base!C783)</f>
        <v/>
      </c>
      <c r="D783" s="1" t="str">
        <f aca="false">IF(LEN(A783&amp;"")=0,"",Base!G783)</f>
        <v/>
      </c>
      <c r="E783" s="1" t="str">
        <f aca="false">IF(LEN(A783&amp;"")=0,"",Base!E783)</f>
        <v/>
      </c>
      <c r="F783" s="61" t="str">
        <f aca="false">IF(LEN(A783&amp;"")=0,"",IF(Base!I783="-",0,Base!I783))</f>
        <v/>
      </c>
      <c r="G783" s="61" t="str">
        <f aca="false">IF(LEN(A783&amp;"")=0,"",SUM(Base!F783,F783,Base!K783))</f>
        <v/>
      </c>
      <c r="H783" s="61" t="str">
        <f aca="false">IF(LEN(A783&amp;"")=0,"",Base!L783)</f>
        <v/>
      </c>
      <c r="I783" s="61" t="str">
        <f aca="false">IF(LEN(A783&amp;"")=0,"",G783-H783)</f>
        <v/>
      </c>
      <c r="J783" s="61" t="str">
        <f aca="false">IF(LEN(A783&amp;"")=0,"",Base!M783)</f>
        <v/>
      </c>
      <c r="K783" s="1" t="n">
        <f aca="false">IF(OR(LEN(A783&amp;"")=0,$P$3=0),0,IF(AND(B783&gt;=Painel!$B$8,B783&lt;=Painel!$G$8,OR(Painel!$L$8="Todos",C783=Painel!$L$8),OR(Painel!$Q$8="Todos",D783=Painel!$Q$8),OR(Painel!$V$8="Todas",E783=Painel!$V$8)),1,0))</f>
        <v>0</v>
      </c>
      <c r="L783" s="61" t="str">
        <f aca="false">IF(LEN(A783&amp;"")=0,"",J783-I783)</f>
        <v/>
      </c>
      <c r="M783" s="1" t="n">
        <f aca="false">IF(LEN(A783&amp;"")=0,0,IF(COUNTIFS(Base!$A$7:$A$1006,A783)&gt;1,1,0))</f>
        <v>0</v>
      </c>
      <c r="N783" s="1" t="n">
        <f aca="false">IF(LEN(A783&amp;"")=0,0,IF(ABS(L783)&gt;0.005,1,0))</f>
        <v>0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customFormat="false" ht="23" hidden="false" customHeight="true" outlineLevel="0" collapsed="false">
      <c r="A784" s="1" t="str">
        <f aca="false">IF(LEN(Base!A784&amp;"")=0,"",Base!A784)</f>
        <v/>
      </c>
      <c r="B784" s="60" t="str">
        <f aca="false">IF(LEN(A784&amp;"")=0,"",Base!D784)</f>
        <v/>
      </c>
      <c r="C784" s="1" t="str">
        <f aca="false">IF(LEN(A784&amp;"")=0,"",Base!C784)</f>
        <v/>
      </c>
      <c r="D784" s="1" t="str">
        <f aca="false">IF(LEN(A784&amp;"")=0,"",Base!G784)</f>
        <v/>
      </c>
      <c r="E784" s="1" t="str">
        <f aca="false">IF(LEN(A784&amp;"")=0,"",Base!E784)</f>
        <v/>
      </c>
      <c r="F784" s="61" t="str">
        <f aca="false">IF(LEN(A784&amp;"")=0,"",IF(Base!I784="-",0,Base!I784))</f>
        <v/>
      </c>
      <c r="G784" s="61" t="str">
        <f aca="false">IF(LEN(A784&amp;"")=0,"",SUM(Base!F784,F784,Base!K784))</f>
        <v/>
      </c>
      <c r="H784" s="61" t="str">
        <f aca="false">IF(LEN(A784&amp;"")=0,"",Base!L784)</f>
        <v/>
      </c>
      <c r="I784" s="61" t="str">
        <f aca="false">IF(LEN(A784&amp;"")=0,"",G784-H784)</f>
        <v/>
      </c>
      <c r="J784" s="61" t="str">
        <f aca="false">IF(LEN(A784&amp;"")=0,"",Base!M784)</f>
        <v/>
      </c>
      <c r="K784" s="1" t="n">
        <f aca="false">IF(OR(LEN(A784&amp;"")=0,$P$3=0),0,IF(AND(B784&gt;=Painel!$B$8,B784&lt;=Painel!$G$8,OR(Painel!$L$8="Todos",C784=Painel!$L$8),OR(Painel!$Q$8="Todos",D784=Painel!$Q$8),OR(Painel!$V$8="Todas",E784=Painel!$V$8)),1,0))</f>
        <v>0</v>
      </c>
      <c r="L784" s="61" t="str">
        <f aca="false">IF(LEN(A784&amp;"")=0,"",J784-I784)</f>
        <v/>
      </c>
      <c r="M784" s="1" t="n">
        <f aca="false">IF(LEN(A784&amp;"")=0,0,IF(COUNTIFS(Base!$A$7:$A$1006,A784)&gt;1,1,0))</f>
        <v>0</v>
      </c>
      <c r="N784" s="1" t="n">
        <f aca="false">IF(LEN(A784&amp;"")=0,0,IF(ABS(L784)&gt;0.005,1,0))</f>
        <v>0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customFormat="false" ht="23" hidden="false" customHeight="true" outlineLevel="0" collapsed="false">
      <c r="A785" s="1" t="str">
        <f aca="false">IF(LEN(Base!A785&amp;"")=0,"",Base!A785)</f>
        <v/>
      </c>
      <c r="B785" s="60" t="str">
        <f aca="false">IF(LEN(A785&amp;"")=0,"",Base!D785)</f>
        <v/>
      </c>
      <c r="C785" s="1" t="str">
        <f aca="false">IF(LEN(A785&amp;"")=0,"",Base!C785)</f>
        <v/>
      </c>
      <c r="D785" s="1" t="str">
        <f aca="false">IF(LEN(A785&amp;"")=0,"",Base!G785)</f>
        <v/>
      </c>
      <c r="E785" s="1" t="str">
        <f aca="false">IF(LEN(A785&amp;"")=0,"",Base!E785)</f>
        <v/>
      </c>
      <c r="F785" s="61" t="str">
        <f aca="false">IF(LEN(A785&amp;"")=0,"",IF(Base!I785="-",0,Base!I785))</f>
        <v/>
      </c>
      <c r="G785" s="61" t="str">
        <f aca="false">IF(LEN(A785&amp;"")=0,"",SUM(Base!F785,F785,Base!K785))</f>
        <v/>
      </c>
      <c r="H785" s="61" t="str">
        <f aca="false">IF(LEN(A785&amp;"")=0,"",Base!L785)</f>
        <v/>
      </c>
      <c r="I785" s="61" t="str">
        <f aca="false">IF(LEN(A785&amp;"")=0,"",G785-H785)</f>
        <v/>
      </c>
      <c r="J785" s="61" t="str">
        <f aca="false">IF(LEN(A785&amp;"")=0,"",Base!M785)</f>
        <v/>
      </c>
      <c r="K785" s="1" t="n">
        <f aca="false">IF(OR(LEN(A785&amp;"")=0,$P$3=0),0,IF(AND(B785&gt;=Painel!$B$8,B785&lt;=Painel!$G$8,OR(Painel!$L$8="Todos",C785=Painel!$L$8),OR(Painel!$Q$8="Todos",D785=Painel!$Q$8),OR(Painel!$V$8="Todas",E785=Painel!$V$8)),1,0))</f>
        <v>0</v>
      </c>
      <c r="L785" s="61" t="str">
        <f aca="false">IF(LEN(A785&amp;"")=0,"",J785-I785)</f>
        <v/>
      </c>
      <c r="M785" s="1" t="n">
        <f aca="false">IF(LEN(A785&amp;"")=0,0,IF(COUNTIFS(Base!$A$7:$A$1006,A785)&gt;1,1,0))</f>
        <v>0</v>
      </c>
      <c r="N785" s="1" t="n">
        <f aca="false">IF(LEN(A785&amp;"")=0,0,IF(ABS(L785)&gt;0.005,1,0))</f>
        <v>0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customFormat="false" ht="23" hidden="false" customHeight="true" outlineLevel="0" collapsed="false">
      <c r="A786" s="1" t="str">
        <f aca="false">IF(LEN(Base!A786&amp;"")=0,"",Base!A786)</f>
        <v/>
      </c>
      <c r="B786" s="60" t="str">
        <f aca="false">IF(LEN(A786&amp;"")=0,"",Base!D786)</f>
        <v/>
      </c>
      <c r="C786" s="1" t="str">
        <f aca="false">IF(LEN(A786&amp;"")=0,"",Base!C786)</f>
        <v/>
      </c>
      <c r="D786" s="1" t="str">
        <f aca="false">IF(LEN(A786&amp;"")=0,"",Base!G786)</f>
        <v/>
      </c>
      <c r="E786" s="1" t="str">
        <f aca="false">IF(LEN(A786&amp;"")=0,"",Base!E786)</f>
        <v/>
      </c>
      <c r="F786" s="61" t="str">
        <f aca="false">IF(LEN(A786&amp;"")=0,"",IF(Base!I786="-",0,Base!I786))</f>
        <v/>
      </c>
      <c r="G786" s="61" t="str">
        <f aca="false">IF(LEN(A786&amp;"")=0,"",SUM(Base!F786,F786,Base!K786))</f>
        <v/>
      </c>
      <c r="H786" s="61" t="str">
        <f aca="false">IF(LEN(A786&amp;"")=0,"",Base!L786)</f>
        <v/>
      </c>
      <c r="I786" s="61" t="str">
        <f aca="false">IF(LEN(A786&amp;"")=0,"",G786-H786)</f>
        <v/>
      </c>
      <c r="J786" s="61" t="str">
        <f aca="false">IF(LEN(A786&amp;"")=0,"",Base!M786)</f>
        <v/>
      </c>
      <c r="K786" s="1" t="n">
        <f aca="false">IF(OR(LEN(A786&amp;"")=0,$P$3=0),0,IF(AND(B786&gt;=Painel!$B$8,B786&lt;=Painel!$G$8,OR(Painel!$L$8="Todos",C786=Painel!$L$8),OR(Painel!$Q$8="Todos",D786=Painel!$Q$8),OR(Painel!$V$8="Todas",E786=Painel!$V$8)),1,0))</f>
        <v>0</v>
      </c>
      <c r="L786" s="61" t="str">
        <f aca="false">IF(LEN(A786&amp;"")=0,"",J786-I786)</f>
        <v/>
      </c>
      <c r="M786" s="1" t="n">
        <f aca="false">IF(LEN(A786&amp;"")=0,0,IF(COUNTIFS(Base!$A$7:$A$1006,A786)&gt;1,1,0))</f>
        <v>0</v>
      </c>
      <c r="N786" s="1" t="n">
        <f aca="false">IF(LEN(A786&amp;"")=0,0,IF(ABS(L786)&gt;0.005,1,0))</f>
        <v>0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customFormat="false" ht="23" hidden="false" customHeight="true" outlineLevel="0" collapsed="false">
      <c r="A787" s="1" t="str">
        <f aca="false">IF(LEN(Base!A787&amp;"")=0,"",Base!A787)</f>
        <v/>
      </c>
      <c r="B787" s="60" t="str">
        <f aca="false">IF(LEN(A787&amp;"")=0,"",Base!D787)</f>
        <v/>
      </c>
      <c r="C787" s="1" t="str">
        <f aca="false">IF(LEN(A787&amp;"")=0,"",Base!C787)</f>
        <v/>
      </c>
      <c r="D787" s="1" t="str">
        <f aca="false">IF(LEN(A787&amp;"")=0,"",Base!G787)</f>
        <v/>
      </c>
      <c r="E787" s="1" t="str">
        <f aca="false">IF(LEN(A787&amp;"")=0,"",Base!E787)</f>
        <v/>
      </c>
      <c r="F787" s="61" t="str">
        <f aca="false">IF(LEN(A787&amp;"")=0,"",IF(Base!I787="-",0,Base!I787))</f>
        <v/>
      </c>
      <c r="G787" s="61" t="str">
        <f aca="false">IF(LEN(A787&amp;"")=0,"",SUM(Base!F787,F787,Base!K787))</f>
        <v/>
      </c>
      <c r="H787" s="61" t="str">
        <f aca="false">IF(LEN(A787&amp;"")=0,"",Base!L787)</f>
        <v/>
      </c>
      <c r="I787" s="61" t="str">
        <f aca="false">IF(LEN(A787&amp;"")=0,"",G787-H787)</f>
        <v/>
      </c>
      <c r="J787" s="61" t="str">
        <f aca="false">IF(LEN(A787&amp;"")=0,"",Base!M787)</f>
        <v/>
      </c>
      <c r="K787" s="1" t="n">
        <f aca="false">IF(OR(LEN(A787&amp;"")=0,$P$3=0),0,IF(AND(B787&gt;=Painel!$B$8,B787&lt;=Painel!$G$8,OR(Painel!$L$8="Todos",C787=Painel!$L$8),OR(Painel!$Q$8="Todos",D787=Painel!$Q$8),OR(Painel!$V$8="Todas",E787=Painel!$V$8)),1,0))</f>
        <v>0</v>
      </c>
      <c r="L787" s="61" t="str">
        <f aca="false">IF(LEN(A787&amp;"")=0,"",J787-I787)</f>
        <v/>
      </c>
      <c r="M787" s="1" t="n">
        <f aca="false">IF(LEN(A787&amp;"")=0,0,IF(COUNTIFS(Base!$A$7:$A$1006,A787)&gt;1,1,0))</f>
        <v>0</v>
      </c>
      <c r="N787" s="1" t="n">
        <f aca="false">IF(LEN(A787&amp;"")=0,0,IF(ABS(L787)&gt;0.005,1,0))</f>
        <v>0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customFormat="false" ht="23" hidden="false" customHeight="true" outlineLevel="0" collapsed="false">
      <c r="A788" s="1" t="str">
        <f aca="false">IF(LEN(Base!A788&amp;"")=0,"",Base!A788)</f>
        <v/>
      </c>
      <c r="B788" s="60" t="str">
        <f aca="false">IF(LEN(A788&amp;"")=0,"",Base!D788)</f>
        <v/>
      </c>
      <c r="C788" s="1" t="str">
        <f aca="false">IF(LEN(A788&amp;"")=0,"",Base!C788)</f>
        <v/>
      </c>
      <c r="D788" s="1" t="str">
        <f aca="false">IF(LEN(A788&amp;"")=0,"",Base!G788)</f>
        <v/>
      </c>
      <c r="E788" s="1" t="str">
        <f aca="false">IF(LEN(A788&amp;"")=0,"",Base!E788)</f>
        <v/>
      </c>
      <c r="F788" s="61" t="str">
        <f aca="false">IF(LEN(A788&amp;"")=0,"",IF(Base!I788="-",0,Base!I788))</f>
        <v/>
      </c>
      <c r="G788" s="61" t="str">
        <f aca="false">IF(LEN(A788&amp;"")=0,"",SUM(Base!F788,F788,Base!K788))</f>
        <v/>
      </c>
      <c r="H788" s="61" t="str">
        <f aca="false">IF(LEN(A788&amp;"")=0,"",Base!L788)</f>
        <v/>
      </c>
      <c r="I788" s="61" t="str">
        <f aca="false">IF(LEN(A788&amp;"")=0,"",G788-H788)</f>
        <v/>
      </c>
      <c r="J788" s="61" t="str">
        <f aca="false">IF(LEN(A788&amp;"")=0,"",Base!M788)</f>
        <v/>
      </c>
      <c r="K788" s="1" t="n">
        <f aca="false">IF(OR(LEN(A788&amp;"")=0,$P$3=0),0,IF(AND(B788&gt;=Painel!$B$8,B788&lt;=Painel!$G$8,OR(Painel!$L$8="Todos",C788=Painel!$L$8),OR(Painel!$Q$8="Todos",D788=Painel!$Q$8),OR(Painel!$V$8="Todas",E788=Painel!$V$8)),1,0))</f>
        <v>0</v>
      </c>
      <c r="L788" s="61" t="str">
        <f aca="false">IF(LEN(A788&amp;"")=0,"",J788-I788)</f>
        <v/>
      </c>
      <c r="M788" s="1" t="n">
        <f aca="false">IF(LEN(A788&amp;"")=0,0,IF(COUNTIFS(Base!$A$7:$A$1006,A788)&gt;1,1,0))</f>
        <v>0</v>
      </c>
      <c r="N788" s="1" t="n">
        <f aca="false">IF(LEN(A788&amp;"")=0,0,IF(ABS(L788)&gt;0.005,1,0))</f>
        <v>0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customFormat="false" ht="23" hidden="false" customHeight="true" outlineLevel="0" collapsed="false">
      <c r="A789" s="1" t="str">
        <f aca="false">IF(LEN(Base!A789&amp;"")=0,"",Base!A789)</f>
        <v/>
      </c>
      <c r="B789" s="60" t="str">
        <f aca="false">IF(LEN(A789&amp;"")=0,"",Base!D789)</f>
        <v/>
      </c>
      <c r="C789" s="1" t="str">
        <f aca="false">IF(LEN(A789&amp;"")=0,"",Base!C789)</f>
        <v/>
      </c>
      <c r="D789" s="1" t="str">
        <f aca="false">IF(LEN(A789&amp;"")=0,"",Base!G789)</f>
        <v/>
      </c>
      <c r="E789" s="1" t="str">
        <f aca="false">IF(LEN(A789&amp;"")=0,"",Base!E789)</f>
        <v/>
      </c>
      <c r="F789" s="61" t="str">
        <f aca="false">IF(LEN(A789&amp;"")=0,"",IF(Base!I789="-",0,Base!I789))</f>
        <v/>
      </c>
      <c r="G789" s="61" t="str">
        <f aca="false">IF(LEN(A789&amp;"")=0,"",SUM(Base!F789,F789,Base!K789))</f>
        <v/>
      </c>
      <c r="H789" s="61" t="str">
        <f aca="false">IF(LEN(A789&amp;"")=0,"",Base!L789)</f>
        <v/>
      </c>
      <c r="I789" s="61" t="str">
        <f aca="false">IF(LEN(A789&amp;"")=0,"",G789-H789)</f>
        <v/>
      </c>
      <c r="J789" s="61" t="str">
        <f aca="false">IF(LEN(A789&amp;"")=0,"",Base!M789)</f>
        <v/>
      </c>
      <c r="K789" s="1" t="n">
        <f aca="false">IF(OR(LEN(A789&amp;"")=0,$P$3=0),0,IF(AND(B789&gt;=Painel!$B$8,B789&lt;=Painel!$G$8,OR(Painel!$L$8="Todos",C789=Painel!$L$8),OR(Painel!$Q$8="Todos",D789=Painel!$Q$8),OR(Painel!$V$8="Todas",E789=Painel!$V$8)),1,0))</f>
        <v>0</v>
      </c>
      <c r="L789" s="61" t="str">
        <f aca="false">IF(LEN(A789&amp;"")=0,"",J789-I789)</f>
        <v/>
      </c>
      <c r="M789" s="1" t="n">
        <f aca="false">IF(LEN(A789&amp;"")=0,0,IF(COUNTIFS(Base!$A$7:$A$1006,A789)&gt;1,1,0))</f>
        <v>0</v>
      </c>
      <c r="N789" s="1" t="n">
        <f aca="false">IF(LEN(A789&amp;"")=0,0,IF(ABS(L789)&gt;0.005,1,0))</f>
        <v>0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customFormat="false" ht="23" hidden="false" customHeight="true" outlineLevel="0" collapsed="false">
      <c r="A790" s="1" t="str">
        <f aca="false">IF(LEN(Base!A790&amp;"")=0,"",Base!A790)</f>
        <v/>
      </c>
      <c r="B790" s="60" t="str">
        <f aca="false">IF(LEN(A790&amp;"")=0,"",Base!D790)</f>
        <v/>
      </c>
      <c r="C790" s="1" t="str">
        <f aca="false">IF(LEN(A790&amp;"")=0,"",Base!C790)</f>
        <v/>
      </c>
      <c r="D790" s="1" t="str">
        <f aca="false">IF(LEN(A790&amp;"")=0,"",Base!G790)</f>
        <v/>
      </c>
      <c r="E790" s="1" t="str">
        <f aca="false">IF(LEN(A790&amp;"")=0,"",Base!E790)</f>
        <v/>
      </c>
      <c r="F790" s="61" t="str">
        <f aca="false">IF(LEN(A790&amp;"")=0,"",IF(Base!I790="-",0,Base!I790))</f>
        <v/>
      </c>
      <c r="G790" s="61" t="str">
        <f aca="false">IF(LEN(A790&amp;"")=0,"",SUM(Base!F790,F790,Base!K790))</f>
        <v/>
      </c>
      <c r="H790" s="61" t="str">
        <f aca="false">IF(LEN(A790&amp;"")=0,"",Base!L790)</f>
        <v/>
      </c>
      <c r="I790" s="61" t="str">
        <f aca="false">IF(LEN(A790&amp;"")=0,"",G790-H790)</f>
        <v/>
      </c>
      <c r="J790" s="61" t="str">
        <f aca="false">IF(LEN(A790&amp;"")=0,"",Base!M790)</f>
        <v/>
      </c>
      <c r="K790" s="1" t="n">
        <f aca="false">IF(OR(LEN(A790&amp;"")=0,$P$3=0),0,IF(AND(B790&gt;=Painel!$B$8,B790&lt;=Painel!$G$8,OR(Painel!$L$8="Todos",C790=Painel!$L$8),OR(Painel!$Q$8="Todos",D790=Painel!$Q$8),OR(Painel!$V$8="Todas",E790=Painel!$V$8)),1,0))</f>
        <v>0</v>
      </c>
      <c r="L790" s="61" t="str">
        <f aca="false">IF(LEN(A790&amp;"")=0,"",J790-I790)</f>
        <v/>
      </c>
      <c r="M790" s="1" t="n">
        <f aca="false">IF(LEN(A790&amp;"")=0,0,IF(COUNTIFS(Base!$A$7:$A$1006,A790)&gt;1,1,0))</f>
        <v>0</v>
      </c>
      <c r="N790" s="1" t="n">
        <f aca="false">IF(LEN(A790&amp;"")=0,0,IF(ABS(L790)&gt;0.005,1,0))</f>
        <v>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customFormat="false" ht="23" hidden="false" customHeight="true" outlineLevel="0" collapsed="false">
      <c r="A791" s="1" t="str">
        <f aca="false">IF(LEN(Base!A791&amp;"")=0,"",Base!A791)</f>
        <v/>
      </c>
      <c r="B791" s="60" t="str">
        <f aca="false">IF(LEN(A791&amp;"")=0,"",Base!D791)</f>
        <v/>
      </c>
      <c r="C791" s="1" t="str">
        <f aca="false">IF(LEN(A791&amp;"")=0,"",Base!C791)</f>
        <v/>
      </c>
      <c r="D791" s="1" t="str">
        <f aca="false">IF(LEN(A791&amp;"")=0,"",Base!G791)</f>
        <v/>
      </c>
      <c r="E791" s="1" t="str">
        <f aca="false">IF(LEN(A791&amp;"")=0,"",Base!E791)</f>
        <v/>
      </c>
      <c r="F791" s="61" t="str">
        <f aca="false">IF(LEN(A791&amp;"")=0,"",IF(Base!I791="-",0,Base!I791))</f>
        <v/>
      </c>
      <c r="G791" s="61" t="str">
        <f aca="false">IF(LEN(A791&amp;"")=0,"",SUM(Base!F791,F791,Base!K791))</f>
        <v/>
      </c>
      <c r="H791" s="61" t="str">
        <f aca="false">IF(LEN(A791&amp;"")=0,"",Base!L791)</f>
        <v/>
      </c>
      <c r="I791" s="61" t="str">
        <f aca="false">IF(LEN(A791&amp;"")=0,"",G791-H791)</f>
        <v/>
      </c>
      <c r="J791" s="61" t="str">
        <f aca="false">IF(LEN(A791&amp;"")=0,"",Base!M791)</f>
        <v/>
      </c>
      <c r="K791" s="1" t="n">
        <f aca="false">IF(OR(LEN(A791&amp;"")=0,$P$3=0),0,IF(AND(B791&gt;=Painel!$B$8,B791&lt;=Painel!$G$8,OR(Painel!$L$8="Todos",C791=Painel!$L$8),OR(Painel!$Q$8="Todos",D791=Painel!$Q$8),OR(Painel!$V$8="Todas",E791=Painel!$V$8)),1,0))</f>
        <v>0</v>
      </c>
      <c r="L791" s="61" t="str">
        <f aca="false">IF(LEN(A791&amp;"")=0,"",J791-I791)</f>
        <v/>
      </c>
      <c r="M791" s="1" t="n">
        <f aca="false">IF(LEN(A791&amp;"")=0,0,IF(COUNTIFS(Base!$A$7:$A$1006,A791)&gt;1,1,0))</f>
        <v>0</v>
      </c>
      <c r="N791" s="1" t="n">
        <f aca="false">IF(LEN(A791&amp;"")=0,0,IF(ABS(L791)&gt;0.005,1,0))</f>
        <v>0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customFormat="false" ht="23" hidden="false" customHeight="true" outlineLevel="0" collapsed="false">
      <c r="A792" s="1" t="str">
        <f aca="false">IF(LEN(Base!A792&amp;"")=0,"",Base!A792)</f>
        <v/>
      </c>
      <c r="B792" s="60" t="str">
        <f aca="false">IF(LEN(A792&amp;"")=0,"",Base!D792)</f>
        <v/>
      </c>
      <c r="C792" s="1" t="str">
        <f aca="false">IF(LEN(A792&amp;"")=0,"",Base!C792)</f>
        <v/>
      </c>
      <c r="D792" s="1" t="str">
        <f aca="false">IF(LEN(A792&amp;"")=0,"",Base!G792)</f>
        <v/>
      </c>
      <c r="E792" s="1" t="str">
        <f aca="false">IF(LEN(A792&amp;"")=0,"",Base!E792)</f>
        <v/>
      </c>
      <c r="F792" s="61" t="str">
        <f aca="false">IF(LEN(A792&amp;"")=0,"",IF(Base!I792="-",0,Base!I792))</f>
        <v/>
      </c>
      <c r="G792" s="61" t="str">
        <f aca="false">IF(LEN(A792&amp;"")=0,"",SUM(Base!F792,F792,Base!K792))</f>
        <v/>
      </c>
      <c r="H792" s="61" t="str">
        <f aca="false">IF(LEN(A792&amp;"")=0,"",Base!L792)</f>
        <v/>
      </c>
      <c r="I792" s="61" t="str">
        <f aca="false">IF(LEN(A792&amp;"")=0,"",G792-H792)</f>
        <v/>
      </c>
      <c r="J792" s="61" t="str">
        <f aca="false">IF(LEN(A792&amp;"")=0,"",Base!M792)</f>
        <v/>
      </c>
      <c r="K792" s="1" t="n">
        <f aca="false">IF(OR(LEN(A792&amp;"")=0,$P$3=0),0,IF(AND(B792&gt;=Painel!$B$8,B792&lt;=Painel!$G$8,OR(Painel!$L$8="Todos",C792=Painel!$L$8),OR(Painel!$Q$8="Todos",D792=Painel!$Q$8),OR(Painel!$V$8="Todas",E792=Painel!$V$8)),1,0))</f>
        <v>0</v>
      </c>
      <c r="L792" s="61" t="str">
        <f aca="false">IF(LEN(A792&amp;"")=0,"",J792-I792)</f>
        <v/>
      </c>
      <c r="M792" s="1" t="n">
        <f aca="false">IF(LEN(A792&amp;"")=0,0,IF(COUNTIFS(Base!$A$7:$A$1006,A792)&gt;1,1,0))</f>
        <v>0</v>
      </c>
      <c r="N792" s="1" t="n">
        <f aca="false">IF(LEN(A792&amp;"")=0,0,IF(ABS(L792)&gt;0.005,1,0))</f>
        <v>0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customFormat="false" ht="23" hidden="false" customHeight="true" outlineLevel="0" collapsed="false">
      <c r="A793" s="1" t="str">
        <f aca="false">IF(LEN(Base!A793&amp;"")=0,"",Base!A793)</f>
        <v/>
      </c>
      <c r="B793" s="60" t="str">
        <f aca="false">IF(LEN(A793&amp;"")=0,"",Base!D793)</f>
        <v/>
      </c>
      <c r="C793" s="1" t="str">
        <f aca="false">IF(LEN(A793&amp;"")=0,"",Base!C793)</f>
        <v/>
      </c>
      <c r="D793" s="1" t="str">
        <f aca="false">IF(LEN(A793&amp;"")=0,"",Base!G793)</f>
        <v/>
      </c>
      <c r="E793" s="1" t="str">
        <f aca="false">IF(LEN(A793&amp;"")=0,"",Base!E793)</f>
        <v/>
      </c>
      <c r="F793" s="61" t="str">
        <f aca="false">IF(LEN(A793&amp;"")=0,"",IF(Base!I793="-",0,Base!I793))</f>
        <v/>
      </c>
      <c r="G793" s="61" t="str">
        <f aca="false">IF(LEN(A793&amp;"")=0,"",SUM(Base!F793,F793,Base!K793))</f>
        <v/>
      </c>
      <c r="H793" s="61" t="str">
        <f aca="false">IF(LEN(A793&amp;"")=0,"",Base!L793)</f>
        <v/>
      </c>
      <c r="I793" s="61" t="str">
        <f aca="false">IF(LEN(A793&amp;"")=0,"",G793-H793)</f>
        <v/>
      </c>
      <c r="J793" s="61" t="str">
        <f aca="false">IF(LEN(A793&amp;"")=0,"",Base!M793)</f>
        <v/>
      </c>
      <c r="K793" s="1" t="n">
        <f aca="false">IF(OR(LEN(A793&amp;"")=0,$P$3=0),0,IF(AND(B793&gt;=Painel!$B$8,B793&lt;=Painel!$G$8,OR(Painel!$L$8="Todos",C793=Painel!$L$8),OR(Painel!$Q$8="Todos",D793=Painel!$Q$8),OR(Painel!$V$8="Todas",E793=Painel!$V$8)),1,0))</f>
        <v>0</v>
      </c>
      <c r="L793" s="61" t="str">
        <f aca="false">IF(LEN(A793&amp;"")=0,"",J793-I793)</f>
        <v/>
      </c>
      <c r="M793" s="1" t="n">
        <f aca="false">IF(LEN(A793&amp;"")=0,0,IF(COUNTIFS(Base!$A$7:$A$1006,A793)&gt;1,1,0))</f>
        <v>0</v>
      </c>
      <c r="N793" s="1" t="n">
        <f aca="false">IF(LEN(A793&amp;"")=0,0,IF(ABS(L793)&gt;0.005,1,0))</f>
        <v>0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customFormat="false" ht="23" hidden="false" customHeight="true" outlineLevel="0" collapsed="false">
      <c r="A794" s="1" t="str">
        <f aca="false">IF(LEN(Base!A794&amp;"")=0,"",Base!A794)</f>
        <v/>
      </c>
      <c r="B794" s="60" t="str">
        <f aca="false">IF(LEN(A794&amp;"")=0,"",Base!D794)</f>
        <v/>
      </c>
      <c r="C794" s="1" t="str">
        <f aca="false">IF(LEN(A794&amp;"")=0,"",Base!C794)</f>
        <v/>
      </c>
      <c r="D794" s="1" t="str">
        <f aca="false">IF(LEN(A794&amp;"")=0,"",Base!G794)</f>
        <v/>
      </c>
      <c r="E794" s="1" t="str">
        <f aca="false">IF(LEN(A794&amp;"")=0,"",Base!E794)</f>
        <v/>
      </c>
      <c r="F794" s="61" t="str">
        <f aca="false">IF(LEN(A794&amp;"")=0,"",IF(Base!I794="-",0,Base!I794))</f>
        <v/>
      </c>
      <c r="G794" s="61" t="str">
        <f aca="false">IF(LEN(A794&amp;"")=0,"",SUM(Base!F794,F794,Base!K794))</f>
        <v/>
      </c>
      <c r="H794" s="61" t="str">
        <f aca="false">IF(LEN(A794&amp;"")=0,"",Base!L794)</f>
        <v/>
      </c>
      <c r="I794" s="61" t="str">
        <f aca="false">IF(LEN(A794&amp;"")=0,"",G794-H794)</f>
        <v/>
      </c>
      <c r="J794" s="61" t="str">
        <f aca="false">IF(LEN(A794&amp;"")=0,"",Base!M794)</f>
        <v/>
      </c>
      <c r="K794" s="1" t="n">
        <f aca="false">IF(OR(LEN(A794&amp;"")=0,$P$3=0),0,IF(AND(B794&gt;=Painel!$B$8,B794&lt;=Painel!$G$8,OR(Painel!$L$8="Todos",C794=Painel!$L$8),OR(Painel!$Q$8="Todos",D794=Painel!$Q$8),OR(Painel!$V$8="Todas",E794=Painel!$V$8)),1,0))</f>
        <v>0</v>
      </c>
      <c r="L794" s="61" t="str">
        <f aca="false">IF(LEN(A794&amp;"")=0,"",J794-I794)</f>
        <v/>
      </c>
      <c r="M794" s="1" t="n">
        <f aca="false">IF(LEN(A794&amp;"")=0,0,IF(COUNTIFS(Base!$A$7:$A$1006,A794)&gt;1,1,0))</f>
        <v>0</v>
      </c>
      <c r="N794" s="1" t="n">
        <f aca="false">IF(LEN(A794&amp;"")=0,0,IF(ABS(L794)&gt;0.005,1,0))</f>
        <v>0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customFormat="false" ht="23" hidden="false" customHeight="true" outlineLevel="0" collapsed="false">
      <c r="A795" s="1" t="str">
        <f aca="false">IF(LEN(Base!A795&amp;"")=0,"",Base!A795)</f>
        <v/>
      </c>
      <c r="B795" s="60" t="str">
        <f aca="false">IF(LEN(A795&amp;"")=0,"",Base!D795)</f>
        <v/>
      </c>
      <c r="C795" s="1" t="str">
        <f aca="false">IF(LEN(A795&amp;"")=0,"",Base!C795)</f>
        <v/>
      </c>
      <c r="D795" s="1" t="str">
        <f aca="false">IF(LEN(A795&amp;"")=0,"",Base!G795)</f>
        <v/>
      </c>
      <c r="E795" s="1" t="str">
        <f aca="false">IF(LEN(A795&amp;"")=0,"",Base!E795)</f>
        <v/>
      </c>
      <c r="F795" s="61" t="str">
        <f aca="false">IF(LEN(A795&amp;"")=0,"",IF(Base!I795="-",0,Base!I795))</f>
        <v/>
      </c>
      <c r="G795" s="61" t="str">
        <f aca="false">IF(LEN(A795&amp;"")=0,"",SUM(Base!F795,F795,Base!K795))</f>
        <v/>
      </c>
      <c r="H795" s="61" t="str">
        <f aca="false">IF(LEN(A795&amp;"")=0,"",Base!L795)</f>
        <v/>
      </c>
      <c r="I795" s="61" t="str">
        <f aca="false">IF(LEN(A795&amp;"")=0,"",G795-H795)</f>
        <v/>
      </c>
      <c r="J795" s="61" t="str">
        <f aca="false">IF(LEN(A795&amp;"")=0,"",Base!M795)</f>
        <v/>
      </c>
      <c r="K795" s="1" t="n">
        <f aca="false">IF(OR(LEN(A795&amp;"")=0,$P$3=0),0,IF(AND(B795&gt;=Painel!$B$8,B795&lt;=Painel!$G$8,OR(Painel!$L$8="Todos",C795=Painel!$L$8),OR(Painel!$Q$8="Todos",D795=Painel!$Q$8),OR(Painel!$V$8="Todas",E795=Painel!$V$8)),1,0))</f>
        <v>0</v>
      </c>
      <c r="L795" s="61" t="str">
        <f aca="false">IF(LEN(A795&amp;"")=0,"",J795-I795)</f>
        <v/>
      </c>
      <c r="M795" s="1" t="n">
        <f aca="false">IF(LEN(A795&amp;"")=0,0,IF(COUNTIFS(Base!$A$7:$A$1006,A795)&gt;1,1,0))</f>
        <v>0</v>
      </c>
      <c r="N795" s="1" t="n">
        <f aca="false">IF(LEN(A795&amp;"")=0,0,IF(ABS(L795)&gt;0.005,1,0))</f>
        <v>0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customFormat="false" ht="23" hidden="false" customHeight="true" outlineLevel="0" collapsed="false">
      <c r="A796" s="1" t="str">
        <f aca="false">IF(LEN(Base!A796&amp;"")=0,"",Base!A796)</f>
        <v/>
      </c>
      <c r="B796" s="60" t="str">
        <f aca="false">IF(LEN(A796&amp;"")=0,"",Base!D796)</f>
        <v/>
      </c>
      <c r="C796" s="1" t="str">
        <f aca="false">IF(LEN(A796&amp;"")=0,"",Base!C796)</f>
        <v/>
      </c>
      <c r="D796" s="1" t="str">
        <f aca="false">IF(LEN(A796&amp;"")=0,"",Base!G796)</f>
        <v/>
      </c>
      <c r="E796" s="1" t="str">
        <f aca="false">IF(LEN(A796&amp;"")=0,"",Base!E796)</f>
        <v/>
      </c>
      <c r="F796" s="61" t="str">
        <f aca="false">IF(LEN(A796&amp;"")=0,"",IF(Base!I796="-",0,Base!I796))</f>
        <v/>
      </c>
      <c r="G796" s="61" t="str">
        <f aca="false">IF(LEN(A796&amp;"")=0,"",SUM(Base!F796,F796,Base!K796))</f>
        <v/>
      </c>
      <c r="H796" s="61" t="str">
        <f aca="false">IF(LEN(A796&amp;"")=0,"",Base!L796)</f>
        <v/>
      </c>
      <c r="I796" s="61" t="str">
        <f aca="false">IF(LEN(A796&amp;"")=0,"",G796-H796)</f>
        <v/>
      </c>
      <c r="J796" s="61" t="str">
        <f aca="false">IF(LEN(A796&amp;"")=0,"",Base!M796)</f>
        <v/>
      </c>
      <c r="K796" s="1" t="n">
        <f aca="false">IF(OR(LEN(A796&amp;"")=0,$P$3=0),0,IF(AND(B796&gt;=Painel!$B$8,B796&lt;=Painel!$G$8,OR(Painel!$L$8="Todos",C796=Painel!$L$8),OR(Painel!$Q$8="Todos",D796=Painel!$Q$8),OR(Painel!$V$8="Todas",E796=Painel!$V$8)),1,0))</f>
        <v>0</v>
      </c>
      <c r="L796" s="61" t="str">
        <f aca="false">IF(LEN(A796&amp;"")=0,"",J796-I796)</f>
        <v/>
      </c>
      <c r="M796" s="1" t="n">
        <f aca="false">IF(LEN(A796&amp;"")=0,0,IF(COUNTIFS(Base!$A$7:$A$1006,A796)&gt;1,1,0))</f>
        <v>0</v>
      </c>
      <c r="N796" s="1" t="n">
        <f aca="false">IF(LEN(A796&amp;"")=0,0,IF(ABS(L796)&gt;0.005,1,0))</f>
        <v>0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customFormat="false" ht="23" hidden="false" customHeight="true" outlineLevel="0" collapsed="false">
      <c r="A797" s="1" t="str">
        <f aca="false">IF(LEN(Base!A797&amp;"")=0,"",Base!A797)</f>
        <v/>
      </c>
      <c r="B797" s="60" t="str">
        <f aca="false">IF(LEN(A797&amp;"")=0,"",Base!D797)</f>
        <v/>
      </c>
      <c r="C797" s="1" t="str">
        <f aca="false">IF(LEN(A797&amp;"")=0,"",Base!C797)</f>
        <v/>
      </c>
      <c r="D797" s="1" t="str">
        <f aca="false">IF(LEN(A797&amp;"")=0,"",Base!G797)</f>
        <v/>
      </c>
      <c r="E797" s="1" t="str">
        <f aca="false">IF(LEN(A797&amp;"")=0,"",Base!E797)</f>
        <v/>
      </c>
      <c r="F797" s="61" t="str">
        <f aca="false">IF(LEN(A797&amp;"")=0,"",IF(Base!I797="-",0,Base!I797))</f>
        <v/>
      </c>
      <c r="G797" s="61" t="str">
        <f aca="false">IF(LEN(A797&amp;"")=0,"",SUM(Base!F797,F797,Base!K797))</f>
        <v/>
      </c>
      <c r="H797" s="61" t="str">
        <f aca="false">IF(LEN(A797&amp;"")=0,"",Base!L797)</f>
        <v/>
      </c>
      <c r="I797" s="61" t="str">
        <f aca="false">IF(LEN(A797&amp;"")=0,"",G797-H797)</f>
        <v/>
      </c>
      <c r="J797" s="61" t="str">
        <f aca="false">IF(LEN(A797&amp;"")=0,"",Base!M797)</f>
        <v/>
      </c>
      <c r="K797" s="1" t="n">
        <f aca="false">IF(OR(LEN(A797&amp;"")=0,$P$3=0),0,IF(AND(B797&gt;=Painel!$B$8,B797&lt;=Painel!$G$8,OR(Painel!$L$8="Todos",C797=Painel!$L$8),OR(Painel!$Q$8="Todos",D797=Painel!$Q$8),OR(Painel!$V$8="Todas",E797=Painel!$V$8)),1,0))</f>
        <v>0</v>
      </c>
      <c r="L797" s="61" t="str">
        <f aca="false">IF(LEN(A797&amp;"")=0,"",J797-I797)</f>
        <v/>
      </c>
      <c r="M797" s="1" t="n">
        <f aca="false">IF(LEN(A797&amp;"")=0,0,IF(COUNTIFS(Base!$A$7:$A$1006,A797)&gt;1,1,0))</f>
        <v>0</v>
      </c>
      <c r="N797" s="1" t="n">
        <f aca="false">IF(LEN(A797&amp;"")=0,0,IF(ABS(L797)&gt;0.005,1,0))</f>
        <v>0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customFormat="false" ht="23" hidden="false" customHeight="true" outlineLevel="0" collapsed="false">
      <c r="A798" s="1" t="str">
        <f aca="false">IF(LEN(Base!A798&amp;"")=0,"",Base!A798)</f>
        <v/>
      </c>
      <c r="B798" s="60" t="str">
        <f aca="false">IF(LEN(A798&amp;"")=0,"",Base!D798)</f>
        <v/>
      </c>
      <c r="C798" s="1" t="str">
        <f aca="false">IF(LEN(A798&amp;"")=0,"",Base!C798)</f>
        <v/>
      </c>
      <c r="D798" s="1" t="str">
        <f aca="false">IF(LEN(A798&amp;"")=0,"",Base!G798)</f>
        <v/>
      </c>
      <c r="E798" s="1" t="str">
        <f aca="false">IF(LEN(A798&amp;"")=0,"",Base!E798)</f>
        <v/>
      </c>
      <c r="F798" s="61" t="str">
        <f aca="false">IF(LEN(A798&amp;"")=0,"",IF(Base!I798="-",0,Base!I798))</f>
        <v/>
      </c>
      <c r="G798" s="61" t="str">
        <f aca="false">IF(LEN(A798&amp;"")=0,"",SUM(Base!F798,F798,Base!K798))</f>
        <v/>
      </c>
      <c r="H798" s="61" t="str">
        <f aca="false">IF(LEN(A798&amp;"")=0,"",Base!L798)</f>
        <v/>
      </c>
      <c r="I798" s="61" t="str">
        <f aca="false">IF(LEN(A798&amp;"")=0,"",G798-H798)</f>
        <v/>
      </c>
      <c r="J798" s="61" t="str">
        <f aca="false">IF(LEN(A798&amp;"")=0,"",Base!M798)</f>
        <v/>
      </c>
      <c r="K798" s="1" t="n">
        <f aca="false">IF(OR(LEN(A798&amp;"")=0,$P$3=0),0,IF(AND(B798&gt;=Painel!$B$8,B798&lt;=Painel!$G$8,OR(Painel!$L$8="Todos",C798=Painel!$L$8),OR(Painel!$Q$8="Todos",D798=Painel!$Q$8),OR(Painel!$V$8="Todas",E798=Painel!$V$8)),1,0))</f>
        <v>0</v>
      </c>
      <c r="L798" s="61" t="str">
        <f aca="false">IF(LEN(A798&amp;"")=0,"",J798-I798)</f>
        <v/>
      </c>
      <c r="M798" s="1" t="n">
        <f aca="false">IF(LEN(A798&amp;"")=0,0,IF(COUNTIFS(Base!$A$7:$A$1006,A798)&gt;1,1,0))</f>
        <v>0</v>
      </c>
      <c r="N798" s="1" t="n">
        <f aca="false">IF(LEN(A798&amp;"")=0,0,IF(ABS(L798)&gt;0.005,1,0))</f>
        <v>0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customFormat="false" ht="23" hidden="false" customHeight="true" outlineLevel="0" collapsed="false">
      <c r="A799" s="1" t="str">
        <f aca="false">IF(LEN(Base!A799&amp;"")=0,"",Base!A799)</f>
        <v/>
      </c>
      <c r="B799" s="60" t="str">
        <f aca="false">IF(LEN(A799&amp;"")=0,"",Base!D799)</f>
        <v/>
      </c>
      <c r="C799" s="1" t="str">
        <f aca="false">IF(LEN(A799&amp;"")=0,"",Base!C799)</f>
        <v/>
      </c>
      <c r="D799" s="1" t="str">
        <f aca="false">IF(LEN(A799&amp;"")=0,"",Base!G799)</f>
        <v/>
      </c>
      <c r="E799" s="1" t="str">
        <f aca="false">IF(LEN(A799&amp;"")=0,"",Base!E799)</f>
        <v/>
      </c>
      <c r="F799" s="61" t="str">
        <f aca="false">IF(LEN(A799&amp;"")=0,"",IF(Base!I799="-",0,Base!I799))</f>
        <v/>
      </c>
      <c r="G799" s="61" t="str">
        <f aca="false">IF(LEN(A799&amp;"")=0,"",SUM(Base!F799,F799,Base!K799))</f>
        <v/>
      </c>
      <c r="H799" s="61" t="str">
        <f aca="false">IF(LEN(A799&amp;"")=0,"",Base!L799)</f>
        <v/>
      </c>
      <c r="I799" s="61" t="str">
        <f aca="false">IF(LEN(A799&amp;"")=0,"",G799-H799)</f>
        <v/>
      </c>
      <c r="J799" s="61" t="str">
        <f aca="false">IF(LEN(A799&amp;"")=0,"",Base!M799)</f>
        <v/>
      </c>
      <c r="K799" s="1" t="n">
        <f aca="false">IF(OR(LEN(A799&amp;"")=0,$P$3=0),0,IF(AND(B799&gt;=Painel!$B$8,B799&lt;=Painel!$G$8,OR(Painel!$L$8="Todos",C799=Painel!$L$8),OR(Painel!$Q$8="Todos",D799=Painel!$Q$8),OR(Painel!$V$8="Todas",E799=Painel!$V$8)),1,0))</f>
        <v>0</v>
      </c>
      <c r="L799" s="61" t="str">
        <f aca="false">IF(LEN(A799&amp;"")=0,"",J799-I799)</f>
        <v/>
      </c>
      <c r="M799" s="1" t="n">
        <f aca="false">IF(LEN(A799&amp;"")=0,0,IF(COUNTIFS(Base!$A$7:$A$1006,A799)&gt;1,1,0))</f>
        <v>0</v>
      </c>
      <c r="N799" s="1" t="n">
        <f aca="false">IF(LEN(A799&amp;"")=0,0,IF(ABS(L799)&gt;0.005,1,0))</f>
        <v>0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customFormat="false" ht="23" hidden="false" customHeight="true" outlineLevel="0" collapsed="false">
      <c r="A800" s="1" t="str">
        <f aca="false">IF(LEN(Base!A800&amp;"")=0,"",Base!A800)</f>
        <v/>
      </c>
      <c r="B800" s="60" t="str">
        <f aca="false">IF(LEN(A800&amp;"")=0,"",Base!D800)</f>
        <v/>
      </c>
      <c r="C800" s="1" t="str">
        <f aca="false">IF(LEN(A800&amp;"")=0,"",Base!C800)</f>
        <v/>
      </c>
      <c r="D800" s="1" t="str">
        <f aca="false">IF(LEN(A800&amp;"")=0,"",Base!G800)</f>
        <v/>
      </c>
      <c r="E800" s="1" t="str">
        <f aca="false">IF(LEN(A800&amp;"")=0,"",Base!E800)</f>
        <v/>
      </c>
      <c r="F800" s="61" t="str">
        <f aca="false">IF(LEN(A800&amp;"")=0,"",IF(Base!I800="-",0,Base!I800))</f>
        <v/>
      </c>
      <c r="G800" s="61" t="str">
        <f aca="false">IF(LEN(A800&amp;"")=0,"",SUM(Base!F800,F800,Base!K800))</f>
        <v/>
      </c>
      <c r="H800" s="61" t="str">
        <f aca="false">IF(LEN(A800&amp;"")=0,"",Base!L800)</f>
        <v/>
      </c>
      <c r="I800" s="61" t="str">
        <f aca="false">IF(LEN(A800&amp;"")=0,"",G800-H800)</f>
        <v/>
      </c>
      <c r="J800" s="61" t="str">
        <f aca="false">IF(LEN(A800&amp;"")=0,"",Base!M800)</f>
        <v/>
      </c>
      <c r="K800" s="1" t="n">
        <f aca="false">IF(OR(LEN(A800&amp;"")=0,$P$3=0),0,IF(AND(B800&gt;=Painel!$B$8,B800&lt;=Painel!$G$8,OR(Painel!$L$8="Todos",C800=Painel!$L$8),OR(Painel!$Q$8="Todos",D800=Painel!$Q$8),OR(Painel!$V$8="Todas",E800=Painel!$V$8)),1,0))</f>
        <v>0</v>
      </c>
      <c r="L800" s="61" t="str">
        <f aca="false">IF(LEN(A800&amp;"")=0,"",J800-I800)</f>
        <v/>
      </c>
      <c r="M800" s="1" t="n">
        <f aca="false">IF(LEN(A800&amp;"")=0,0,IF(COUNTIFS(Base!$A$7:$A$1006,A800)&gt;1,1,0))</f>
        <v>0</v>
      </c>
      <c r="N800" s="1" t="n">
        <f aca="false">IF(LEN(A800&amp;"")=0,0,IF(ABS(L800)&gt;0.005,1,0))</f>
        <v>0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customFormat="false" ht="23" hidden="false" customHeight="true" outlineLevel="0" collapsed="false">
      <c r="A801" s="1" t="str">
        <f aca="false">IF(LEN(Base!A801&amp;"")=0,"",Base!A801)</f>
        <v/>
      </c>
      <c r="B801" s="60" t="str">
        <f aca="false">IF(LEN(A801&amp;"")=0,"",Base!D801)</f>
        <v/>
      </c>
      <c r="C801" s="1" t="str">
        <f aca="false">IF(LEN(A801&amp;"")=0,"",Base!C801)</f>
        <v/>
      </c>
      <c r="D801" s="1" t="str">
        <f aca="false">IF(LEN(A801&amp;"")=0,"",Base!G801)</f>
        <v/>
      </c>
      <c r="E801" s="1" t="str">
        <f aca="false">IF(LEN(A801&amp;"")=0,"",Base!E801)</f>
        <v/>
      </c>
      <c r="F801" s="61" t="str">
        <f aca="false">IF(LEN(A801&amp;"")=0,"",IF(Base!I801="-",0,Base!I801))</f>
        <v/>
      </c>
      <c r="G801" s="61" t="str">
        <f aca="false">IF(LEN(A801&amp;"")=0,"",SUM(Base!F801,F801,Base!K801))</f>
        <v/>
      </c>
      <c r="H801" s="61" t="str">
        <f aca="false">IF(LEN(A801&amp;"")=0,"",Base!L801)</f>
        <v/>
      </c>
      <c r="I801" s="61" t="str">
        <f aca="false">IF(LEN(A801&amp;"")=0,"",G801-H801)</f>
        <v/>
      </c>
      <c r="J801" s="61" t="str">
        <f aca="false">IF(LEN(A801&amp;"")=0,"",Base!M801)</f>
        <v/>
      </c>
      <c r="K801" s="1" t="n">
        <f aca="false">IF(OR(LEN(A801&amp;"")=0,$P$3=0),0,IF(AND(B801&gt;=Painel!$B$8,B801&lt;=Painel!$G$8,OR(Painel!$L$8="Todos",C801=Painel!$L$8),OR(Painel!$Q$8="Todos",D801=Painel!$Q$8),OR(Painel!$V$8="Todas",E801=Painel!$V$8)),1,0))</f>
        <v>0</v>
      </c>
      <c r="L801" s="61" t="str">
        <f aca="false">IF(LEN(A801&amp;"")=0,"",J801-I801)</f>
        <v/>
      </c>
      <c r="M801" s="1" t="n">
        <f aca="false">IF(LEN(A801&amp;"")=0,0,IF(COUNTIFS(Base!$A$7:$A$1006,A801)&gt;1,1,0))</f>
        <v>0</v>
      </c>
      <c r="N801" s="1" t="n">
        <f aca="false">IF(LEN(A801&amp;"")=0,0,IF(ABS(L801)&gt;0.005,1,0))</f>
        <v>0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customFormat="false" ht="23" hidden="false" customHeight="true" outlineLevel="0" collapsed="false">
      <c r="A802" s="1" t="str">
        <f aca="false">IF(LEN(Base!A802&amp;"")=0,"",Base!A802)</f>
        <v/>
      </c>
      <c r="B802" s="60" t="str">
        <f aca="false">IF(LEN(A802&amp;"")=0,"",Base!D802)</f>
        <v/>
      </c>
      <c r="C802" s="1" t="str">
        <f aca="false">IF(LEN(A802&amp;"")=0,"",Base!C802)</f>
        <v/>
      </c>
      <c r="D802" s="1" t="str">
        <f aca="false">IF(LEN(A802&amp;"")=0,"",Base!G802)</f>
        <v/>
      </c>
      <c r="E802" s="1" t="str">
        <f aca="false">IF(LEN(A802&amp;"")=0,"",Base!E802)</f>
        <v/>
      </c>
      <c r="F802" s="61" t="str">
        <f aca="false">IF(LEN(A802&amp;"")=0,"",IF(Base!I802="-",0,Base!I802))</f>
        <v/>
      </c>
      <c r="G802" s="61" t="str">
        <f aca="false">IF(LEN(A802&amp;"")=0,"",SUM(Base!F802,F802,Base!K802))</f>
        <v/>
      </c>
      <c r="H802" s="61" t="str">
        <f aca="false">IF(LEN(A802&amp;"")=0,"",Base!L802)</f>
        <v/>
      </c>
      <c r="I802" s="61" t="str">
        <f aca="false">IF(LEN(A802&amp;"")=0,"",G802-H802)</f>
        <v/>
      </c>
      <c r="J802" s="61" t="str">
        <f aca="false">IF(LEN(A802&amp;"")=0,"",Base!M802)</f>
        <v/>
      </c>
      <c r="K802" s="1" t="n">
        <f aca="false">IF(OR(LEN(A802&amp;"")=0,$P$3=0),0,IF(AND(B802&gt;=Painel!$B$8,B802&lt;=Painel!$G$8,OR(Painel!$L$8="Todos",C802=Painel!$L$8),OR(Painel!$Q$8="Todos",D802=Painel!$Q$8),OR(Painel!$V$8="Todas",E802=Painel!$V$8)),1,0))</f>
        <v>0</v>
      </c>
      <c r="L802" s="61" t="str">
        <f aca="false">IF(LEN(A802&amp;"")=0,"",J802-I802)</f>
        <v/>
      </c>
      <c r="M802" s="1" t="n">
        <f aca="false">IF(LEN(A802&amp;"")=0,0,IF(COUNTIFS(Base!$A$7:$A$1006,A802)&gt;1,1,0))</f>
        <v>0</v>
      </c>
      <c r="N802" s="1" t="n">
        <f aca="false">IF(LEN(A802&amp;"")=0,0,IF(ABS(L802)&gt;0.005,1,0))</f>
        <v>0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customFormat="false" ht="23" hidden="false" customHeight="true" outlineLevel="0" collapsed="false">
      <c r="A803" s="1" t="str">
        <f aca="false">IF(LEN(Base!A803&amp;"")=0,"",Base!A803)</f>
        <v/>
      </c>
      <c r="B803" s="60" t="str">
        <f aca="false">IF(LEN(A803&amp;"")=0,"",Base!D803)</f>
        <v/>
      </c>
      <c r="C803" s="1" t="str">
        <f aca="false">IF(LEN(A803&amp;"")=0,"",Base!C803)</f>
        <v/>
      </c>
      <c r="D803" s="1" t="str">
        <f aca="false">IF(LEN(A803&amp;"")=0,"",Base!G803)</f>
        <v/>
      </c>
      <c r="E803" s="1" t="str">
        <f aca="false">IF(LEN(A803&amp;"")=0,"",Base!E803)</f>
        <v/>
      </c>
      <c r="F803" s="61" t="str">
        <f aca="false">IF(LEN(A803&amp;"")=0,"",IF(Base!I803="-",0,Base!I803))</f>
        <v/>
      </c>
      <c r="G803" s="61" t="str">
        <f aca="false">IF(LEN(A803&amp;"")=0,"",SUM(Base!F803,F803,Base!K803))</f>
        <v/>
      </c>
      <c r="H803" s="61" t="str">
        <f aca="false">IF(LEN(A803&amp;"")=0,"",Base!L803)</f>
        <v/>
      </c>
      <c r="I803" s="61" t="str">
        <f aca="false">IF(LEN(A803&amp;"")=0,"",G803-H803)</f>
        <v/>
      </c>
      <c r="J803" s="61" t="str">
        <f aca="false">IF(LEN(A803&amp;"")=0,"",Base!M803)</f>
        <v/>
      </c>
      <c r="K803" s="1" t="n">
        <f aca="false">IF(OR(LEN(A803&amp;"")=0,$P$3=0),0,IF(AND(B803&gt;=Painel!$B$8,B803&lt;=Painel!$G$8,OR(Painel!$L$8="Todos",C803=Painel!$L$8),OR(Painel!$Q$8="Todos",D803=Painel!$Q$8),OR(Painel!$V$8="Todas",E803=Painel!$V$8)),1,0))</f>
        <v>0</v>
      </c>
      <c r="L803" s="61" t="str">
        <f aca="false">IF(LEN(A803&amp;"")=0,"",J803-I803)</f>
        <v/>
      </c>
      <c r="M803" s="1" t="n">
        <f aca="false">IF(LEN(A803&amp;"")=0,0,IF(COUNTIFS(Base!$A$7:$A$1006,A803)&gt;1,1,0))</f>
        <v>0</v>
      </c>
      <c r="N803" s="1" t="n">
        <f aca="false">IF(LEN(A803&amp;"")=0,0,IF(ABS(L803)&gt;0.005,1,0))</f>
        <v>0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customFormat="false" ht="23" hidden="false" customHeight="true" outlineLevel="0" collapsed="false">
      <c r="A804" s="1" t="str">
        <f aca="false">IF(LEN(Base!A804&amp;"")=0,"",Base!A804)</f>
        <v/>
      </c>
      <c r="B804" s="60" t="str">
        <f aca="false">IF(LEN(A804&amp;"")=0,"",Base!D804)</f>
        <v/>
      </c>
      <c r="C804" s="1" t="str">
        <f aca="false">IF(LEN(A804&amp;"")=0,"",Base!C804)</f>
        <v/>
      </c>
      <c r="D804" s="1" t="str">
        <f aca="false">IF(LEN(A804&amp;"")=0,"",Base!G804)</f>
        <v/>
      </c>
      <c r="E804" s="1" t="str">
        <f aca="false">IF(LEN(A804&amp;"")=0,"",Base!E804)</f>
        <v/>
      </c>
      <c r="F804" s="61" t="str">
        <f aca="false">IF(LEN(A804&amp;"")=0,"",IF(Base!I804="-",0,Base!I804))</f>
        <v/>
      </c>
      <c r="G804" s="61" t="str">
        <f aca="false">IF(LEN(A804&amp;"")=0,"",SUM(Base!F804,F804,Base!K804))</f>
        <v/>
      </c>
      <c r="H804" s="61" t="str">
        <f aca="false">IF(LEN(A804&amp;"")=0,"",Base!L804)</f>
        <v/>
      </c>
      <c r="I804" s="61" t="str">
        <f aca="false">IF(LEN(A804&amp;"")=0,"",G804-H804)</f>
        <v/>
      </c>
      <c r="J804" s="61" t="str">
        <f aca="false">IF(LEN(A804&amp;"")=0,"",Base!M804)</f>
        <v/>
      </c>
      <c r="K804" s="1" t="n">
        <f aca="false">IF(OR(LEN(A804&amp;"")=0,$P$3=0),0,IF(AND(B804&gt;=Painel!$B$8,B804&lt;=Painel!$G$8,OR(Painel!$L$8="Todos",C804=Painel!$L$8),OR(Painel!$Q$8="Todos",D804=Painel!$Q$8),OR(Painel!$V$8="Todas",E804=Painel!$V$8)),1,0))</f>
        <v>0</v>
      </c>
      <c r="L804" s="61" t="str">
        <f aca="false">IF(LEN(A804&amp;"")=0,"",J804-I804)</f>
        <v/>
      </c>
      <c r="M804" s="1" t="n">
        <f aca="false">IF(LEN(A804&amp;"")=0,0,IF(COUNTIFS(Base!$A$7:$A$1006,A804)&gt;1,1,0))</f>
        <v>0</v>
      </c>
      <c r="N804" s="1" t="n">
        <f aca="false">IF(LEN(A804&amp;"")=0,0,IF(ABS(L804)&gt;0.005,1,0))</f>
        <v>0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customFormat="false" ht="23" hidden="false" customHeight="true" outlineLevel="0" collapsed="false">
      <c r="A805" s="1" t="str">
        <f aca="false">IF(LEN(Base!A805&amp;"")=0,"",Base!A805)</f>
        <v/>
      </c>
      <c r="B805" s="60" t="str">
        <f aca="false">IF(LEN(A805&amp;"")=0,"",Base!D805)</f>
        <v/>
      </c>
      <c r="C805" s="1" t="str">
        <f aca="false">IF(LEN(A805&amp;"")=0,"",Base!C805)</f>
        <v/>
      </c>
      <c r="D805" s="1" t="str">
        <f aca="false">IF(LEN(A805&amp;"")=0,"",Base!G805)</f>
        <v/>
      </c>
      <c r="E805" s="1" t="str">
        <f aca="false">IF(LEN(A805&amp;"")=0,"",Base!E805)</f>
        <v/>
      </c>
      <c r="F805" s="61" t="str">
        <f aca="false">IF(LEN(A805&amp;"")=0,"",IF(Base!I805="-",0,Base!I805))</f>
        <v/>
      </c>
      <c r="G805" s="61" t="str">
        <f aca="false">IF(LEN(A805&amp;"")=0,"",SUM(Base!F805,F805,Base!K805))</f>
        <v/>
      </c>
      <c r="H805" s="61" t="str">
        <f aca="false">IF(LEN(A805&amp;"")=0,"",Base!L805)</f>
        <v/>
      </c>
      <c r="I805" s="61" t="str">
        <f aca="false">IF(LEN(A805&amp;"")=0,"",G805-H805)</f>
        <v/>
      </c>
      <c r="J805" s="61" t="str">
        <f aca="false">IF(LEN(A805&amp;"")=0,"",Base!M805)</f>
        <v/>
      </c>
      <c r="K805" s="1" t="n">
        <f aca="false">IF(OR(LEN(A805&amp;"")=0,$P$3=0),0,IF(AND(B805&gt;=Painel!$B$8,B805&lt;=Painel!$G$8,OR(Painel!$L$8="Todos",C805=Painel!$L$8),OR(Painel!$Q$8="Todos",D805=Painel!$Q$8),OR(Painel!$V$8="Todas",E805=Painel!$V$8)),1,0))</f>
        <v>0</v>
      </c>
      <c r="L805" s="61" t="str">
        <f aca="false">IF(LEN(A805&amp;"")=0,"",J805-I805)</f>
        <v/>
      </c>
      <c r="M805" s="1" t="n">
        <f aca="false">IF(LEN(A805&amp;"")=0,0,IF(COUNTIFS(Base!$A$7:$A$1006,A805)&gt;1,1,0))</f>
        <v>0</v>
      </c>
      <c r="N805" s="1" t="n">
        <f aca="false">IF(LEN(A805&amp;"")=0,0,IF(ABS(L805)&gt;0.005,1,0))</f>
        <v>0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customFormat="false" ht="23" hidden="false" customHeight="true" outlineLevel="0" collapsed="false">
      <c r="A806" s="1" t="str">
        <f aca="false">IF(LEN(Base!A806&amp;"")=0,"",Base!A806)</f>
        <v/>
      </c>
      <c r="B806" s="60" t="str">
        <f aca="false">IF(LEN(A806&amp;"")=0,"",Base!D806)</f>
        <v/>
      </c>
      <c r="C806" s="1" t="str">
        <f aca="false">IF(LEN(A806&amp;"")=0,"",Base!C806)</f>
        <v/>
      </c>
      <c r="D806" s="1" t="str">
        <f aca="false">IF(LEN(A806&amp;"")=0,"",Base!G806)</f>
        <v/>
      </c>
      <c r="E806" s="1" t="str">
        <f aca="false">IF(LEN(A806&amp;"")=0,"",Base!E806)</f>
        <v/>
      </c>
      <c r="F806" s="61" t="str">
        <f aca="false">IF(LEN(A806&amp;"")=0,"",IF(Base!I806="-",0,Base!I806))</f>
        <v/>
      </c>
      <c r="G806" s="61" t="str">
        <f aca="false">IF(LEN(A806&amp;"")=0,"",SUM(Base!F806,F806,Base!K806))</f>
        <v/>
      </c>
      <c r="H806" s="61" t="str">
        <f aca="false">IF(LEN(A806&amp;"")=0,"",Base!L806)</f>
        <v/>
      </c>
      <c r="I806" s="61" t="str">
        <f aca="false">IF(LEN(A806&amp;"")=0,"",G806-H806)</f>
        <v/>
      </c>
      <c r="J806" s="61" t="str">
        <f aca="false">IF(LEN(A806&amp;"")=0,"",Base!M806)</f>
        <v/>
      </c>
      <c r="K806" s="1" t="n">
        <f aca="false">IF(OR(LEN(A806&amp;"")=0,$P$3=0),0,IF(AND(B806&gt;=Painel!$B$8,B806&lt;=Painel!$G$8,OR(Painel!$L$8="Todos",C806=Painel!$L$8),OR(Painel!$Q$8="Todos",D806=Painel!$Q$8),OR(Painel!$V$8="Todas",E806=Painel!$V$8)),1,0))</f>
        <v>0</v>
      </c>
      <c r="L806" s="61" t="str">
        <f aca="false">IF(LEN(A806&amp;"")=0,"",J806-I806)</f>
        <v/>
      </c>
      <c r="M806" s="1" t="n">
        <f aca="false">IF(LEN(A806&amp;"")=0,0,IF(COUNTIFS(Base!$A$7:$A$1006,A806)&gt;1,1,0))</f>
        <v>0</v>
      </c>
      <c r="N806" s="1" t="n">
        <f aca="false">IF(LEN(A806&amp;"")=0,0,IF(ABS(L806)&gt;0.005,1,0))</f>
        <v>0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customFormat="false" ht="23" hidden="false" customHeight="true" outlineLevel="0" collapsed="false">
      <c r="A807" s="1" t="str">
        <f aca="false">IF(LEN(Base!A807&amp;"")=0,"",Base!A807)</f>
        <v/>
      </c>
      <c r="B807" s="60" t="str">
        <f aca="false">IF(LEN(A807&amp;"")=0,"",Base!D807)</f>
        <v/>
      </c>
      <c r="C807" s="1" t="str">
        <f aca="false">IF(LEN(A807&amp;"")=0,"",Base!C807)</f>
        <v/>
      </c>
      <c r="D807" s="1" t="str">
        <f aca="false">IF(LEN(A807&amp;"")=0,"",Base!G807)</f>
        <v/>
      </c>
      <c r="E807" s="1" t="str">
        <f aca="false">IF(LEN(A807&amp;"")=0,"",Base!E807)</f>
        <v/>
      </c>
      <c r="F807" s="61" t="str">
        <f aca="false">IF(LEN(A807&amp;"")=0,"",IF(Base!I807="-",0,Base!I807))</f>
        <v/>
      </c>
      <c r="G807" s="61" t="str">
        <f aca="false">IF(LEN(A807&amp;"")=0,"",SUM(Base!F807,F807,Base!K807))</f>
        <v/>
      </c>
      <c r="H807" s="61" t="str">
        <f aca="false">IF(LEN(A807&amp;"")=0,"",Base!L807)</f>
        <v/>
      </c>
      <c r="I807" s="61" t="str">
        <f aca="false">IF(LEN(A807&amp;"")=0,"",G807-H807)</f>
        <v/>
      </c>
      <c r="J807" s="61" t="str">
        <f aca="false">IF(LEN(A807&amp;"")=0,"",Base!M807)</f>
        <v/>
      </c>
      <c r="K807" s="1" t="n">
        <f aca="false">IF(OR(LEN(A807&amp;"")=0,$P$3=0),0,IF(AND(B807&gt;=Painel!$B$8,B807&lt;=Painel!$G$8,OR(Painel!$L$8="Todos",C807=Painel!$L$8),OR(Painel!$Q$8="Todos",D807=Painel!$Q$8),OR(Painel!$V$8="Todas",E807=Painel!$V$8)),1,0))</f>
        <v>0</v>
      </c>
      <c r="L807" s="61" t="str">
        <f aca="false">IF(LEN(A807&amp;"")=0,"",J807-I807)</f>
        <v/>
      </c>
      <c r="M807" s="1" t="n">
        <f aca="false">IF(LEN(A807&amp;"")=0,0,IF(COUNTIFS(Base!$A$7:$A$1006,A807)&gt;1,1,0))</f>
        <v>0</v>
      </c>
      <c r="N807" s="1" t="n">
        <f aca="false">IF(LEN(A807&amp;"")=0,0,IF(ABS(L807)&gt;0.005,1,0))</f>
        <v>0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customFormat="false" ht="23" hidden="false" customHeight="true" outlineLevel="0" collapsed="false">
      <c r="A808" s="1" t="str">
        <f aca="false">IF(LEN(Base!A808&amp;"")=0,"",Base!A808)</f>
        <v/>
      </c>
      <c r="B808" s="60" t="str">
        <f aca="false">IF(LEN(A808&amp;"")=0,"",Base!D808)</f>
        <v/>
      </c>
      <c r="C808" s="1" t="str">
        <f aca="false">IF(LEN(A808&amp;"")=0,"",Base!C808)</f>
        <v/>
      </c>
      <c r="D808" s="1" t="str">
        <f aca="false">IF(LEN(A808&amp;"")=0,"",Base!G808)</f>
        <v/>
      </c>
      <c r="E808" s="1" t="str">
        <f aca="false">IF(LEN(A808&amp;"")=0,"",Base!E808)</f>
        <v/>
      </c>
      <c r="F808" s="61" t="str">
        <f aca="false">IF(LEN(A808&amp;"")=0,"",IF(Base!I808="-",0,Base!I808))</f>
        <v/>
      </c>
      <c r="G808" s="61" t="str">
        <f aca="false">IF(LEN(A808&amp;"")=0,"",SUM(Base!F808,F808,Base!K808))</f>
        <v/>
      </c>
      <c r="H808" s="61" t="str">
        <f aca="false">IF(LEN(A808&amp;"")=0,"",Base!L808)</f>
        <v/>
      </c>
      <c r="I808" s="61" t="str">
        <f aca="false">IF(LEN(A808&amp;"")=0,"",G808-H808)</f>
        <v/>
      </c>
      <c r="J808" s="61" t="str">
        <f aca="false">IF(LEN(A808&amp;"")=0,"",Base!M808)</f>
        <v/>
      </c>
      <c r="K808" s="1" t="n">
        <f aca="false">IF(OR(LEN(A808&amp;"")=0,$P$3=0),0,IF(AND(B808&gt;=Painel!$B$8,B808&lt;=Painel!$G$8,OR(Painel!$L$8="Todos",C808=Painel!$L$8),OR(Painel!$Q$8="Todos",D808=Painel!$Q$8),OR(Painel!$V$8="Todas",E808=Painel!$V$8)),1,0))</f>
        <v>0</v>
      </c>
      <c r="L808" s="61" t="str">
        <f aca="false">IF(LEN(A808&amp;"")=0,"",J808-I808)</f>
        <v/>
      </c>
      <c r="M808" s="1" t="n">
        <f aca="false">IF(LEN(A808&amp;"")=0,0,IF(COUNTIFS(Base!$A$7:$A$1006,A808)&gt;1,1,0))</f>
        <v>0</v>
      </c>
      <c r="N808" s="1" t="n">
        <f aca="false">IF(LEN(A808&amp;"")=0,0,IF(ABS(L808)&gt;0.005,1,0))</f>
        <v>0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customFormat="false" ht="23" hidden="false" customHeight="true" outlineLevel="0" collapsed="false">
      <c r="A809" s="1" t="str">
        <f aca="false">IF(LEN(Base!A809&amp;"")=0,"",Base!A809)</f>
        <v/>
      </c>
      <c r="B809" s="60" t="str">
        <f aca="false">IF(LEN(A809&amp;"")=0,"",Base!D809)</f>
        <v/>
      </c>
      <c r="C809" s="1" t="str">
        <f aca="false">IF(LEN(A809&amp;"")=0,"",Base!C809)</f>
        <v/>
      </c>
      <c r="D809" s="1" t="str">
        <f aca="false">IF(LEN(A809&amp;"")=0,"",Base!G809)</f>
        <v/>
      </c>
      <c r="E809" s="1" t="str">
        <f aca="false">IF(LEN(A809&amp;"")=0,"",Base!E809)</f>
        <v/>
      </c>
      <c r="F809" s="61" t="str">
        <f aca="false">IF(LEN(A809&amp;"")=0,"",IF(Base!I809="-",0,Base!I809))</f>
        <v/>
      </c>
      <c r="G809" s="61" t="str">
        <f aca="false">IF(LEN(A809&amp;"")=0,"",SUM(Base!F809,F809,Base!K809))</f>
        <v/>
      </c>
      <c r="H809" s="61" t="str">
        <f aca="false">IF(LEN(A809&amp;"")=0,"",Base!L809)</f>
        <v/>
      </c>
      <c r="I809" s="61" t="str">
        <f aca="false">IF(LEN(A809&amp;"")=0,"",G809-H809)</f>
        <v/>
      </c>
      <c r="J809" s="61" t="str">
        <f aca="false">IF(LEN(A809&amp;"")=0,"",Base!M809)</f>
        <v/>
      </c>
      <c r="K809" s="1" t="n">
        <f aca="false">IF(OR(LEN(A809&amp;"")=0,$P$3=0),0,IF(AND(B809&gt;=Painel!$B$8,B809&lt;=Painel!$G$8,OR(Painel!$L$8="Todos",C809=Painel!$L$8),OR(Painel!$Q$8="Todos",D809=Painel!$Q$8),OR(Painel!$V$8="Todas",E809=Painel!$V$8)),1,0))</f>
        <v>0</v>
      </c>
      <c r="L809" s="61" t="str">
        <f aca="false">IF(LEN(A809&amp;"")=0,"",J809-I809)</f>
        <v/>
      </c>
      <c r="M809" s="1" t="n">
        <f aca="false">IF(LEN(A809&amp;"")=0,0,IF(COUNTIFS(Base!$A$7:$A$1006,A809)&gt;1,1,0))</f>
        <v>0</v>
      </c>
      <c r="N809" s="1" t="n">
        <f aca="false">IF(LEN(A809&amp;"")=0,0,IF(ABS(L809)&gt;0.005,1,0))</f>
        <v>0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customFormat="false" ht="23" hidden="false" customHeight="true" outlineLevel="0" collapsed="false">
      <c r="A810" s="1" t="str">
        <f aca="false">IF(LEN(Base!A810&amp;"")=0,"",Base!A810)</f>
        <v/>
      </c>
      <c r="B810" s="60" t="str">
        <f aca="false">IF(LEN(A810&amp;"")=0,"",Base!D810)</f>
        <v/>
      </c>
      <c r="C810" s="1" t="str">
        <f aca="false">IF(LEN(A810&amp;"")=0,"",Base!C810)</f>
        <v/>
      </c>
      <c r="D810" s="1" t="str">
        <f aca="false">IF(LEN(A810&amp;"")=0,"",Base!G810)</f>
        <v/>
      </c>
      <c r="E810" s="1" t="str">
        <f aca="false">IF(LEN(A810&amp;"")=0,"",Base!E810)</f>
        <v/>
      </c>
      <c r="F810" s="61" t="str">
        <f aca="false">IF(LEN(A810&amp;"")=0,"",IF(Base!I810="-",0,Base!I810))</f>
        <v/>
      </c>
      <c r="G810" s="61" t="str">
        <f aca="false">IF(LEN(A810&amp;"")=0,"",SUM(Base!F810,F810,Base!K810))</f>
        <v/>
      </c>
      <c r="H810" s="61" t="str">
        <f aca="false">IF(LEN(A810&amp;"")=0,"",Base!L810)</f>
        <v/>
      </c>
      <c r="I810" s="61" t="str">
        <f aca="false">IF(LEN(A810&amp;"")=0,"",G810-H810)</f>
        <v/>
      </c>
      <c r="J810" s="61" t="str">
        <f aca="false">IF(LEN(A810&amp;"")=0,"",Base!M810)</f>
        <v/>
      </c>
      <c r="K810" s="1" t="n">
        <f aca="false">IF(OR(LEN(A810&amp;"")=0,$P$3=0),0,IF(AND(B810&gt;=Painel!$B$8,B810&lt;=Painel!$G$8,OR(Painel!$L$8="Todos",C810=Painel!$L$8),OR(Painel!$Q$8="Todos",D810=Painel!$Q$8),OR(Painel!$V$8="Todas",E810=Painel!$V$8)),1,0))</f>
        <v>0</v>
      </c>
      <c r="L810" s="61" t="str">
        <f aca="false">IF(LEN(A810&amp;"")=0,"",J810-I810)</f>
        <v/>
      </c>
      <c r="M810" s="1" t="n">
        <f aca="false">IF(LEN(A810&amp;"")=0,0,IF(COUNTIFS(Base!$A$7:$A$1006,A810)&gt;1,1,0))</f>
        <v>0</v>
      </c>
      <c r="N810" s="1" t="n">
        <f aca="false">IF(LEN(A810&amp;"")=0,0,IF(ABS(L810)&gt;0.005,1,0))</f>
        <v>0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customFormat="false" ht="23" hidden="false" customHeight="true" outlineLevel="0" collapsed="false">
      <c r="A811" s="1" t="str">
        <f aca="false">IF(LEN(Base!A811&amp;"")=0,"",Base!A811)</f>
        <v/>
      </c>
      <c r="B811" s="60" t="str">
        <f aca="false">IF(LEN(A811&amp;"")=0,"",Base!D811)</f>
        <v/>
      </c>
      <c r="C811" s="1" t="str">
        <f aca="false">IF(LEN(A811&amp;"")=0,"",Base!C811)</f>
        <v/>
      </c>
      <c r="D811" s="1" t="str">
        <f aca="false">IF(LEN(A811&amp;"")=0,"",Base!G811)</f>
        <v/>
      </c>
      <c r="E811" s="1" t="str">
        <f aca="false">IF(LEN(A811&amp;"")=0,"",Base!E811)</f>
        <v/>
      </c>
      <c r="F811" s="61" t="str">
        <f aca="false">IF(LEN(A811&amp;"")=0,"",IF(Base!I811="-",0,Base!I811))</f>
        <v/>
      </c>
      <c r="G811" s="61" t="str">
        <f aca="false">IF(LEN(A811&amp;"")=0,"",SUM(Base!F811,F811,Base!K811))</f>
        <v/>
      </c>
      <c r="H811" s="61" t="str">
        <f aca="false">IF(LEN(A811&amp;"")=0,"",Base!L811)</f>
        <v/>
      </c>
      <c r="I811" s="61" t="str">
        <f aca="false">IF(LEN(A811&amp;"")=0,"",G811-H811)</f>
        <v/>
      </c>
      <c r="J811" s="61" t="str">
        <f aca="false">IF(LEN(A811&amp;"")=0,"",Base!M811)</f>
        <v/>
      </c>
      <c r="K811" s="1" t="n">
        <f aca="false">IF(OR(LEN(A811&amp;"")=0,$P$3=0),0,IF(AND(B811&gt;=Painel!$B$8,B811&lt;=Painel!$G$8,OR(Painel!$L$8="Todos",C811=Painel!$L$8),OR(Painel!$Q$8="Todos",D811=Painel!$Q$8),OR(Painel!$V$8="Todas",E811=Painel!$V$8)),1,0))</f>
        <v>0</v>
      </c>
      <c r="L811" s="61" t="str">
        <f aca="false">IF(LEN(A811&amp;"")=0,"",J811-I811)</f>
        <v/>
      </c>
      <c r="M811" s="1" t="n">
        <f aca="false">IF(LEN(A811&amp;"")=0,0,IF(COUNTIFS(Base!$A$7:$A$1006,A811)&gt;1,1,0))</f>
        <v>0</v>
      </c>
      <c r="N811" s="1" t="n">
        <f aca="false">IF(LEN(A811&amp;"")=0,0,IF(ABS(L811)&gt;0.005,1,0))</f>
        <v>0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customFormat="false" ht="23" hidden="false" customHeight="true" outlineLevel="0" collapsed="false">
      <c r="A812" s="1" t="str">
        <f aca="false">IF(LEN(Base!A812&amp;"")=0,"",Base!A812)</f>
        <v/>
      </c>
      <c r="B812" s="60" t="str">
        <f aca="false">IF(LEN(A812&amp;"")=0,"",Base!D812)</f>
        <v/>
      </c>
      <c r="C812" s="1" t="str">
        <f aca="false">IF(LEN(A812&amp;"")=0,"",Base!C812)</f>
        <v/>
      </c>
      <c r="D812" s="1" t="str">
        <f aca="false">IF(LEN(A812&amp;"")=0,"",Base!G812)</f>
        <v/>
      </c>
      <c r="E812" s="1" t="str">
        <f aca="false">IF(LEN(A812&amp;"")=0,"",Base!E812)</f>
        <v/>
      </c>
      <c r="F812" s="61" t="str">
        <f aca="false">IF(LEN(A812&amp;"")=0,"",IF(Base!I812="-",0,Base!I812))</f>
        <v/>
      </c>
      <c r="G812" s="61" t="str">
        <f aca="false">IF(LEN(A812&amp;"")=0,"",SUM(Base!F812,F812,Base!K812))</f>
        <v/>
      </c>
      <c r="H812" s="61" t="str">
        <f aca="false">IF(LEN(A812&amp;"")=0,"",Base!L812)</f>
        <v/>
      </c>
      <c r="I812" s="61" t="str">
        <f aca="false">IF(LEN(A812&amp;"")=0,"",G812-H812)</f>
        <v/>
      </c>
      <c r="J812" s="61" t="str">
        <f aca="false">IF(LEN(A812&amp;"")=0,"",Base!M812)</f>
        <v/>
      </c>
      <c r="K812" s="1" t="n">
        <f aca="false">IF(OR(LEN(A812&amp;"")=0,$P$3=0),0,IF(AND(B812&gt;=Painel!$B$8,B812&lt;=Painel!$G$8,OR(Painel!$L$8="Todos",C812=Painel!$L$8),OR(Painel!$Q$8="Todos",D812=Painel!$Q$8),OR(Painel!$V$8="Todas",E812=Painel!$V$8)),1,0))</f>
        <v>0</v>
      </c>
      <c r="L812" s="61" t="str">
        <f aca="false">IF(LEN(A812&amp;"")=0,"",J812-I812)</f>
        <v/>
      </c>
      <c r="M812" s="1" t="n">
        <f aca="false">IF(LEN(A812&amp;"")=0,0,IF(COUNTIFS(Base!$A$7:$A$1006,A812)&gt;1,1,0))</f>
        <v>0</v>
      </c>
      <c r="N812" s="1" t="n">
        <f aca="false">IF(LEN(A812&amp;"")=0,0,IF(ABS(L812)&gt;0.005,1,0))</f>
        <v>0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customFormat="false" ht="23" hidden="false" customHeight="true" outlineLevel="0" collapsed="false">
      <c r="A813" s="1" t="str">
        <f aca="false">IF(LEN(Base!A813&amp;"")=0,"",Base!A813)</f>
        <v/>
      </c>
      <c r="B813" s="60" t="str">
        <f aca="false">IF(LEN(A813&amp;"")=0,"",Base!D813)</f>
        <v/>
      </c>
      <c r="C813" s="1" t="str">
        <f aca="false">IF(LEN(A813&amp;"")=0,"",Base!C813)</f>
        <v/>
      </c>
      <c r="D813" s="1" t="str">
        <f aca="false">IF(LEN(A813&amp;"")=0,"",Base!G813)</f>
        <v/>
      </c>
      <c r="E813" s="1" t="str">
        <f aca="false">IF(LEN(A813&amp;"")=0,"",Base!E813)</f>
        <v/>
      </c>
      <c r="F813" s="61" t="str">
        <f aca="false">IF(LEN(A813&amp;"")=0,"",IF(Base!I813="-",0,Base!I813))</f>
        <v/>
      </c>
      <c r="G813" s="61" t="str">
        <f aca="false">IF(LEN(A813&amp;"")=0,"",SUM(Base!F813,F813,Base!K813))</f>
        <v/>
      </c>
      <c r="H813" s="61" t="str">
        <f aca="false">IF(LEN(A813&amp;"")=0,"",Base!L813)</f>
        <v/>
      </c>
      <c r="I813" s="61" t="str">
        <f aca="false">IF(LEN(A813&amp;"")=0,"",G813-H813)</f>
        <v/>
      </c>
      <c r="J813" s="61" t="str">
        <f aca="false">IF(LEN(A813&amp;"")=0,"",Base!M813)</f>
        <v/>
      </c>
      <c r="K813" s="1" t="n">
        <f aca="false">IF(OR(LEN(A813&amp;"")=0,$P$3=0),0,IF(AND(B813&gt;=Painel!$B$8,B813&lt;=Painel!$G$8,OR(Painel!$L$8="Todos",C813=Painel!$L$8),OR(Painel!$Q$8="Todos",D813=Painel!$Q$8),OR(Painel!$V$8="Todas",E813=Painel!$V$8)),1,0))</f>
        <v>0</v>
      </c>
      <c r="L813" s="61" t="str">
        <f aca="false">IF(LEN(A813&amp;"")=0,"",J813-I813)</f>
        <v/>
      </c>
      <c r="M813" s="1" t="n">
        <f aca="false">IF(LEN(A813&amp;"")=0,0,IF(COUNTIFS(Base!$A$7:$A$1006,A813)&gt;1,1,0))</f>
        <v>0</v>
      </c>
      <c r="N813" s="1" t="n">
        <f aca="false">IF(LEN(A813&amp;"")=0,0,IF(ABS(L813)&gt;0.005,1,0))</f>
        <v>0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customFormat="false" ht="23" hidden="false" customHeight="true" outlineLevel="0" collapsed="false">
      <c r="A814" s="1" t="str">
        <f aca="false">IF(LEN(Base!A814&amp;"")=0,"",Base!A814)</f>
        <v/>
      </c>
      <c r="B814" s="60" t="str">
        <f aca="false">IF(LEN(A814&amp;"")=0,"",Base!D814)</f>
        <v/>
      </c>
      <c r="C814" s="1" t="str">
        <f aca="false">IF(LEN(A814&amp;"")=0,"",Base!C814)</f>
        <v/>
      </c>
      <c r="D814" s="1" t="str">
        <f aca="false">IF(LEN(A814&amp;"")=0,"",Base!G814)</f>
        <v/>
      </c>
      <c r="E814" s="1" t="str">
        <f aca="false">IF(LEN(A814&amp;"")=0,"",Base!E814)</f>
        <v/>
      </c>
      <c r="F814" s="61" t="str">
        <f aca="false">IF(LEN(A814&amp;"")=0,"",IF(Base!I814="-",0,Base!I814))</f>
        <v/>
      </c>
      <c r="G814" s="61" t="str">
        <f aca="false">IF(LEN(A814&amp;"")=0,"",SUM(Base!F814,F814,Base!K814))</f>
        <v/>
      </c>
      <c r="H814" s="61" t="str">
        <f aca="false">IF(LEN(A814&amp;"")=0,"",Base!L814)</f>
        <v/>
      </c>
      <c r="I814" s="61" t="str">
        <f aca="false">IF(LEN(A814&amp;"")=0,"",G814-H814)</f>
        <v/>
      </c>
      <c r="J814" s="61" t="str">
        <f aca="false">IF(LEN(A814&amp;"")=0,"",Base!M814)</f>
        <v/>
      </c>
      <c r="K814" s="1" t="n">
        <f aca="false">IF(OR(LEN(A814&amp;"")=0,$P$3=0),0,IF(AND(B814&gt;=Painel!$B$8,B814&lt;=Painel!$G$8,OR(Painel!$L$8="Todos",C814=Painel!$L$8),OR(Painel!$Q$8="Todos",D814=Painel!$Q$8),OR(Painel!$V$8="Todas",E814=Painel!$V$8)),1,0))</f>
        <v>0</v>
      </c>
      <c r="L814" s="61" t="str">
        <f aca="false">IF(LEN(A814&amp;"")=0,"",J814-I814)</f>
        <v/>
      </c>
      <c r="M814" s="1" t="n">
        <f aca="false">IF(LEN(A814&amp;"")=0,0,IF(COUNTIFS(Base!$A$7:$A$1006,A814)&gt;1,1,0))</f>
        <v>0</v>
      </c>
      <c r="N814" s="1" t="n">
        <f aca="false">IF(LEN(A814&amp;"")=0,0,IF(ABS(L814)&gt;0.005,1,0))</f>
        <v>0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customFormat="false" ht="23" hidden="false" customHeight="true" outlineLevel="0" collapsed="false">
      <c r="A815" s="1" t="str">
        <f aca="false">IF(LEN(Base!A815&amp;"")=0,"",Base!A815)</f>
        <v/>
      </c>
      <c r="B815" s="60" t="str">
        <f aca="false">IF(LEN(A815&amp;"")=0,"",Base!D815)</f>
        <v/>
      </c>
      <c r="C815" s="1" t="str">
        <f aca="false">IF(LEN(A815&amp;"")=0,"",Base!C815)</f>
        <v/>
      </c>
      <c r="D815" s="1" t="str">
        <f aca="false">IF(LEN(A815&amp;"")=0,"",Base!G815)</f>
        <v/>
      </c>
      <c r="E815" s="1" t="str">
        <f aca="false">IF(LEN(A815&amp;"")=0,"",Base!E815)</f>
        <v/>
      </c>
      <c r="F815" s="61" t="str">
        <f aca="false">IF(LEN(A815&amp;"")=0,"",IF(Base!I815="-",0,Base!I815))</f>
        <v/>
      </c>
      <c r="G815" s="61" t="str">
        <f aca="false">IF(LEN(A815&amp;"")=0,"",SUM(Base!F815,F815,Base!K815))</f>
        <v/>
      </c>
      <c r="H815" s="61" t="str">
        <f aca="false">IF(LEN(A815&amp;"")=0,"",Base!L815)</f>
        <v/>
      </c>
      <c r="I815" s="61" t="str">
        <f aca="false">IF(LEN(A815&amp;"")=0,"",G815-H815)</f>
        <v/>
      </c>
      <c r="J815" s="61" t="str">
        <f aca="false">IF(LEN(A815&amp;"")=0,"",Base!M815)</f>
        <v/>
      </c>
      <c r="K815" s="1" t="n">
        <f aca="false">IF(OR(LEN(A815&amp;"")=0,$P$3=0),0,IF(AND(B815&gt;=Painel!$B$8,B815&lt;=Painel!$G$8,OR(Painel!$L$8="Todos",C815=Painel!$L$8),OR(Painel!$Q$8="Todos",D815=Painel!$Q$8),OR(Painel!$V$8="Todas",E815=Painel!$V$8)),1,0))</f>
        <v>0</v>
      </c>
      <c r="L815" s="61" t="str">
        <f aca="false">IF(LEN(A815&amp;"")=0,"",J815-I815)</f>
        <v/>
      </c>
      <c r="M815" s="1" t="n">
        <f aca="false">IF(LEN(A815&amp;"")=0,0,IF(COUNTIFS(Base!$A$7:$A$1006,A815)&gt;1,1,0))</f>
        <v>0</v>
      </c>
      <c r="N815" s="1" t="n">
        <f aca="false">IF(LEN(A815&amp;"")=0,0,IF(ABS(L815)&gt;0.005,1,0))</f>
        <v>0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customFormat="false" ht="23" hidden="false" customHeight="true" outlineLevel="0" collapsed="false">
      <c r="A816" s="1" t="str">
        <f aca="false">IF(LEN(Base!A816&amp;"")=0,"",Base!A816)</f>
        <v/>
      </c>
      <c r="B816" s="60" t="str">
        <f aca="false">IF(LEN(A816&amp;"")=0,"",Base!D816)</f>
        <v/>
      </c>
      <c r="C816" s="1" t="str">
        <f aca="false">IF(LEN(A816&amp;"")=0,"",Base!C816)</f>
        <v/>
      </c>
      <c r="D816" s="1" t="str">
        <f aca="false">IF(LEN(A816&amp;"")=0,"",Base!G816)</f>
        <v/>
      </c>
      <c r="E816" s="1" t="str">
        <f aca="false">IF(LEN(A816&amp;"")=0,"",Base!E816)</f>
        <v/>
      </c>
      <c r="F816" s="61" t="str">
        <f aca="false">IF(LEN(A816&amp;"")=0,"",IF(Base!I816="-",0,Base!I816))</f>
        <v/>
      </c>
      <c r="G816" s="61" t="str">
        <f aca="false">IF(LEN(A816&amp;"")=0,"",SUM(Base!F816,F816,Base!K816))</f>
        <v/>
      </c>
      <c r="H816" s="61" t="str">
        <f aca="false">IF(LEN(A816&amp;"")=0,"",Base!L816)</f>
        <v/>
      </c>
      <c r="I816" s="61" t="str">
        <f aca="false">IF(LEN(A816&amp;"")=0,"",G816-H816)</f>
        <v/>
      </c>
      <c r="J816" s="61" t="str">
        <f aca="false">IF(LEN(A816&amp;"")=0,"",Base!M816)</f>
        <v/>
      </c>
      <c r="K816" s="1" t="n">
        <f aca="false">IF(OR(LEN(A816&amp;"")=0,$P$3=0),0,IF(AND(B816&gt;=Painel!$B$8,B816&lt;=Painel!$G$8,OR(Painel!$L$8="Todos",C816=Painel!$L$8),OR(Painel!$Q$8="Todos",D816=Painel!$Q$8),OR(Painel!$V$8="Todas",E816=Painel!$V$8)),1,0))</f>
        <v>0</v>
      </c>
      <c r="L816" s="61" t="str">
        <f aca="false">IF(LEN(A816&amp;"")=0,"",J816-I816)</f>
        <v/>
      </c>
      <c r="M816" s="1" t="n">
        <f aca="false">IF(LEN(A816&amp;"")=0,0,IF(COUNTIFS(Base!$A$7:$A$1006,A816)&gt;1,1,0))</f>
        <v>0</v>
      </c>
      <c r="N816" s="1" t="n">
        <f aca="false">IF(LEN(A816&amp;"")=0,0,IF(ABS(L816)&gt;0.005,1,0))</f>
        <v>0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customFormat="false" ht="23" hidden="false" customHeight="true" outlineLevel="0" collapsed="false">
      <c r="A817" s="1" t="str">
        <f aca="false">IF(LEN(Base!A817&amp;"")=0,"",Base!A817)</f>
        <v/>
      </c>
      <c r="B817" s="60" t="str">
        <f aca="false">IF(LEN(A817&amp;"")=0,"",Base!D817)</f>
        <v/>
      </c>
      <c r="C817" s="1" t="str">
        <f aca="false">IF(LEN(A817&amp;"")=0,"",Base!C817)</f>
        <v/>
      </c>
      <c r="D817" s="1" t="str">
        <f aca="false">IF(LEN(A817&amp;"")=0,"",Base!G817)</f>
        <v/>
      </c>
      <c r="E817" s="1" t="str">
        <f aca="false">IF(LEN(A817&amp;"")=0,"",Base!E817)</f>
        <v/>
      </c>
      <c r="F817" s="61" t="str">
        <f aca="false">IF(LEN(A817&amp;"")=0,"",IF(Base!I817="-",0,Base!I817))</f>
        <v/>
      </c>
      <c r="G817" s="61" t="str">
        <f aca="false">IF(LEN(A817&amp;"")=0,"",SUM(Base!F817,F817,Base!K817))</f>
        <v/>
      </c>
      <c r="H817" s="61" t="str">
        <f aca="false">IF(LEN(A817&amp;"")=0,"",Base!L817)</f>
        <v/>
      </c>
      <c r="I817" s="61" t="str">
        <f aca="false">IF(LEN(A817&amp;"")=0,"",G817-H817)</f>
        <v/>
      </c>
      <c r="J817" s="61" t="str">
        <f aca="false">IF(LEN(A817&amp;"")=0,"",Base!M817)</f>
        <v/>
      </c>
      <c r="K817" s="1" t="n">
        <f aca="false">IF(OR(LEN(A817&amp;"")=0,$P$3=0),0,IF(AND(B817&gt;=Painel!$B$8,B817&lt;=Painel!$G$8,OR(Painel!$L$8="Todos",C817=Painel!$L$8),OR(Painel!$Q$8="Todos",D817=Painel!$Q$8),OR(Painel!$V$8="Todas",E817=Painel!$V$8)),1,0))</f>
        <v>0</v>
      </c>
      <c r="L817" s="61" t="str">
        <f aca="false">IF(LEN(A817&amp;"")=0,"",J817-I817)</f>
        <v/>
      </c>
      <c r="M817" s="1" t="n">
        <f aca="false">IF(LEN(A817&amp;"")=0,0,IF(COUNTIFS(Base!$A$7:$A$1006,A817)&gt;1,1,0))</f>
        <v>0</v>
      </c>
      <c r="N817" s="1" t="n">
        <f aca="false">IF(LEN(A817&amp;"")=0,0,IF(ABS(L817)&gt;0.005,1,0))</f>
        <v>0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customFormat="false" ht="23" hidden="false" customHeight="true" outlineLevel="0" collapsed="false">
      <c r="A818" s="1" t="str">
        <f aca="false">IF(LEN(Base!A818&amp;"")=0,"",Base!A818)</f>
        <v/>
      </c>
      <c r="B818" s="60" t="str">
        <f aca="false">IF(LEN(A818&amp;"")=0,"",Base!D818)</f>
        <v/>
      </c>
      <c r="C818" s="1" t="str">
        <f aca="false">IF(LEN(A818&amp;"")=0,"",Base!C818)</f>
        <v/>
      </c>
      <c r="D818" s="1" t="str">
        <f aca="false">IF(LEN(A818&amp;"")=0,"",Base!G818)</f>
        <v/>
      </c>
      <c r="E818" s="1" t="str">
        <f aca="false">IF(LEN(A818&amp;"")=0,"",Base!E818)</f>
        <v/>
      </c>
      <c r="F818" s="61" t="str">
        <f aca="false">IF(LEN(A818&amp;"")=0,"",IF(Base!I818="-",0,Base!I818))</f>
        <v/>
      </c>
      <c r="G818" s="61" t="str">
        <f aca="false">IF(LEN(A818&amp;"")=0,"",SUM(Base!F818,F818,Base!K818))</f>
        <v/>
      </c>
      <c r="H818" s="61" t="str">
        <f aca="false">IF(LEN(A818&amp;"")=0,"",Base!L818)</f>
        <v/>
      </c>
      <c r="I818" s="61" t="str">
        <f aca="false">IF(LEN(A818&amp;"")=0,"",G818-H818)</f>
        <v/>
      </c>
      <c r="J818" s="61" t="str">
        <f aca="false">IF(LEN(A818&amp;"")=0,"",Base!M818)</f>
        <v/>
      </c>
      <c r="K818" s="1" t="n">
        <f aca="false">IF(OR(LEN(A818&amp;"")=0,$P$3=0),0,IF(AND(B818&gt;=Painel!$B$8,B818&lt;=Painel!$G$8,OR(Painel!$L$8="Todos",C818=Painel!$L$8),OR(Painel!$Q$8="Todos",D818=Painel!$Q$8),OR(Painel!$V$8="Todas",E818=Painel!$V$8)),1,0))</f>
        <v>0</v>
      </c>
      <c r="L818" s="61" t="str">
        <f aca="false">IF(LEN(A818&amp;"")=0,"",J818-I818)</f>
        <v/>
      </c>
      <c r="M818" s="1" t="n">
        <f aca="false">IF(LEN(A818&amp;"")=0,0,IF(COUNTIFS(Base!$A$7:$A$1006,A818)&gt;1,1,0))</f>
        <v>0</v>
      </c>
      <c r="N818" s="1" t="n">
        <f aca="false">IF(LEN(A818&amp;"")=0,0,IF(ABS(L818)&gt;0.005,1,0))</f>
        <v>0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customFormat="false" ht="23" hidden="false" customHeight="true" outlineLevel="0" collapsed="false">
      <c r="A819" s="1" t="str">
        <f aca="false">IF(LEN(Base!A819&amp;"")=0,"",Base!A819)</f>
        <v/>
      </c>
      <c r="B819" s="60" t="str">
        <f aca="false">IF(LEN(A819&amp;"")=0,"",Base!D819)</f>
        <v/>
      </c>
      <c r="C819" s="1" t="str">
        <f aca="false">IF(LEN(A819&amp;"")=0,"",Base!C819)</f>
        <v/>
      </c>
      <c r="D819" s="1" t="str">
        <f aca="false">IF(LEN(A819&amp;"")=0,"",Base!G819)</f>
        <v/>
      </c>
      <c r="E819" s="1" t="str">
        <f aca="false">IF(LEN(A819&amp;"")=0,"",Base!E819)</f>
        <v/>
      </c>
      <c r="F819" s="61" t="str">
        <f aca="false">IF(LEN(A819&amp;"")=0,"",IF(Base!I819="-",0,Base!I819))</f>
        <v/>
      </c>
      <c r="G819" s="61" t="str">
        <f aca="false">IF(LEN(A819&amp;"")=0,"",SUM(Base!F819,F819,Base!K819))</f>
        <v/>
      </c>
      <c r="H819" s="61" t="str">
        <f aca="false">IF(LEN(A819&amp;"")=0,"",Base!L819)</f>
        <v/>
      </c>
      <c r="I819" s="61" t="str">
        <f aca="false">IF(LEN(A819&amp;"")=0,"",G819-H819)</f>
        <v/>
      </c>
      <c r="J819" s="61" t="str">
        <f aca="false">IF(LEN(A819&amp;"")=0,"",Base!M819)</f>
        <v/>
      </c>
      <c r="K819" s="1" t="n">
        <f aca="false">IF(OR(LEN(A819&amp;"")=0,$P$3=0),0,IF(AND(B819&gt;=Painel!$B$8,B819&lt;=Painel!$G$8,OR(Painel!$L$8="Todos",C819=Painel!$L$8),OR(Painel!$Q$8="Todos",D819=Painel!$Q$8),OR(Painel!$V$8="Todas",E819=Painel!$V$8)),1,0))</f>
        <v>0</v>
      </c>
      <c r="L819" s="61" t="str">
        <f aca="false">IF(LEN(A819&amp;"")=0,"",J819-I819)</f>
        <v/>
      </c>
      <c r="M819" s="1" t="n">
        <f aca="false">IF(LEN(A819&amp;"")=0,0,IF(COUNTIFS(Base!$A$7:$A$1006,A819)&gt;1,1,0))</f>
        <v>0</v>
      </c>
      <c r="N819" s="1" t="n">
        <f aca="false">IF(LEN(A819&amp;"")=0,0,IF(ABS(L819)&gt;0.005,1,0))</f>
        <v>0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customFormat="false" ht="23" hidden="false" customHeight="true" outlineLevel="0" collapsed="false">
      <c r="A820" s="1" t="str">
        <f aca="false">IF(LEN(Base!A820&amp;"")=0,"",Base!A820)</f>
        <v/>
      </c>
      <c r="B820" s="60" t="str">
        <f aca="false">IF(LEN(A820&amp;"")=0,"",Base!D820)</f>
        <v/>
      </c>
      <c r="C820" s="1" t="str">
        <f aca="false">IF(LEN(A820&amp;"")=0,"",Base!C820)</f>
        <v/>
      </c>
      <c r="D820" s="1" t="str">
        <f aca="false">IF(LEN(A820&amp;"")=0,"",Base!G820)</f>
        <v/>
      </c>
      <c r="E820" s="1" t="str">
        <f aca="false">IF(LEN(A820&amp;"")=0,"",Base!E820)</f>
        <v/>
      </c>
      <c r="F820" s="61" t="str">
        <f aca="false">IF(LEN(A820&amp;"")=0,"",IF(Base!I820="-",0,Base!I820))</f>
        <v/>
      </c>
      <c r="G820" s="61" t="str">
        <f aca="false">IF(LEN(A820&amp;"")=0,"",SUM(Base!F820,F820,Base!K820))</f>
        <v/>
      </c>
      <c r="H820" s="61" t="str">
        <f aca="false">IF(LEN(A820&amp;"")=0,"",Base!L820)</f>
        <v/>
      </c>
      <c r="I820" s="61" t="str">
        <f aca="false">IF(LEN(A820&amp;"")=0,"",G820-H820)</f>
        <v/>
      </c>
      <c r="J820" s="61" t="str">
        <f aca="false">IF(LEN(A820&amp;"")=0,"",Base!M820)</f>
        <v/>
      </c>
      <c r="K820" s="1" t="n">
        <f aca="false">IF(OR(LEN(A820&amp;"")=0,$P$3=0),0,IF(AND(B820&gt;=Painel!$B$8,B820&lt;=Painel!$G$8,OR(Painel!$L$8="Todos",C820=Painel!$L$8),OR(Painel!$Q$8="Todos",D820=Painel!$Q$8),OR(Painel!$V$8="Todas",E820=Painel!$V$8)),1,0))</f>
        <v>0</v>
      </c>
      <c r="L820" s="61" t="str">
        <f aca="false">IF(LEN(A820&amp;"")=0,"",J820-I820)</f>
        <v/>
      </c>
      <c r="M820" s="1" t="n">
        <f aca="false">IF(LEN(A820&amp;"")=0,0,IF(COUNTIFS(Base!$A$7:$A$1006,A820)&gt;1,1,0))</f>
        <v>0</v>
      </c>
      <c r="N820" s="1" t="n">
        <f aca="false">IF(LEN(A820&amp;"")=0,0,IF(ABS(L820)&gt;0.005,1,0))</f>
        <v>0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customFormat="false" ht="23" hidden="false" customHeight="true" outlineLevel="0" collapsed="false">
      <c r="A821" s="1" t="str">
        <f aca="false">IF(LEN(Base!A821&amp;"")=0,"",Base!A821)</f>
        <v/>
      </c>
      <c r="B821" s="60" t="str">
        <f aca="false">IF(LEN(A821&amp;"")=0,"",Base!D821)</f>
        <v/>
      </c>
      <c r="C821" s="1" t="str">
        <f aca="false">IF(LEN(A821&amp;"")=0,"",Base!C821)</f>
        <v/>
      </c>
      <c r="D821" s="1" t="str">
        <f aca="false">IF(LEN(A821&amp;"")=0,"",Base!G821)</f>
        <v/>
      </c>
      <c r="E821" s="1" t="str">
        <f aca="false">IF(LEN(A821&amp;"")=0,"",Base!E821)</f>
        <v/>
      </c>
      <c r="F821" s="61" t="str">
        <f aca="false">IF(LEN(A821&amp;"")=0,"",IF(Base!I821="-",0,Base!I821))</f>
        <v/>
      </c>
      <c r="G821" s="61" t="str">
        <f aca="false">IF(LEN(A821&amp;"")=0,"",SUM(Base!F821,F821,Base!K821))</f>
        <v/>
      </c>
      <c r="H821" s="61" t="str">
        <f aca="false">IF(LEN(A821&amp;"")=0,"",Base!L821)</f>
        <v/>
      </c>
      <c r="I821" s="61" t="str">
        <f aca="false">IF(LEN(A821&amp;"")=0,"",G821-H821)</f>
        <v/>
      </c>
      <c r="J821" s="61" t="str">
        <f aca="false">IF(LEN(A821&amp;"")=0,"",Base!M821)</f>
        <v/>
      </c>
      <c r="K821" s="1" t="n">
        <f aca="false">IF(OR(LEN(A821&amp;"")=0,$P$3=0),0,IF(AND(B821&gt;=Painel!$B$8,B821&lt;=Painel!$G$8,OR(Painel!$L$8="Todos",C821=Painel!$L$8),OR(Painel!$Q$8="Todos",D821=Painel!$Q$8),OR(Painel!$V$8="Todas",E821=Painel!$V$8)),1,0))</f>
        <v>0</v>
      </c>
      <c r="L821" s="61" t="str">
        <f aca="false">IF(LEN(A821&amp;"")=0,"",J821-I821)</f>
        <v/>
      </c>
      <c r="M821" s="1" t="n">
        <f aca="false">IF(LEN(A821&amp;"")=0,0,IF(COUNTIFS(Base!$A$7:$A$1006,A821)&gt;1,1,0))</f>
        <v>0</v>
      </c>
      <c r="N821" s="1" t="n">
        <f aca="false">IF(LEN(A821&amp;"")=0,0,IF(ABS(L821)&gt;0.005,1,0))</f>
        <v>0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customFormat="false" ht="23" hidden="false" customHeight="true" outlineLevel="0" collapsed="false">
      <c r="A822" s="1" t="str">
        <f aca="false">IF(LEN(Base!A822&amp;"")=0,"",Base!A822)</f>
        <v/>
      </c>
      <c r="B822" s="60" t="str">
        <f aca="false">IF(LEN(A822&amp;"")=0,"",Base!D822)</f>
        <v/>
      </c>
      <c r="C822" s="1" t="str">
        <f aca="false">IF(LEN(A822&amp;"")=0,"",Base!C822)</f>
        <v/>
      </c>
      <c r="D822" s="1" t="str">
        <f aca="false">IF(LEN(A822&amp;"")=0,"",Base!G822)</f>
        <v/>
      </c>
      <c r="E822" s="1" t="str">
        <f aca="false">IF(LEN(A822&amp;"")=0,"",Base!E822)</f>
        <v/>
      </c>
      <c r="F822" s="61" t="str">
        <f aca="false">IF(LEN(A822&amp;"")=0,"",IF(Base!I822="-",0,Base!I822))</f>
        <v/>
      </c>
      <c r="G822" s="61" t="str">
        <f aca="false">IF(LEN(A822&amp;"")=0,"",SUM(Base!F822,F822,Base!K822))</f>
        <v/>
      </c>
      <c r="H822" s="61" t="str">
        <f aca="false">IF(LEN(A822&amp;"")=0,"",Base!L822)</f>
        <v/>
      </c>
      <c r="I822" s="61" t="str">
        <f aca="false">IF(LEN(A822&amp;"")=0,"",G822-H822)</f>
        <v/>
      </c>
      <c r="J822" s="61" t="str">
        <f aca="false">IF(LEN(A822&amp;"")=0,"",Base!M822)</f>
        <v/>
      </c>
      <c r="K822" s="1" t="n">
        <f aca="false">IF(OR(LEN(A822&amp;"")=0,$P$3=0),0,IF(AND(B822&gt;=Painel!$B$8,B822&lt;=Painel!$G$8,OR(Painel!$L$8="Todos",C822=Painel!$L$8),OR(Painel!$Q$8="Todos",D822=Painel!$Q$8),OR(Painel!$V$8="Todas",E822=Painel!$V$8)),1,0))</f>
        <v>0</v>
      </c>
      <c r="L822" s="61" t="str">
        <f aca="false">IF(LEN(A822&amp;"")=0,"",J822-I822)</f>
        <v/>
      </c>
      <c r="M822" s="1" t="n">
        <f aca="false">IF(LEN(A822&amp;"")=0,0,IF(COUNTIFS(Base!$A$7:$A$1006,A822)&gt;1,1,0))</f>
        <v>0</v>
      </c>
      <c r="N822" s="1" t="n">
        <f aca="false">IF(LEN(A822&amp;"")=0,0,IF(ABS(L822)&gt;0.005,1,0))</f>
        <v>0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customFormat="false" ht="23" hidden="false" customHeight="true" outlineLevel="0" collapsed="false">
      <c r="A823" s="1" t="str">
        <f aca="false">IF(LEN(Base!A823&amp;"")=0,"",Base!A823)</f>
        <v/>
      </c>
      <c r="B823" s="60" t="str">
        <f aca="false">IF(LEN(A823&amp;"")=0,"",Base!D823)</f>
        <v/>
      </c>
      <c r="C823" s="1" t="str">
        <f aca="false">IF(LEN(A823&amp;"")=0,"",Base!C823)</f>
        <v/>
      </c>
      <c r="D823" s="1" t="str">
        <f aca="false">IF(LEN(A823&amp;"")=0,"",Base!G823)</f>
        <v/>
      </c>
      <c r="E823" s="1" t="str">
        <f aca="false">IF(LEN(A823&amp;"")=0,"",Base!E823)</f>
        <v/>
      </c>
      <c r="F823" s="61" t="str">
        <f aca="false">IF(LEN(A823&amp;"")=0,"",IF(Base!I823="-",0,Base!I823))</f>
        <v/>
      </c>
      <c r="G823" s="61" t="str">
        <f aca="false">IF(LEN(A823&amp;"")=0,"",SUM(Base!F823,F823,Base!K823))</f>
        <v/>
      </c>
      <c r="H823" s="61" t="str">
        <f aca="false">IF(LEN(A823&amp;"")=0,"",Base!L823)</f>
        <v/>
      </c>
      <c r="I823" s="61" t="str">
        <f aca="false">IF(LEN(A823&amp;"")=0,"",G823-H823)</f>
        <v/>
      </c>
      <c r="J823" s="61" t="str">
        <f aca="false">IF(LEN(A823&amp;"")=0,"",Base!M823)</f>
        <v/>
      </c>
      <c r="K823" s="1" t="n">
        <f aca="false">IF(OR(LEN(A823&amp;"")=0,$P$3=0),0,IF(AND(B823&gt;=Painel!$B$8,B823&lt;=Painel!$G$8,OR(Painel!$L$8="Todos",C823=Painel!$L$8),OR(Painel!$Q$8="Todos",D823=Painel!$Q$8),OR(Painel!$V$8="Todas",E823=Painel!$V$8)),1,0))</f>
        <v>0</v>
      </c>
      <c r="L823" s="61" t="str">
        <f aca="false">IF(LEN(A823&amp;"")=0,"",J823-I823)</f>
        <v/>
      </c>
      <c r="M823" s="1" t="n">
        <f aca="false">IF(LEN(A823&amp;"")=0,0,IF(COUNTIFS(Base!$A$7:$A$1006,A823)&gt;1,1,0))</f>
        <v>0</v>
      </c>
      <c r="N823" s="1" t="n">
        <f aca="false">IF(LEN(A823&amp;"")=0,0,IF(ABS(L823)&gt;0.005,1,0))</f>
        <v>0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customFormat="false" ht="23" hidden="false" customHeight="true" outlineLevel="0" collapsed="false">
      <c r="A824" s="1" t="str">
        <f aca="false">IF(LEN(Base!A824&amp;"")=0,"",Base!A824)</f>
        <v/>
      </c>
      <c r="B824" s="60" t="str">
        <f aca="false">IF(LEN(A824&amp;"")=0,"",Base!D824)</f>
        <v/>
      </c>
      <c r="C824" s="1" t="str">
        <f aca="false">IF(LEN(A824&amp;"")=0,"",Base!C824)</f>
        <v/>
      </c>
      <c r="D824" s="1" t="str">
        <f aca="false">IF(LEN(A824&amp;"")=0,"",Base!G824)</f>
        <v/>
      </c>
      <c r="E824" s="1" t="str">
        <f aca="false">IF(LEN(A824&amp;"")=0,"",Base!E824)</f>
        <v/>
      </c>
      <c r="F824" s="61" t="str">
        <f aca="false">IF(LEN(A824&amp;"")=0,"",IF(Base!I824="-",0,Base!I824))</f>
        <v/>
      </c>
      <c r="G824" s="61" t="str">
        <f aca="false">IF(LEN(A824&amp;"")=0,"",SUM(Base!F824,F824,Base!K824))</f>
        <v/>
      </c>
      <c r="H824" s="61" t="str">
        <f aca="false">IF(LEN(A824&amp;"")=0,"",Base!L824)</f>
        <v/>
      </c>
      <c r="I824" s="61" t="str">
        <f aca="false">IF(LEN(A824&amp;"")=0,"",G824-H824)</f>
        <v/>
      </c>
      <c r="J824" s="61" t="str">
        <f aca="false">IF(LEN(A824&amp;"")=0,"",Base!M824)</f>
        <v/>
      </c>
      <c r="K824" s="1" t="n">
        <f aca="false">IF(OR(LEN(A824&amp;"")=0,$P$3=0),0,IF(AND(B824&gt;=Painel!$B$8,B824&lt;=Painel!$G$8,OR(Painel!$L$8="Todos",C824=Painel!$L$8),OR(Painel!$Q$8="Todos",D824=Painel!$Q$8),OR(Painel!$V$8="Todas",E824=Painel!$V$8)),1,0))</f>
        <v>0</v>
      </c>
      <c r="L824" s="61" t="str">
        <f aca="false">IF(LEN(A824&amp;"")=0,"",J824-I824)</f>
        <v/>
      </c>
      <c r="M824" s="1" t="n">
        <f aca="false">IF(LEN(A824&amp;"")=0,0,IF(COUNTIFS(Base!$A$7:$A$1006,A824)&gt;1,1,0))</f>
        <v>0</v>
      </c>
      <c r="N824" s="1" t="n">
        <f aca="false">IF(LEN(A824&amp;"")=0,0,IF(ABS(L824)&gt;0.005,1,0))</f>
        <v>0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customFormat="false" ht="23" hidden="false" customHeight="true" outlineLevel="0" collapsed="false">
      <c r="A825" s="1" t="str">
        <f aca="false">IF(LEN(Base!A825&amp;"")=0,"",Base!A825)</f>
        <v/>
      </c>
      <c r="B825" s="60" t="str">
        <f aca="false">IF(LEN(A825&amp;"")=0,"",Base!D825)</f>
        <v/>
      </c>
      <c r="C825" s="1" t="str">
        <f aca="false">IF(LEN(A825&amp;"")=0,"",Base!C825)</f>
        <v/>
      </c>
      <c r="D825" s="1" t="str">
        <f aca="false">IF(LEN(A825&amp;"")=0,"",Base!G825)</f>
        <v/>
      </c>
      <c r="E825" s="1" t="str">
        <f aca="false">IF(LEN(A825&amp;"")=0,"",Base!E825)</f>
        <v/>
      </c>
      <c r="F825" s="61" t="str">
        <f aca="false">IF(LEN(A825&amp;"")=0,"",IF(Base!I825="-",0,Base!I825))</f>
        <v/>
      </c>
      <c r="G825" s="61" t="str">
        <f aca="false">IF(LEN(A825&amp;"")=0,"",SUM(Base!F825,F825,Base!K825))</f>
        <v/>
      </c>
      <c r="H825" s="61" t="str">
        <f aca="false">IF(LEN(A825&amp;"")=0,"",Base!L825)</f>
        <v/>
      </c>
      <c r="I825" s="61" t="str">
        <f aca="false">IF(LEN(A825&amp;"")=0,"",G825-H825)</f>
        <v/>
      </c>
      <c r="J825" s="61" t="str">
        <f aca="false">IF(LEN(A825&amp;"")=0,"",Base!M825)</f>
        <v/>
      </c>
      <c r="K825" s="1" t="n">
        <f aca="false">IF(OR(LEN(A825&amp;"")=0,$P$3=0),0,IF(AND(B825&gt;=Painel!$B$8,B825&lt;=Painel!$G$8,OR(Painel!$L$8="Todos",C825=Painel!$L$8),OR(Painel!$Q$8="Todos",D825=Painel!$Q$8),OR(Painel!$V$8="Todas",E825=Painel!$V$8)),1,0))</f>
        <v>0</v>
      </c>
      <c r="L825" s="61" t="str">
        <f aca="false">IF(LEN(A825&amp;"")=0,"",J825-I825)</f>
        <v/>
      </c>
      <c r="M825" s="1" t="n">
        <f aca="false">IF(LEN(A825&amp;"")=0,0,IF(COUNTIFS(Base!$A$7:$A$1006,A825)&gt;1,1,0))</f>
        <v>0</v>
      </c>
      <c r="N825" s="1" t="n">
        <f aca="false">IF(LEN(A825&amp;"")=0,0,IF(ABS(L825)&gt;0.005,1,0))</f>
        <v>0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customFormat="false" ht="23" hidden="false" customHeight="true" outlineLevel="0" collapsed="false">
      <c r="A826" s="1" t="str">
        <f aca="false">IF(LEN(Base!A826&amp;"")=0,"",Base!A826)</f>
        <v/>
      </c>
      <c r="B826" s="60" t="str">
        <f aca="false">IF(LEN(A826&amp;"")=0,"",Base!D826)</f>
        <v/>
      </c>
      <c r="C826" s="1" t="str">
        <f aca="false">IF(LEN(A826&amp;"")=0,"",Base!C826)</f>
        <v/>
      </c>
      <c r="D826" s="1" t="str">
        <f aca="false">IF(LEN(A826&amp;"")=0,"",Base!G826)</f>
        <v/>
      </c>
      <c r="E826" s="1" t="str">
        <f aca="false">IF(LEN(A826&amp;"")=0,"",Base!E826)</f>
        <v/>
      </c>
      <c r="F826" s="61" t="str">
        <f aca="false">IF(LEN(A826&amp;"")=0,"",IF(Base!I826="-",0,Base!I826))</f>
        <v/>
      </c>
      <c r="G826" s="61" t="str">
        <f aca="false">IF(LEN(A826&amp;"")=0,"",SUM(Base!F826,F826,Base!K826))</f>
        <v/>
      </c>
      <c r="H826" s="61" t="str">
        <f aca="false">IF(LEN(A826&amp;"")=0,"",Base!L826)</f>
        <v/>
      </c>
      <c r="I826" s="61" t="str">
        <f aca="false">IF(LEN(A826&amp;"")=0,"",G826-H826)</f>
        <v/>
      </c>
      <c r="J826" s="61" t="str">
        <f aca="false">IF(LEN(A826&amp;"")=0,"",Base!M826)</f>
        <v/>
      </c>
      <c r="K826" s="1" t="n">
        <f aca="false">IF(OR(LEN(A826&amp;"")=0,$P$3=0),0,IF(AND(B826&gt;=Painel!$B$8,B826&lt;=Painel!$G$8,OR(Painel!$L$8="Todos",C826=Painel!$L$8),OR(Painel!$Q$8="Todos",D826=Painel!$Q$8),OR(Painel!$V$8="Todas",E826=Painel!$V$8)),1,0))</f>
        <v>0</v>
      </c>
      <c r="L826" s="61" t="str">
        <f aca="false">IF(LEN(A826&amp;"")=0,"",J826-I826)</f>
        <v/>
      </c>
      <c r="M826" s="1" t="n">
        <f aca="false">IF(LEN(A826&amp;"")=0,0,IF(COUNTIFS(Base!$A$7:$A$1006,A826)&gt;1,1,0))</f>
        <v>0</v>
      </c>
      <c r="N826" s="1" t="n">
        <f aca="false">IF(LEN(A826&amp;"")=0,0,IF(ABS(L826)&gt;0.005,1,0))</f>
        <v>0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customFormat="false" ht="23" hidden="false" customHeight="true" outlineLevel="0" collapsed="false">
      <c r="A827" s="1" t="str">
        <f aca="false">IF(LEN(Base!A827&amp;"")=0,"",Base!A827)</f>
        <v/>
      </c>
      <c r="B827" s="60" t="str">
        <f aca="false">IF(LEN(A827&amp;"")=0,"",Base!D827)</f>
        <v/>
      </c>
      <c r="C827" s="1" t="str">
        <f aca="false">IF(LEN(A827&amp;"")=0,"",Base!C827)</f>
        <v/>
      </c>
      <c r="D827" s="1" t="str">
        <f aca="false">IF(LEN(A827&amp;"")=0,"",Base!G827)</f>
        <v/>
      </c>
      <c r="E827" s="1" t="str">
        <f aca="false">IF(LEN(A827&amp;"")=0,"",Base!E827)</f>
        <v/>
      </c>
      <c r="F827" s="61" t="str">
        <f aca="false">IF(LEN(A827&amp;"")=0,"",IF(Base!I827="-",0,Base!I827))</f>
        <v/>
      </c>
      <c r="G827" s="61" t="str">
        <f aca="false">IF(LEN(A827&amp;"")=0,"",SUM(Base!F827,F827,Base!K827))</f>
        <v/>
      </c>
      <c r="H827" s="61" t="str">
        <f aca="false">IF(LEN(A827&amp;"")=0,"",Base!L827)</f>
        <v/>
      </c>
      <c r="I827" s="61" t="str">
        <f aca="false">IF(LEN(A827&amp;"")=0,"",G827-H827)</f>
        <v/>
      </c>
      <c r="J827" s="61" t="str">
        <f aca="false">IF(LEN(A827&amp;"")=0,"",Base!M827)</f>
        <v/>
      </c>
      <c r="K827" s="1" t="n">
        <f aca="false">IF(OR(LEN(A827&amp;"")=0,$P$3=0),0,IF(AND(B827&gt;=Painel!$B$8,B827&lt;=Painel!$G$8,OR(Painel!$L$8="Todos",C827=Painel!$L$8),OR(Painel!$Q$8="Todos",D827=Painel!$Q$8),OR(Painel!$V$8="Todas",E827=Painel!$V$8)),1,0))</f>
        <v>0</v>
      </c>
      <c r="L827" s="61" t="str">
        <f aca="false">IF(LEN(A827&amp;"")=0,"",J827-I827)</f>
        <v/>
      </c>
      <c r="M827" s="1" t="n">
        <f aca="false">IF(LEN(A827&amp;"")=0,0,IF(COUNTIFS(Base!$A$7:$A$1006,A827)&gt;1,1,0))</f>
        <v>0</v>
      </c>
      <c r="N827" s="1" t="n">
        <f aca="false">IF(LEN(A827&amp;"")=0,0,IF(ABS(L827)&gt;0.005,1,0))</f>
        <v>0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customFormat="false" ht="23" hidden="false" customHeight="true" outlineLevel="0" collapsed="false">
      <c r="A828" s="1" t="str">
        <f aca="false">IF(LEN(Base!A828&amp;"")=0,"",Base!A828)</f>
        <v/>
      </c>
      <c r="B828" s="60" t="str">
        <f aca="false">IF(LEN(A828&amp;"")=0,"",Base!D828)</f>
        <v/>
      </c>
      <c r="C828" s="1" t="str">
        <f aca="false">IF(LEN(A828&amp;"")=0,"",Base!C828)</f>
        <v/>
      </c>
      <c r="D828" s="1" t="str">
        <f aca="false">IF(LEN(A828&amp;"")=0,"",Base!G828)</f>
        <v/>
      </c>
      <c r="E828" s="1" t="str">
        <f aca="false">IF(LEN(A828&amp;"")=0,"",Base!E828)</f>
        <v/>
      </c>
      <c r="F828" s="61" t="str">
        <f aca="false">IF(LEN(A828&amp;"")=0,"",IF(Base!I828="-",0,Base!I828))</f>
        <v/>
      </c>
      <c r="G828" s="61" t="str">
        <f aca="false">IF(LEN(A828&amp;"")=0,"",SUM(Base!F828,F828,Base!K828))</f>
        <v/>
      </c>
      <c r="H828" s="61" t="str">
        <f aca="false">IF(LEN(A828&amp;"")=0,"",Base!L828)</f>
        <v/>
      </c>
      <c r="I828" s="61" t="str">
        <f aca="false">IF(LEN(A828&amp;"")=0,"",G828-H828)</f>
        <v/>
      </c>
      <c r="J828" s="61" t="str">
        <f aca="false">IF(LEN(A828&amp;"")=0,"",Base!M828)</f>
        <v/>
      </c>
      <c r="K828" s="1" t="n">
        <f aca="false">IF(OR(LEN(A828&amp;"")=0,$P$3=0),0,IF(AND(B828&gt;=Painel!$B$8,B828&lt;=Painel!$G$8,OR(Painel!$L$8="Todos",C828=Painel!$L$8),OR(Painel!$Q$8="Todos",D828=Painel!$Q$8),OR(Painel!$V$8="Todas",E828=Painel!$V$8)),1,0))</f>
        <v>0</v>
      </c>
      <c r="L828" s="61" t="str">
        <f aca="false">IF(LEN(A828&amp;"")=0,"",J828-I828)</f>
        <v/>
      </c>
      <c r="M828" s="1" t="n">
        <f aca="false">IF(LEN(A828&amp;"")=0,0,IF(COUNTIFS(Base!$A$7:$A$1006,A828)&gt;1,1,0))</f>
        <v>0</v>
      </c>
      <c r="N828" s="1" t="n">
        <f aca="false">IF(LEN(A828&amp;"")=0,0,IF(ABS(L828)&gt;0.005,1,0))</f>
        <v>0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customFormat="false" ht="23" hidden="false" customHeight="true" outlineLevel="0" collapsed="false">
      <c r="A829" s="1" t="str">
        <f aca="false">IF(LEN(Base!A829&amp;"")=0,"",Base!A829)</f>
        <v/>
      </c>
      <c r="B829" s="60" t="str">
        <f aca="false">IF(LEN(A829&amp;"")=0,"",Base!D829)</f>
        <v/>
      </c>
      <c r="C829" s="1" t="str">
        <f aca="false">IF(LEN(A829&amp;"")=0,"",Base!C829)</f>
        <v/>
      </c>
      <c r="D829" s="1" t="str">
        <f aca="false">IF(LEN(A829&amp;"")=0,"",Base!G829)</f>
        <v/>
      </c>
      <c r="E829" s="1" t="str">
        <f aca="false">IF(LEN(A829&amp;"")=0,"",Base!E829)</f>
        <v/>
      </c>
      <c r="F829" s="61" t="str">
        <f aca="false">IF(LEN(A829&amp;"")=0,"",IF(Base!I829="-",0,Base!I829))</f>
        <v/>
      </c>
      <c r="G829" s="61" t="str">
        <f aca="false">IF(LEN(A829&amp;"")=0,"",SUM(Base!F829,F829,Base!K829))</f>
        <v/>
      </c>
      <c r="H829" s="61" t="str">
        <f aca="false">IF(LEN(A829&amp;"")=0,"",Base!L829)</f>
        <v/>
      </c>
      <c r="I829" s="61" t="str">
        <f aca="false">IF(LEN(A829&amp;"")=0,"",G829-H829)</f>
        <v/>
      </c>
      <c r="J829" s="61" t="str">
        <f aca="false">IF(LEN(A829&amp;"")=0,"",Base!M829)</f>
        <v/>
      </c>
      <c r="K829" s="1" t="n">
        <f aca="false">IF(OR(LEN(A829&amp;"")=0,$P$3=0),0,IF(AND(B829&gt;=Painel!$B$8,B829&lt;=Painel!$G$8,OR(Painel!$L$8="Todos",C829=Painel!$L$8),OR(Painel!$Q$8="Todos",D829=Painel!$Q$8),OR(Painel!$V$8="Todas",E829=Painel!$V$8)),1,0))</f>
        <v>0</v>
      </c>
      <c r="L829" s="61" t="str">
        <f aca="false">IF(LEN(A829&amp;"")=0,"",J829-I829)</f>
        <v/>
      </c>
      <c r="M829" s="1" t="n">
        <f aca="false">IF(LEN(A829&amp;"")=0,0,IF(COUNTIFS(Base!$A$7:$A$1006,A829)&gt;1,1,0))</f>
        <v>0</v>
      </c>
      <c r="N829" s="1" t="n">
        <f aca="false">IF(LEN(A829&amp;"")=0,0,IF(ABS(L829)&gt;0.005,1,0))</f>
        <v>0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customFormat="false" ht="23" hidden="false" customHeight="true" outlineLevel="0" collapsed="false">
      <c r="A830" s="1" t="str">
        <f aca="false">IF(LEN(Base!A830&amp;"")=0,"",Base!A830)</f>
        <v/>
      </c>
      <c r="B830" s="60" t="str">
        <f aca="false">IF(LEN(A830&amp;"")=0,"",Base!D830)</f>
        <v/>
      </c>
      <c r="C830" s="1" t="str">
        <f aca="false">IF(LEN(A830&amp;"")=0,"",Base!C830)</f>
        <v/>
      </c>
      <c r="D830" s="1" t="str">
        <f aca="false">IF(LEN(A830&amp;"")=0,"",Base!G830)</f>
        <v/>
      </c>
      <c r="E830" s="1" t="str">
        <f aca="false">IF(LEN(A830&amp;"")=0,"",Base!E830)</f>
        <v/>
      </c>
      <c r="F830" s="61" t="str">
        <f aca="false">IF(LEN(A830&amp;"")=0,"",IF(Base!I830="-",0,Base!I830))</f>
        <v/>
      </c>
      <c r="G830" s="61" t="str">
        <f aca="false">IF(LEN(A830&amp;"")=0,"",SUM(Base!F830,F830,Base!K830))</f>
        <v/>
      </c>
      <c r="H830" s="61" t="str">
        <f aca="false">IF(LEN(A830&amp;"")=0,"",Base!L830)</f>
        <v/>
      </c>
      <c r="I830" s="61" t="str">
        <f aca="false">IF(LEN(A830&amp;"")=0,"",G830-H830)</f>
        <v/>
      </c>
      <c r="J830" s="61" t="str">
        <f aca="false">IF(LEN(A830&amp;"")=0,"",Base!M830)</f>
        <v/>
      </c>
      <c r="K830" s="1" t="n">
        <f aca="false">IF(OR(LEN(A830&amp;"")=0,$P$3=0),0,IF(AND(B830&gt;=Painel!$B$8,B830&lt;=Painel!$G$8,OR(Painel!$L$8="Todos",C830=Painel!$L$8),OR(Painel!$Q$8="Todos",D830=Painel!$Q$8),OR(Painel!$V$8="Todas",E830=Painel!$V$8)),1,0))</f>
        <v>0</v>
      </c>
      <c r="L830" s="61" t="str">
        <f aca="false">IF(LEN(A830&amp;"")=0,"",J830-I830)</f>
        <v/>
      </c>
      <c r="M830" s="1" t="n">
        <f aca="false">IF(LEN(A830&amp;"")=0,0,IF(COUNTIFS(Base!$A$7:$A$1006,A830)&gt;1,1,0))</f>
        <v>0</v>
      </c>
      <c r="N830" s="1" t="n">
        <f aca="false">IF(LEN(A830&amp;"")=0,0,IF(ABS(L830)&gt;0.005,1,0))</f>
        <v>0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customFormat="false" ht="23" hidden="false" customHeight="true" outlineLevel="0" collapsed="false">
      <c r="A831" s="1" t="str">
        <f aca="false">IF(LEN(Base!A831&amp;"")=0,"",Base!A831)</f>
        <v/>
      </c>
      <c r="B831" s="60" t="str">
        <f aca="false">IF(LEN(A831&amp;"")=0,"",Base!D831)</f>
        <v/>
      </c>
      <c r="C831" s="1" t="str">
        <f aca="false">IF(LEN(A831&amp;"")=0,"",Base!C831)</f>
        <v/>
      </c>
      <c r="D831" s="1" t="str">
        <f aca="false">IF(LEN(A831&amp;"")=0,"",Base!G831)</f>
        <v/>
      </c>
      <c r="E831" s="1" t="str">
        <f aca="false">IF(LEN(A831&amp;"")=0,"",Base!E831)</f>
        <v/>
      </c>
      <c r="F831" s="61" t="str">
        <f aca="false">IF(LEN(A831&amp;"")=0,"",IF(Base!I831="-",0,Base!I831))</f>
        <v/>
      </c>
      <c r="G831" s="61" t="str">
        <f aca="false">IF(LEN(A831&amp;"")=0,"",SUM(Base!F831,F831,Base!K831))</f>
        <v/>
      </c>
      <c r="H831" s="61" t="str">
        <f aca="false">IF(LEN(A831&amp;"")=0,"",Base!L831)</f>
        <v/>
      </c>
      <c r="I831" s="61" t="str">
        <f aca="false">IF(LEN(A831&amp;"")=0,"",G831-H831)</f>
        <v/>
      </c>
      <c r="J831" s="61" t="str">
        <f aca="false">IF(LEN(A831&amp;"")=0,"",Base!M831)</f>
        <v/>
      </c>
      <c r="K831" s="1" t="n">
        <f aca="false">IF(OR(LEN(A831&amp;"")=0,$P$3=0),0,IF(AND(B831&gt;=Painel!$B$8,B831&lt;=Painel!$G$8,OR(Painel!$L$8="Todos",C831=Painel!$L$8),OR(Painel!$Q$8="Todos",D831=Painel!$Q$8),OR(Painel!$V$8="Todas",E831=Painel!$V$8)),1,0))</f>
        <v>0</v>
      </c>
      <c r="L831" s="61" t="str">
        <f aca="false">IF(LEN(A831&amp;"")=0,"",J831-I831)</f>
        <v/>
      </c>
      <c r="M831" s="1" t="n">
        <f aca="false">IF(LEN(A831&amp;"")=0,0,IF(COUNTIFS(Base!$A$7:$A$1006,A831)&gt;1,1,0))</f>
        <v>0</v>
      </c>
      <c r="N831" s="1" t="n">
        <f aca="false">IF(LEN(A831&amp;"")=0,0,IF(ABS(L831)&gt;0.005,1,0))</f>
        <v>0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customFormat="false" ht="23" hidden="false" customHeight="true" outlineLevel="0" collapsed="false">
      <c r="A832" s="1" t="str">
        <f aca="false">IF(LEN(Base!A832&amp;"")=0,"",Base!A832)</f>
        <v/>
      </c>
      <c r="B832" s="60" t="str">
        <f aca="false">IF(LEN(A832&amp;"")=0,"",Base!D832)</f>
        <v/>
      </c>
      <c r="C832" s="1" t="str">
        <f aca="false">IF(LEN(A832&amp;"")=0,"",Base!C832)</f>
        <v/>
      </c>
      <c r="D832" s="1" t="str">
        <f aca="false">IF(LEN(A832&amp;"")=0,"",Base!G832)</f>
        <v/>
      </c>
      <c r="E832" s="1" t="str">
        <f aca="false">IF(LEN(A832&amp;"")=0,"",Base!E832)</f>
        <v/>
      </c>
      <c r="F832" s="61" t="str">
        <f aca="false">IF(LEN(A832&amp;"")=0,"",IF(Base!I832="-",0,Base!I832))</f>
        <v/>
      </c>
      <c r="G832" s="61" t="str">
        <f aca="false">IF(LEN(A832&amp;"")=0,"",SUM(Base!F832,F832,Base!K832))</f>
        <v/>
      </c>
      <c r="H832" s="61" t="str">
        <f aca="false">IF(LEN(A832&amp;"")=0,"",Base!L832)</f>
        <v/>
      </c>
      <c r="I832" s="61" t="str">
        <f aca="false">IF(LEN(A832&amp;"")=0,"",G832-H832)</f>
        <v/>
      </c>
      <c r="J832" s="61" t="str">
        <f aca="false">IF(LEN(A832&amp;"")=0,"",Base!M832)</f>
        <v/>
      </c>
      <c r="K832" s="1" t="n">
        <f aca="false">IF(OR(LEN(A832&amp;"")=0,$P$3=0),0,IF(AND(B832&gt;=Painel!$B$8,B832&lt;=Painel!$G$8,OR(Painel!$L$8="Todos",C832=Painel!$L$8),OR(Painel!$Q$8="Todos",D832=Painel!$Q$8),OR(Painel!$V$8="Todas",E832=Painel!$V$8)),1,0))</f>
        <v>0</v>
      </c>
      <c r="L832" s="61" t="str">
        <f aca="false">IF(LEN(A832&amp;"")=0,"",J832-I832)</f>
        <v/>
      </c>
      <c r="M832" s="1" t="n">
        <f aca="false">IF(LEN(A832&amp;"")=0,0,IF(COUNTIFS(Base!$A$7:$A$1006,A832)&gt;1,1,0))</f>
        <v>0</v>
      </c>
      <c r="N832" s="1" t="n">
        <f aca="false">IF(LEN(A832&amp;"")=0,0,IF(ABS(L832)&gt;0.005,1,0))</f>
        <v>0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customFormat="false" ht="23" hidden="false" customHeight="true" outlineLevel="0" collapsed="false">
      <c r="A833" s="1" t="str">
        <f aca="false">IF(LEN(Base!A833&amp;"")=0,"",Base!A833)</f>
        <v/>
      </c>
      <c r="B833" s="60" t="str">
        <f aca="false">IF(LEN(A833&amp;"")=0,"",Base!D833)</f>
        <v/>
      </c>
      <c r="C833" s="1" t="str">
        <f aca="false">IF(LEN(A833&amp;"")=0,"",Base!C833)</f>
        <v/>
      </c>
      <c r="D833" s="1" t="str">
        <f aca="false">IF(LEN(A833&amp;"")=0,"",Base!G833)</f>
        <v/>
      </c>
      <c r="E833" s="1" t="str">
        <f aca="false">IF(LEN(A833&amp;"")=0,"",Base!E833)</f>
        <v/>
      </c>
      <c r="F833" s="61" t="str">
        <f aca="false">IF(LEN(A833&amp;"")=0,"",IF(Base!I833="-",0,Base!I833))</f>
        <v/>
      </c>
      <c r="G833" s="61" t="str">
        <f aca="false">IF(LEN(A833&amp;"")=0,"",SUM(Base!F833,F833,Base!K833))</f>
        <v/>
      </c>
      <c r="H833" s="61" t="str">
        <f aca="false">IF(LEN(A833&amp;"")=0,"",Base!L833)</f>
        <v/>
      </c>
      <c r="I833" s="61" t="str">
        <f aca="false">IF(LEN(A833&amp;"")=0,"",G833-H833)</f>
        <v/>
      </c>
      <c r="J833" s="61" t="str">
        <f aca="false">IF(LEN(A833&amp;"")=0,"",Base!M833)</f>
        <v/>
      </c>
      <c r="K833" s="1" t="n">
        <f aca="false">IF(OR(LEN(A833&amp;"")=0,$P$3=0),0,IF(AND(B833&gt;=Painel!$B$8,B833&lt;=Painel!$G$8,OR(Painel!$L$8="Todos",C833=Painel!$L$8),OR(Painel!$Q$8="Todos",D833=Painel!$Q$8),OR(Painel!$V$8="Todas",E833=Painel!$V$8)),1,0))</f>
        <v>0</v>
      </c>
      <c r="L833" s="61" t="str">
        <f aca="false">IF(LEN(A833&amp;"")=0,"",J833-I833)</f>
        <v/>
      </c>
      <c r="M833" s="1" t="n">
        <f aca="false">IF(LEN(A833&amp;"")=0,0,IF(COUNTIFS(Base!$A$7:$A$1006,A833)&gt;1,1,0))</f>
        <v>0</v>
      </c>
      <c r="N833" s="1" t="n">
        <f aca="false">IF(LEN(A833&amp;"")=0,0,IF(ABS(L833)&gt;0.005,1,0))</f>
        <v>0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customFormat="false" ht="23" hidden="false" customHeight="true" outlineLevel="0" collapsed="false">
      <c r="A834" s="1" t="str">
        <f aca="false">IF(LEN(Base!A834&amp;"")=0,"",Base!A834)</f>
        <v/>
      </c>
      <c r="B834" s="60" t="str">
        <f aca="false">IF(LEN(A834&amp;"")=0,"",Base!D834)</f>
        <v/>
      </c>
      <c r="C834" s="1" t="str">
        <f aca="false">IF(LEN(A834&amp;"")=0,"",Base!C834)</f>
        <v/>
      </c>
      <c r="D834" s="1" t="str">
        <f aca="false">IF(LEN(A834&amp;"")=0,"",Base!G834)</f>
        <v/>
      </c>
      <c r="E834" s="1" t="str">
        <f aca="false">IF(LEN(A834&amp;"")=0,"",Base!E834)</f>
        <v/>
      </c>
      <c r="F834" s="61" t="str">
        <f aca="false">IF(LEN(A834&amp;"")=0,"",IF(Base!I834="-",0,Base!I834))</f>
        <v/>
      </c>
      <c r="G834" s="61" t="str">
        <f aca="false">IF(LEN(A834&amp;"")=0,"",SUM(Base!F834,F834,Base!K834))</f>
        <v/>
      </c>
      <c r="H834" s="61" t="str">
        <f aca="false">IF(LEN(A834&amp;"")=0,"",Base!L834)</f>
        <v/>
      </c>
      <c r="I834" s="61" t="str">
        <f aca="false">IF(LEN(A834&amp;"")=0,"",G834-H834)</f>
        <v/>
      </c>
      <c r="J834" s="61" t="str">
        <f aca="false">IF(LEN(A834&amp;"")=0,"",Base!M834)</f>
        <v/>
      </c>
      <c r="K834" s="1" t="n">
        <f aca="false">IF(OR(LEN(A834&amp;"")=0,$P$3=0),0,IF(AND(B834&gt;=Painel!$B$8,B834&lt;=Painel!$G$8,OR(Painel!$L$8="Todos",C834=Painel!$L$8),OR(Painel!$Q$8="Todos",D834=Painel!$Q$8),OR(Painel!$V$8="Todas",E834=Painel!$V$8)),1,0))</f>
        <v>0</v>
      </c>
      <c r="L834" s="61" t="str">
        <f aca="false">IF(LEN(A834&amp;"")=0,"",J834-I834)</f>
        <v/>
      </c>
      <c r="M834" s="1" t="n">
        <f aca="false">IF(LEN(A834&amp;"")=0,0,IF(COUNTIFS(Base!$A$7:$A$1006,A834)&gt;1,1,0))</f>
        <v>0</v>
      </c>
      <c r="N834" s="1" t="n">
        <f aca="false">IF(LEN(A834&amp;"")=0,0,IF(ABS(L834)&gt;0.005,1,0))</f>
        <v>0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customFormat="false" ht="23" hidden="false" customHeight="true" outlineLevel="0" collapsed="false">
      <c r="A835" s="1" t="str">
        <f aca="false">IF(LEN(Base!A835&amp;"")=0,"",Base!A835)</f>
        <v/>
      </c>
      <c r="B835" s="60" t="str">
        <f aca="false">IF(LEN(A835&amp;"")=0,"",Base!D835)</f>
        <v/>
      </c>
      <c r="C835" s="1" t="str">
        <f aca="false">IF(LEN(A835&amp;"")=0,"",Base!C835)</f>
        <v/>
      </c>
      <c r="D835" s="1" t="str">
        <f aca="false">IF(LEN(A835&amp;"")=0,"",Base!G835)</f>
        <v/>
      </c>
      <c r="E835" s="1" t="str">
        <f aca="false">IF(LEN(A835&amp;"")=0,"",Base!E835)</f>
        <v/>
      </c>
      <c r="F835" s="61" t="str">
        <f aca="false">IF(LEN(A835&amp;"")=0,"",IF(Base!I835="-",0,Base!I835))</f>
        <v/>
      </c>
      <c r="G835" s="61" t="str">
        <f aca="false">IF(LEN(A835&amp;"")=0,"",SUM(Base!F835,F835,Base!K835))</f>
        <v/>
      </c>
      <c r="H835" s="61" t="str">
        <f aca="false">IF(LEN(A835&amp;"")=0,"",Base!L835)</f>
        <v/>
      </c>
      <c r="I835" s="61" t="str">
        <f aca="false">IF(LEN(A835&amp;"")=0,"",G835-H835)</f>
        <v/>
      </c>
      <c r="J835" s="61" t="str">
        <f aca="false">IF(LEN(A835&amp;"")=0,"",Base!M835)</f>
        <v/>
      </c>
      <c r="K835" s="1" t="n">
        <f aca="false">IF(OR(LEN(A835&amp;"")=0,$P$3=0),0,IF(AND(B835&gt;=Painel!$B$8,B835&lt;=Painel!$G$8,OR(Painel!$L$8="Todos",C835=Painel!$L$8),OR(Painel!$Q$8="Todos",D835=Painel!$Q$8),OR(Painel!$V$8="Todas",E835=Painel!$V$8)),1,0))</f>
        <v>0</v>
      </c>
      <c r="L835" s="61" t="str">
        <f aca="false">IF(LEN(A835&amp;"")=0,"",J835-I835)</f>
        <v/>
      </c>
      <c r="M835" s="1" t="n">
        <f aca="false">IF(LEN(A835&amp;"")=0,0,IF(COUNTIFS(Base!$A$7:$A$1006,A835)&gt;1,1,0))</f>
        <v>0</v>
      </c>
      <c r="N835" s="1" t="n">
        <f aca="false">IF(LEN(A835&amp;"")=0,0,IF(ABS(L835)&gt;0.005,1,0))</f>
        <v>0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customFormat="false" ht="23" hidden="false" customHeight="true" outlineLevel="0" collapsed="false">
      <c r="A836" s="1" t="str">
        <f aca="false">IF(LEN(Base!A836&amp;"")=0,"",Base!A836)</f>
        <v/>
      </c>
      <c r="B836" s="60" t="str">
        <f aca="false">IF(LEN(A836&amp;"")=0,"",Base!D836)</f>
        <v/>
      </c>
      <c r="C836" s="1" t="str">
        <f aca="false">IF(LEN(A836&amp;"")=0,"",Base!C836)</f>
        <v/>
      </c>
      <c r="D836" s="1" t="str">
        <f aca="false">IF(LEN(A836&amp;"")=0,"",Base!G836)</f>
        <v/>
      </c>
      <c r="E836" s="1" t="str">
        <f aca="false">IF(LEN(A836&amp;"")=0,"",Base!E836)</f>
        <v/>
      </c>
      <c r="F836" s="61" t="str">
        <f aca="false">IF(LEN(A836&amp;"")=0,"",IF(Base!I836="-",0,Base!I836))</f>
        <v/>
      </c>
      <c r="G836" s="61" t="str">
        <f aca="false">IF(LEN(A836&amp;"")=0,"",SUM(Base!F836,F836,Base!K836))</f>
        <v/>
      </c>
      <c r="H836" s="61" t="str">
        <f aca="false">IF(LEN(A836&amp;"")=0,"",Base!L836)</f>
        <v/>
      </c>
      <c r="I836" s="61" t="str">
        <f aca="false">IF(LEN(A836&amp;"")=0,"",G836-H836)</f>
        <v/>
      </c>
      <c r="J836" s="61" t="str">
        <f aca="false">IF(LEN(A836&amp;"")=0,"",Base!M836)</f>
        <v/>
      </c>
      <c r="K836" s="1" t="n">
        <f aca="false">IF(OR(LEN(A836&amp;"")=0,$P$3=0),0,IF(AND(B836&gt;=Painel!$B$8,B836&lt;=Painel!$G$8,OR(Painel!$L$8="Todos",C836=Painel!$L$8),OR(Painel!$Q$8="Todos",D836=Painel!$Q$8),OR(Painel!$V$8="Todas",E836=Painel!$V$8)),1,0))</f>
        <v>0</v>
      </c>
      <c r="L836" s="61" t="str">
        <f aca="false">IF(LEN(A836&amp;"")=0,"",J836-I836)</f>
        <v/>
      </c>
      <c r="M836" s="1" t="n">
        <f aca="false">IF(LEN(A836&amp;"")=0,0,IF(COUNTIFS(Base!$A$7:$A$1006,A836)&gt;1,1,0))</f>
        <v>0</v>
      </c>
      <c r="N836" s="1" t="n">
        <f aca="false">IF(LEN(A836&amp;"")=0,0,IF(ABS(L836)&gt;0.005,1,0))</f>
        <v>0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customFormat="false" ht="23" hidden="false" customHeight="true" outlineLevel="0" collapsed="false">
      <c r="A837" s="1" t="str">
        <f aca="false">IF(LEN(Base!A837&amp;"")=0,"",Base!A837)</f>
        <v/>
      </c>
      <c r="B837" s="60" t="str">
        <f aca="false">IF(LEN(A837&amp;"")=0,"",Base!D837)</f>
        <v/>
      </c>
      <c r="C837" s="1" t="str">
        <f aca="false">IF(LEN(A837&amp;"")=0,"",Base!C837)</f>
        <v/>
      </c>
      <c r="D837" s="1" t="str">
        <f aca="false">IF(LEN(A837&amp;"")=0,"",Base!G837)</f>
        <v/>
      </c>
      <c r="E837" s="1" t="str">
        <f aca="false">IF(LEN(A837&amp;"")=0,"",Base!E837)</f>
        <v/>
      </c>
      <c r="F837" s="61" t="str">
        <f aca="false">IF(LEN(A837&amp;"")=0,"",IF(Base!I837="-",0,Base!I837))</f>
        <v/>
      </c>
      <c r="G837" s="61" t="str">
        <f aca="false">IF(LEN(A837&amp;"")=0,"",SUM(Base!F837,F837,Base!K837))</f>
        <v/>
      </c>
      <c r="H837" s="61" t="str">
        <f aca="false">IF(LEN(A837&amp;"")=0,"",Base!L837)</f>
        <v/>
      </c>
      <c r="I837" s="61" t="str">
        <f aca="false">IF(LEN(A837&amp;"")=0,"",G837-H837)</f>
        <v/>
      </c>
      <c r="J837" s="61" t="str">
        <f aca="false">IF(LEN(A837&amp;"")=0,"",Base!M837)</f>
        <v/>
      </c>
      <c r="K837" s="1" t="n">
        <f aca="false">IF(OR(LEN(A837&amp;"")=0,$P$3=0),0,IF(AND(B837&gt;=Painel!$B$8,B837&lt;=Painel!$G$8,OR(Painel!$L$8="Todos",C837=Painel!$L$8),OR(Painel!$Q$8="Todos",D837=Painel!$Q$8),OR(Painel!$V$8="Todas",E837=Painel!$V$8)),1,0))</f>
        <v>0</v>
      </c>
      <c r="L837" s="61" t="str">
        <f aca="false">IF(LEN(A837&amp;"")=0,"",J837-I837)</f>
        <v/>
      </c>
      <c r="M837" s="1" t="n">
        <f aca="false">IF(LEN(A837&amp;"")=0,0,IF(COUNTIFS(Base!$A$7:$A$1006,A837)&gt;1,1,0))</f>
        <v>0</v>
      </c>
      <c r="N837" s="1" t="n">
        <f aca="false">IF(LEN(A837&amp;"")=0,0,IF(ABS(L837)&gt;0.005,1,0))</f>
        <v>0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customFormat="false" ht="23" hidden="false" customHeight="true" outlineLevel="0" collapsed="false">
      <c r="A838" s="1" t="str">
        <f aca="false">IF(LEN(Base!A838&amp;"")=0,"",Base!A838)</f>
        <v/>
      </c>
      <c r="B838" s="60" t="str">
        <f aca="false">IF(LEN(A838&amp;"")=0,"",Base!D838)</f>
        <v/>
      </c>
      <c r="C838" s="1" t="str">
        <f aca="false">IF(LEN(A838&amp;"")=0,"",Base!C838)</f>
        <v/>
      </c>
      <c r="D838" s="1" t="str">
        <f aca="false">IF(LEN(A838&amp;"")=0,"",Base!G838)</f>
        <v/>
      </c>
      <c r="E838" s="1" t="str">
        <f aca="false">IF(LEN(A838&amp;"")=0,"",Base!E838)</f>
        <v/>
      </c>
      <c r="F838" s="61" t="str">
        <f aca="false">IF(LEN(A838&amp;"")=0,"",IF(Base!I838="-",0,Base!I838))</f>
        <v/>
      </c>
      <c r="G838" s="61" t="str">
        <f aca="false">IF(LEN(A838&amp;"")=0,"",SUM(Base!F838,F838,Base!K838))</f>
        <v/>
      </c>
      <c r="H838" s="61" t="str">
        <f aca="false">IF(LEN(A838&amp;"")=0,"",Base!L838)</f>
        <v/>
      </c>
      <c r="I838" s="61" t="str">
        <f aca="false">IF(LEN(A838&amp;"")=0,"",G838-H838)</f>
        <v/>
      </c>
      <c r="J838" s="61" t="str">
        <f aca="false">IF(LEN(A838&amp;"")=0,"",Base!M838)</f>
        <v/>
      </c>
      <c r="K838" s="1" t="n">
        <f aca="false">IF(OR(LEN(A838&amp;"")=0,$P$3=0),0,IF(AND(B838&gt;=Painel!$B$8,B838&lt;=Painel!$G$8,OR(Painel!$L$8="Todos",C838=Painel!$L$8),OR(Painel!$Q$8="Todos",D838=Painel!$Q$8),OR(Painel!$V$8="Todas",E838=Painel!$V$8)),1,0))</f>
        <v>0</v>
      </c>
      <c r="L838" s="61" t="str">
        <f aca="false">IF(LEN(A838&amp;"")=0,"",J838-I838)</f>
        <v/>
      </c>
      <c r="M838" s="1" t="n">
        <f aca="false">IF(LEN(A838&amp;"")=0,0,IF(COUNTIFS(Base!$A$7:$A$1006,A838)&gt;1,1,0))</f>
        <v>0</v>
      </c>
      <c r="N838" s="1" t="n">
        <f aca="false">IF(LEN(A838&amp;"")=0,0,IF(ABS(L838)&gt;0.005,1,0))</f>
        <v>0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customFormat="false" ht="23" hidden="false" customHeight="true" outlineLevel="0" collapsed="false">
      <c r="A839" s="1" t="str">
        <f aca="false">IF(LEN(Base!A839&amp;"")=0,"",Base!A839)</f>
        <v/>
      </c>
      <c r="B839" s="60" t="str">
        <f aca="false">IF(LEN(A839&amp;"")=0,"",Base!D839)</f>
        <v/>
      </c>
      <c r="C839" s="1" t="str">
        <f aca="false">IF(LEN(A839&amp;"")=0,"",Base!C839)</f>
        <v/>
      </c>
      <c r="D839" s="1" t="str">
        <f aca="false">IF(LEN(A839&amp;"")=0,"",Base!G839)</f>
        <v/>
      </c>
      <c r="E839" s="1" t="str">
        <f aca="false">IF(LEN(A839&amp;"")=0,"",Base!E839)</f>
        <v/>
      </c>
      <c r="F839" s="61" t="str">
        <f aca="false">IF(LEN(A839&amp;"")=0,"",IF(Base!I839="-",0,Base!I839))</f>
        <v/>
      </c>
      <c r="G839" s="61" t="str">
        <f aca="false">IF(LEN(A839&amp;"")=0,"",SUM(Base!F839,F839,Base!K839))</f>
        <v/>
      </c>
      <c r="H839" s="61" t="str">
        <f aca="false">IF(LEN(A839&amp;"")=0,"",Base!L839)</f>
        <v/>
      </c>
      <c r="I839" s="61" t="str">
        <f aca="false">IF(LEN(A839&amp;"")=0,"",G839-H839)</f>
        <v/>
      </c>
      <c r="J839" s="61" t="str">
        <f aca="false">IF(LEN(A839&amp;"")=0,"",Base!M839)</f>
        <v/>
      </c>
      <c r="K839" s="1" t="n">
        <f aca="false">IF(OR(LEN(A839&amp;"")=0,$P$3=0),0,IF(AND(B839&gt;=Painel!$B$8,B839&lt;=Painel!$G$8,OR(Painel!$L$8="Todos",C839=Painel!$L$8),OR(Painel!$Q$8="Todos",D839=Painel!$Q$8),OR(Painel!$V$8="Todas",E839=Painel!$V$8)),1,0))</f>
        <v>0</v>
      </c>
      <c r="L839" s="61" t="str">
        <f aca="false">IF(LEN(A839&amp;"")=0,"",J839-I839)</f>
        <v/>
      </c>
      <c r="M839" s="1" t="n">
        <f aca="false">IF(LEN(A839&amp;"")=0,0,IF(COUNTIFS(Base!$A$7:$A$1006,A839)&gt;1,1,0))</f>
        <v>0</v>
      </c>
      <c r="N839" s="1" t="n">
        <f aca="false">IF(LEN(A839&amp;"")=0,0,IF(ABS(L839)&gt;0.005,1,0))</f>
        <v>0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customFormat="false" ht="23" hidden="false" customHeight="true" outlineLevel="0" collapsed="false">
      <c r="A840" s="1" t="str">
        <f aca="false">IF(LEN(Base!A840&amp;"")=0,"",Base!A840)</f>
        <v/>
      </c>
      <c r="B840" s="60" t="str">
        <f aca="false">IF(LEN(A840&amp;"")=0,"",Base!D840)</f>
        <v/>
      </c>
      <c r="C840" s="1" t="str">
        <f aca="false">IF(LEN(A840&amp;"")=0,"",Base!C840)</f>
        <v/>
      </c>
      <c r="D840" s="1" t="str">
        <f aca="false">IF(LEN(A840&amp;"")=0,"",Base!G840)</f>
        <v/>
      </c>
      <c r="E840" s="1" t="str">
        <f aca="false">IF(LEN(A840&amp;"")=0,"",Base!E840)</f>
        <v/>
      </c>
      <c r="F840" s="61" t="str">
        <f aca="false">IF(LEN(A840&amp;"")=0,"",IF(Base!I840="-",0,Base!I840))</f>
        <v/>
      </c>
      <c r="G840" s="61" t="str">
        <f aca="false">IF(LEN(A840&amp;"")=0,"",SUM(Base!F840,F840,Base!K840))</f>
        <v/>
      </c>
      <c r="H840" s="61" t="str">
        <f aca="false">IF(LEN(A840&amp;"")=0,"",Base!L840)</f>
        <v/>
      </c>
      <c r="I840" s="61" t="str">
        <f aca="false">IF(LEN(A840&amp;"")=0,"",G840-H840)</f>
        <v/>
      </c>
      <c r="J840" s="61" t="str">
        <f aca="false">IF(LEN(A840&amp;"")=0,"",Base!M840)</f>
        <v/>
      </c>
      <c r="K840" s="1" t="n">
        <f aca="false">IF(OR(LEN(A840&amp;"")=0,$P$3=0),0,IF(AND(B840&gt;=Painel!$B$8,B840&lt;=Painel!$G$8,OR(Painel!$L$8="Todos",C840=Painel!$L$8),OR(Painel!$Q$8="Todos",D840=Painel!$Q$8),OR(Painel!$V$8="Todas",E840=Painel!$V$8)),1,0))</f>
        <v>0</v>
      </c>
      <c r="L840" s="61" t="str">
        <f aca="false">IF(LEN(A840&amp;"")=0,"",J840-I840)</f>
        <v/>
      </c>
      <c r="M840" s="1" t="n">
        <f aca="false">IF(LEN(A840&amp;"")=0,0,IF(COUNTIFS(Base!$A$7:$A$1006,A840)&gt;1,1,0))</f>
        <v>0</v>
      </c>
      <c r="N840" s="1" t="n">
        <f aca="false">IF(LEN(A840&amp;"")=0,0,IF(ABS(L840)&gt;0.005,1,0))</f>
        <v>0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customFormat="false" ht="23" hidden="false" customHeight="true" outlineLevel="0" collapsed="false">
      <c r="A841" s="1" t="str">
        <f aca="false">IF(LEN(Base!A841&amp;"")=0,"",Base!A841)</f>
        <v/>
      </c>
      <c r="B841" s="60" t="str">
        <f aca="false">IF(LEN(A841&amp;"")=0,"",Base!D841)</f>
        <v/>
      </c>
      <c r="C841" s="1" t="str">
        <f aca="false">IF(LEN(A841&amp;"")=0,"",Base!C841)</f>
        <v/>
      </c>
      <c r="D841" s="1" t="str">
        <f aca="false">IF(LEN(A841&amp;"")=0,"",Base!G841)</f>
        <v/>
      </c>
      <c r="E841" s="1" t="str">
        <f aca="false">IF(LEN(A841&amp;"")=0,"",Base!E841)</f>
        <v/>
      </c>
      <c r="F841" s="61" t="str">
        <f aca="false">IF(LEN(A841&amp;"")=0,"",IF(Base!I841="-",0,Base!I841))</f>
        <v/>
      </c>
      <c r="G841" s="61" t="str">
        <f aca="false">IF(LEN(A841&amp;"")=0,"",SUM(Base!F841,F841,Base!K841))</f>
        <v/>
      </c>
      <c r="H841" s="61" t="str">
        <f aca="false">IF(LEN(A841&amp;"")=0,"",Base!L841)</f>
        <v/>
      </c>
      <c r="I841" s="61" t="str">
        <f aca="false">IF(LEN(A841&amp;"")=0,"",G841-H841)</f>
        <v/>
      </c>
      <c r="J841" s="61" t="str">
        <f aca="false">IF(LEN(A841&amp;"")=0,"",Base!M841)</f>
        <v/>
      </c>
      <c r="K841" s="1" t="n">
        <f aca="false">IF(OR(LEN(A841&amp;"")=0,$P$3=0),0,IF(AND(B841&gt;=Painel!$B$8,B841&lt;=Painel!$G$8,OR(Painel!$L$8="Todos",C841=Painel!$L$8),OR(Painel!$Q$8="Todos",D841=Painel!$Q$8),OR(Painel!$V$8="Todas",E841=Painel!$V$8)),1,0))</f>
        <v>0</v>
      </c>
      <c r="L841" s="61" t="str">
        <f aca="false">IF(LEN(A841&amp;"")=0,"",J841-I841)</f>
        <v/>
      </c>
      <c r="M841" s="1" t="n">
        <f aca="false">IF(LEN(A841&amp;"")=0,0,IF(COUNTIFS(Base!$A$7:$A$1006,A841)&gt;1,1,0))</f>
        <v>0</v>
      </c>
      <c r="N841" s="1" t="n">
        <f aca="false">IF(LEN(A841&amp;"")=0,0,IF(ABS(L841)&gt;0.005,1,0))</f>
        <v>0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customFormat="false" ht="23" hidden="false" customHeight="true" outlineLevel="0" collapsed="false">
      <c r="A842" s="1" t="str">
        <f aca="false">IF(LEN(Base!A842&amp;"")=0,"",Base!A842)</f>
        <v/>
      </c>
      <c r="B842" s="60" t="str">
        <f aca="false">IF(LEN(A842&amp;"")=0,"",Base!D842)</f>
        <v/>
      </c>
      <c r="C842" s="1" t="str">
        <f aca="false">IF(LEN(A842&amp;"")=0,"",Base!C842)</f>
        <v/>
      </c>
      <c r="D842" s="1" t="str">
        <f aca="false">IF(LEN(A842&amp;"")=0,"",Base!G842)</f>
        <v/>
      </c>
      <c r="E842" s="1" t="str">
        <f aca="false">IF(LEN(A842&amp;"")=0,"",Base!E842)</f>
        <v/>
      </c>
      <c r="F842" s="61" t="str">
        <f aca="false">IF(LEN(A842&amp;"")=0,"",IF(Base!I842="-",0,Base!I842))</f>
        <v/>
      </c>
      <c r="G842" s="61" t="str">
        <f aca="false">IF(LEN(A842&amp;"")=0,"",SUM(Base!F842,F842,Base!K842))</f>
        <v/>
      </c>
      <c r="H842" s="61" t="str">
        <f aca="false">IF(LEN(A842&amp;"")=0,"",Base!L842)</f>
        <v/>
      </c>
      <c r="I842" s="61" t="str">
        <f aca="false">IF(LEN(A842&amp;"")=0,"",G842-H842)</f>
        <v/>
      </c>
      <c r="J842" s="61" t="str">
        <f aca="false">IF(LEN(A842&amp;"")=0,"",Base!M842)</f>
        <v/>
      </c>
      <c r="K842" s="1" t="n">
        <f aca="false">IF(OR(LEN(A842&amp;"")=0,$P$3=0),0,IF(AND(B842&gt;=Painel!$B$8,B842&lt;=Painel!$G$8,OR(Painel!$L$8="Todos",C842=Painel!$L$8),OR(Painel!$Q$8="Todos",D842=Painel!$Q$8),OR(Painel!$V$8="Todas",E842=Painel!$V$8)),1,0))</f>
        <v>0</v>
      </c>
      <c r="L842" s="61" t="str">
        <f aca="false">IF(LEN(A842&amp;"")=0,"",J842-I842)</f>
        <v/>
      </c>
      <c r="M842" s="1" t="n">
        <f aca="false">IF(LEN(A842&amp;"")=0,0,IF(COUNTIFS(Base!$A$7:$A$1006,A842)&gt;1,1,0))</f>
        <v>0</v>
      </c>
      <c r="N842" s="1" t="n">
        <f aca="false">IF(LEN(A842&amp;"")=0,0,IF(ABS(L842)&gt;0.005,1,0))</f>
        <v>0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customFormat="false" ht="23" hidden="false" customHeight="true" outlineLevel="0" collapsed="false">
      <c r="A843" s="1" t="str">
        <f aca="false">IF(LEN(Base!A843&amp;"")=0,"",Base!A843)</f>
        <v/>
      </c>
      <c r="B843" s="60" t="str">
        <f aca="false">IF(LEN(A843&amp;"")=0,"",Base!D843)</f>
        <v/>
      </c>
      <c r="C843" s="1" t="str">
        <f aca="false">IF(LEN(A843&amp;"")=0,"",Base!C843)</f>
        <v/>
      </c>
      <c r="D843" s="1" t="str">
        <f aca="false">IF(LEN(A843&amp;"")=0,"",Base!G843)</f>
        <v/>
      </c>
      <c r="E843" s="1" t="str">
        <f aca="false">IF(LEN(A843&amp;"")=0,"",Base!E843)</f>
        <v/>
      </c>
      <c r="F843" s="61" t="str">
        <f aca="false">IF(LEN(A843&amp;"")=0,"",IF(Base!I843="-",0,Base!I843))</f>
        <v/>
      </c>
      <c r="G843" s="61" t="str">
        <f aca="false">IF(LEN(A843&amp;"")=0,"",SUM(Base!F843,F843,Base!K843))</f>
        <v/>
      </c>
      <c r="H843" s="61" t="str">
        <f aca="false">IF(LEN(A843&amp;"")=0,"",Base!L843)</f>
        <v/>
      </c>
      <c r="I843" s="61" t="str">
        <f aca="false">IF(LEN(A843&amp;"")=0,"",G843-H843)</f>
        <v/>
      </c>
      <c r="J843" s="61" t="str">
        <f aca="false">IF(LEN(A843&amp;"")=0,"",Base!M843)</f>
        <v/>
      </c>
      <c r="K843" s="1" t="n">
        <f aca="false">IF(OR(LEN(A843&amp;"")=0,$P$3=0),0,IF(AND(B843&gt;=Painel!$B$8,B843&lt;=Painel!$G$8,OR(Painel!$L$8="Todos",C843=Painel!$L$8),OR(Painel!$Q$8="Todos",D843=Painel!$Q$8),OR(Painel!$V$8="Todas",E843=Painel!$V$8)),1,0))</f>
        <v>0</v>
      </c>
      <c r="L843" s="61" t="str">
        <f aca="false">IF(LEN(A843&amp;"")=0,"",J843-I843)</f>
        <v/>
      </c>
      <c r="M843" s="1" t="n">
        <f aca="false">IF(LEN(A843&amp;"")=0,0,IF(COUNTIFS(Base!$A$7:$A$1006,A843)&gt;1,1,0))</f>
        <v>0</v>
      </c>
      <c r="N843" s="1" t="n">
        <f aca="false">IF(LEN(A843&amp;"")=0,0,IF(ABS(L843)&gt;0.005,1,0))</f>
        <v>0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customFormat="false" ht="23" hidden="false" customHeight="true" outlineLevel="0" collapsed="false">
      <c r="A844" s="1" t="str">
        <f aca="false">IF(LEN(Base!A844&amp;"")=0,"",Base!A844)</f>
        <v/>
      </c>
      <c r="B844" s="60" t="str">
        <f aca="false">IF(LEN(A844&amp;"")=0,"",Base!D844)</f>
        <v/>
      </c>
      <c r="C844" s="1" t="str">
        <f aca="false">IF(LEN(A844&amp;"")=0,"",Base!C844)</f>
        <v/>
      </c>
      <c r="D844" s="1" t="str">
        <f aca="false">IF(LEN(A844&amp;"")=0,"",Base!G844)</f>
        <v/>
      </c>
      <c r="E844" s="1" t="str">
        <f aca="false">IF(LEN(A844&amp;"")=0,"",Base!E844)</f>
        <v/>
      </c>
      <c r="F844" s="61" t="str">
        <f aca="false">IF(LEN(A844&amp;"")=0,"",IF(Base!I844="-",0,Base!I844))</f>
        <v/>
      </c>
      <c r="G844" s="61" t="str">
        <f aca="false">IF(LEN(A844&amp;"")=0,"",SUM(Base!F844,F844,Base!K844))</f>
        <v/>
      </c>
      <c r="H844" s="61" t="str">
        <f aca="false">IF(LEN(A844&amp;"")=0,"",Base!L844)</f>
        <v/>
      </c>
      <c r="I844" s="61" t="str">
        <f aca="false">IF(LEN(A844&amp;"")=0,"",G844-H844)</f>
        <v/>
      </c>
      <c r="J844" s="61" t="str">
        <f aca="false">IF(LEN(A844&amp;"")=0,"",Base!M844)</f>
        <v/>
      </c>
      <c r="K844" s="1" t="n">
        <f aca="false">IF(OR(LEN(A844&amp;"")=0,$P$3=0),0,IF(AND(B844&gt;=Painel!$B$8,B844&lt;=Painel!$G$8,OR(Painel!$L$8="Todos",C844=Painel!$L$8),OR(Painel!$Q$8="Todos",D844=Painel!$Q$8),OR(Painel!$V$8="Todas",E844=Painel!$V$8)),1,0))</f>
        <v>0</v>
      </c>
      <c r="L844" s="61" t="str">
        <f aca="false">IF(LEN(A844&amp;"")=0,"",J844-I844)</f>
        <v/>
      </c>
      <c r="M844" s="1" t="n">
        <f aca="false">IF(LEN(A844&amp;"")=0,0,IF(COUNTIFS(Base!$A$7:$A$1006,A844)&gt;1,1,0))</f>
        <v>0</v>
      </c>
      <c r="N844" s="1" t="n">
        <f aca="false">IF(LEN(A844&amp;"")=0,0,IF(ABS(L844)&gt;0.005,1,0))</f>
        <v>0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customFormat="false" ht="23" hidden="false" customHeight="true" outlineLevel="0" collapsed="false">
      <c r="A845" s="1" t="str">
        <f aca="false">IF(LEN(Base!A845&amp;"")=0,"",Base!A845)</f>
        <v/>
      </c>
      <c r="B845" s="60" t="str">
        <f aca="false">IF(LEN(A845&amp;"")=0,"",Base!D845)</f>
        <v/>
      </c>
      <c r="C845" s="1" t="str">
        <f aca="false">IF(LEN(A845&amp;"")=0,"",Base!C845)</f>
        <v/>
      </c>
      <c r="D845" s="1" t="str">
        <f aca="false">IF(LEN(A845&amp;"")=0,"",Base!G845)</f>
        <v/>
      </c>
      <c r="E845" s="1" t="str">
        <f aca="false">IF(LEN(A845&amp;"")=0,"",Base!E845)</f>
        <v/>
      </c>
      <c r="F845" s="61" t="str">
        <f aca="false">IF(LEN(A845&amp;"")=0,"",IF(Base!I845="-",0,Base!I845))</f>
        <v/>
      </c>
      <c r="G845" s="61" t="str">
        <f aca="false">IF(LEN(A845&amp;"")=0,"",SUM(Base!F845,F845,Base!K845))</f>
        <v/>
      </c>
      <c r="H845" s="61" t="str">
        <f aca="false">IF(LEN(A845&amp;"")=0,"",Base!L845)</f>
        <v/>
      </c>
      <c r="I845" s="61" t="str">
        <f aca="false">IF(LEN(A845&amp;"")=0,"",G845-H845)</f>
        <v/>
      </c>
      <c r="J845" s="61" t="str">
        <f aca="false">IF(LEN(A845&amp;"")=0,"",Base!M845)</f>
        <v/>
      </c>
      <c r="K845" s="1" t="n">
        <f aca="false">IF(OR(LEN(A845&amp;"")=0,$P$3=0),0,IF(AND(B845&gt;=Painel!$B$8,B845&lt;=Painel!$G$8,OR(Painel!$L$8="Todos",C845=Painel!$L$8),OR(Painel!$Q$8="Todos",D845=Painel!$Q$8),OR(Painel!$V$8="Todas",E845=Painel!$V$8)),1,0))</f>
        <v>0</v>
      </c>
      <c r="L845" s="61" t="str">
        <f aca="false">IF(LEN(A845&amp;"")=0,"",J845-I845)</f>
        <v/>
      </c>
      <c r="M845" s="1" t="n">
        <f aca="false">IF(LEN(A845&amp;"")=0,0,IF(COUNTIFS(Base!$A$7:$A$1006,A845)&gt;1,1,0))</f>
        <v>0</v>
      </c>
      <c r="N845" s="1" t="n">
        <f aca="false">IF(LEN(A845&amp;"")=0,0,IF(ABS(L845)&gt;0.005,1,0))</f>
        <v>0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customFormat="false" ht="23" hidden="false" customHeight="true" outlineLevel="0" collapsed="false">
      <c r="A846" s="1" t="str">
        <f aca="false">IF(LEN(Base!A846&amp;"")=0,"",Base!A846)</f>
        <v/>
      </c>
      <c r="B846" s="60" t="str">
        <f aca="false">IF(LEN(A846&amp;"")=0,"",Base!D846)</f>
        <v/>
      </c>
      <c r="C846" s="1" t="str">
        <f aca="false">IF(LEN(A846&amp;"")=0,"",Base!C846)</f>
        <v/>
      </c>
      <c r="D846" s="1" t="str">
        <f aca="false">IF(LEN(A846&amp;"")=0,"",Base!G846)</f>
        <v/>
      </c>
      <c r="E846" s="1" t="str">
        <f aca="false">IF(LEN(A846&amp;"")=0,"",Base!E846)</f>
        <v/>
      </c>
      <c r="F846" s="61" t="str">
        <f aca="false">IF(LEN(A846&amp;"")=0,"",IF(Base!I846="-",0,Base!I846))</f>
        <v/>
      </c>
      <c r="G846" s="61" t="str">
        <f aca="false">IF(LEN(A846&amp;"")=0,"",SUM(Base!F846,F846,Base!K846))</f>
        <v/>
      </c>
      <c r="H846" s="61" t="str">
        <f aca="false">IF(LEN(A846&amp;"")=0,"",Base!L846)</f>
        <v/>
      </c>
      <c r="I846" s="61" t="str">
        <f aca="false">IF(LEN(A846&amp;"")=0,"",G846-H846)</f>
        <v/>
      </c>
      <c r="J846" s="61" t="str">
        <f aca="false">IF(LEN(A846&amp;"")=0,"",Base!M846)</f>
        <v/>
      </c>
      <c r="K846" s="1" t="n">
        <f aca="false">IF(OR(LEN(A846&amp;"")=0,$P$3=0),0,IF(AND(B846&gt;=Painel!$B$8,B846&lt;=Painel!$G$8,OR(Painel!$L$8="Todos",C846=Painel!$L$8),OR(Painel!$Q$8="Todos",D846=Painel!$Q$8),OR(Painel!$V$8="Todas",E846=Painel!$V$8)),1,0))</f>
        <v>0</v>
      </c>
      <c r="L846" s="61" t="str">
        <f aca="false">IF(LEN(A846&amp;"")=0,"",J846-I846)</f>
        <v/>
      </c>
      <c r="M846" s="1" t="n">
        <f aca="false">IF(LEN(A846&amp;"")=0,0,IF(COUNTIFS(Base!$A$7:$A$1006,A846)&gt;1,1,0))</f>
        <v>0</v>
      </c>
      <c r="N846" s="1" t="n">
        <f aca="false">IF(LEN(A846&amp;"")=0,0,IF(ABS(L846)&gt;0.005,1,0))</f>
        <v>0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customFormat="false" ht="23" hidden="false" customHeight="true" outlineLevel="0" collapsed="false">
      <c r="A847" s="1" t="str">
        <f aca="false">IF(LEN(Base!A847&amp;"")=0,"",Base!A847)</f>
        <v/>
      </c>
      <c r="B847" s="60" t="str">
        <f aca="false">IF(LEN(A847&amp;"")=0,"",Base!D847)</f>
        <v/>
      </c>
      <c r="C847" s="1" t="str">
        <f aca="false">IF(LEN(A847&amp;"")=0,"",Base!C847)</f>
        <v/>
      </c>
      <c r="D847" s="1" t="str">
        <f aca="false">IF(LEN(A847&amp;"")=0,"",Base!G847)</f>
        <v/>
      </c>
      <c r="E847" s="1" t="str">
        <f aca="false">IF(LEN(A847&amp;"")=0,"",Base!E847)</f>
        <v/>
      </c>
      <c r="F847" s="61" t="str">
        <f aca="false">IF(LEN(A847&amp;"")=0,"",IF(Base!I847="-",0,Base!I847))</f>
        <v/>
      </c>
      <c r="G847" s="61" t="str">
        <f aca="false">IF(LEN(A847&amp;"")=0,"",SUM(Base!F847,F847,Base!K847))</f>
        <v/>
      </c>
      <c r="H847" s="61" t="str">
        <f aca="false">IF(LEN(A847&amp;"")=0,"",Base!L847)</f>
        <v/>
      </c>
      <c r="I847" s="61" t="str">
        <f aca="false">IF(LEN(A847&amp;"")=0,"",G847-H847)</f>
        <v/>
      </c>
      <c r="J847" s="61" t="str">
        <f aca="false">IF(LEN(A847&amp;"")=0,"",Base!M847)</f>
        <v/>
      </c>
      <c r="K847" s="1" t="n">
        <f aca="false">IF(OR(LEN(A847&amp;"")=0,$P$3=0),0,IF(AND(B847&gt;=Painel!$B$8,B847&lt;=Painel!$G$8,OR(Painel!$L$8="Todos",C847=Painel!$L$8),OR(Painel!$Q$8="Todos",D847=Painel!$Q$8),OR(Painel!$V$8="Todas",E847=Painel!$V$8)),1,0))</f>
        <v>0</v>
      </c>
      <c r="L847" s="61" t="str">
        <f aca="false">IF(LEN(A847&amp;"")=0,"",J847-I847)</f>
        <v/>
      </c>
      <c r="M847" s="1" t="n">
        <f aca="false">IF(LEN(A847&amp;"")=0,0,IF(COUNTIFS(Base!$A$7:$A$1006,A847)&gt;1,1,0))</f>
        <v>0</v>
      </c>
      <c r="N847" s="1" t="n">
        <f aca="false">IF(LEN(A847&amp;"")=0,0,IF(ABS(L847)&gt;0.005,1,0))</f>
        <v>0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customFormat="false" ht="23" hidden="false" customHeight="true" outlineLevel="0" collapsed="false">
      <c r="A848" s="1" t="str">
        <f aca="false">IF(LEN(Base!A848&amp;"")=0,"",Base!A848)</f>
        <v/>
      </c>
      <c r="B848" s="60" t="str">
        <f aca="false">IF(LEN(A848&amp;"")=0,"",Base!D848)</f>
        <v/>
      </c>
      <c r="C848" s="1" t="str">
        <f aca="false">IF(LEN(A848&amp;"")=0,"",Base!C848)</f>
        <v/>
      </c>
      <c r="D848" s="1" t="str">
        <f aca="false">IF(LEN(A848&amp;"")=0,"",Base!G848)</f>
        <v/>
      </c>
      <c r="E848" s="1" t="str">
        <f aca="false">IF(LEN(A848&amp;"")=0,"",Base!E848)</f>
        <v/>
      </c>
      <c r="F848" s="61" t="str">
        <f aca="false">IF(LEN(A848&amp;"")=0,"",IF(Base!I848="-",0,Base!I848))</f>
        <v/>
      </c>
      <c r="G848" s="61" t="str">
        <f aca="false">IF(LEN(A848&amp;"")=0,"",SUM(Base!F848,F848,Base!K848))</f>
        <v/>
      </c>
      <c r="H848" s="61" t="str">
        <f aca="false">IF(LEN(A848&amp;"")=0,"",Base!L848)</f>
        <v/>
      </c>
      <c r="I848" s="61" t="str">
        <f aca="false">IF(LEN(A848&amp;"")=0,"",G848-H848)</f>
        <v/>
      </c>
      <c r="J848" s="61" t="str">
        <f aca="false">IF(LEN(A848&amp;"")=0,"",Base!M848)</f>
        <v/>
      </c>
      <c r="K848" s="1" t="n">
        <f aca="false">IF(OR(LEN(A848&amp;"")=0,$P$3=0),0,IF(AND(B848&gt;=Painel!$B$8,B848&lt;=Painel!$G$8,OR(Painel!$L$8="Todos",C848=Painel!$L$8),OR(Painel!$Q$8="Todos",D848=Painel!$Q$8),OR(Painel!$V$8="Todas",E848=Painel!$V$8)),1,0))</f>
        <v>0</v>
      </c>
      <c r="L848" s="61" t="str">
        <f aca="false">IF(LEN(A848&amp;"")=0,"",J848-I848)</f>
        <v/>
      </c>
      <c r="M848" s="1" t="n">
        <f aca="false">IF(LEN(A848&amp;"")=0,0,IF(COUNTIFS(Base!$A$7:$A$1006,A848)&gt;1,1,0))</f>
        <v>0</v>
      </c>
      <c r="N848" s="1" t="n">
        <f aca="false">IF(LEN(A848&amp;"")=0,0,IF(ABS(L848)&gt;0.005,1,0))</f>
        <v>0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customFormat="false" ht="23" hidden="false" customHeight="true" outlineLevel="0" collapsed="false">
      <c r="A849" s="1" t="str">
        <f aca="false">IF(LEN(Base!A849&amp;"")=0,"",Base!A849)</f>
        <v/>
      </c>
      <c r="B849" s="60" t="str">
        <f aca="false">IF(LEN(A849&amp;"")=0,"",Base!D849)</f>
        <v/>
      </c>
      <c r="C849" s="1" t="str">
        <f aca="false">IF(LEN(A849&amp;"")=0,"",Base!C849)</f>
        <v/>
      </c>
      <c r="D849" s="1" t="str">
        <f aca="false">IF(LEN(A849&amp;"")=0,"",Base!G849)</f>
        <v/>
      </c>
      <c r="E849" s="1" t="str">
        <f aca="false">IF(LEN(A849&amp;"")=0,"",Base!E849)</f>
        <v/>
      </c>
      <c r="F849" s="61" t="str">
        <f aca="false">IF(LEN(A849&amp;"")=0,"",IF(Base!I849="-",0,Base!I849))</f>
        <v/>
      </c>
      <c r="G849" s="61" t="str">
        <f aca="false">IF(LEN(A849&amp;"")=0,"",SUM(Base!F849,F849,Base!K849))</f>
        <v/>
      </c>
      <c r="H849" s="61" t="str">
        <f aca="false">IF(LEN(A849&amp;"")=0,"",Base!L849)</f>
        <v/>
      </c>
      <c r="I849" s="61" t="str">
        <f aca="false">IF(LEN(A849&amp;"")=0,"",G849-H849)</f>
        <v/>
      </c>
      <c r="J849" s="61" t="str">
        <f aca="false">IF(LEN(A849&amp;"")=0,"",Base!M849)</f>
        <v/>
      </c>
      <c r="K849" s="1" t="n">
        <f aca="false">IF(OR(LEN(A849&amp;"")=0,$P$3=0),0,IF(AND(B849&gt;=Painel!$B$8,B849&lt;=Painel!$G$8,OR(Painel!$L$8="Todos",C849=Painel!$L$8),OR(Painel!$Q$8="Todos",D849=Painel!$Q$8),OR(Painel!$V$8="Todas",E849=Painel!$V$8)),1,0))</f>
        <v>0</v>
      </c>
      <c r="L849" s="61" t="str">
        <f aca="false">IF(LEN(A849&amp;"")=0,"",J849-I849)</f>
        <v/>
      </c>
      <c r="M849" s="1" t="n">
        <f aca="false">IF(LEN(A849&amp;"")=0,0,IF(COUNTIFS(Base!$A$7:$A$1006,A849)&gt;1,1,0))</f>
        <v>0</v>
      </c>
      <c r="N849" s="1" t="n">
        <f aca="false">IF(LEN(A849&amp;"")=0,0,IF(ABS(L849)&gt;0.005,1,0))</f>
        <v>0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customFormat="false" ht="23" hidden="false" customHeight="true" outlineLevel="0" collapsed="false">
      <c r="A850" s="1" t="str">
        <f aca="false">IF(LEN(Base!A850&amp;"")=0,"",Base!A850)</f>
        <v/>
      </c>
      <c r="B850" s="60" t="str">
        <f aca="false">IF(LEN(A850&amp;"")=0,"",Base!D850)</f>
        <v/>
      </c>
      <c r="C850" s="1" t="str">
        <f aca="false">IF(LEN(A850&amp;"")=0,"",Base!C850)</f>
        <v/>
      </c>
      <c r="D850" s="1" t="str">
        <f aca="false">IF(LEN(A850&amp;"")=0,"",Base!G850)</f>
        <v/>
      </c>
      <c r="E850" s="1" t="str">
        <f aca="false">IF(LEN(A850&amp;"")=0,"",Base!E850)</f>
        <v/>
      </c>
      <c r="F850" s="61" t="str">
        <f aca="false">IF(LEN(A850&amp;"")=0,"",IF(Base!I850="-",0,Base!I850))</f>
        <v/>
      </c>
      <c r="G850" s="61" t="str">
        <f aca="false">IF(LEN(A850&amp;"")=0,"",SUM(Base!F850,F850,Base!K850))</f>
        <v/>
      </c>
      <c r="H850" s="61" t="str">
        <f aca="false">IF(LEN(A850&amp;"")=0,"",Base!L850)</f>
        <v/>
      </c>
      <c r="I850" s="61" t="str">
        <f aca="false">IF(LEN(A850&amp;"")=0,"",G850-H850)</f>
        <v/>
      </c>
      <c r="J850" s="61" t="str">
        <f aca="false">IF(LEN(A850&amp;"")=0,"",Base!M850)</f>
        <v/>
      </c>
      <c r="K850" s="1" t="n">
        <f aca="false">IF(OR(LEN(A850&amp;"")=0,$P$3=0),0,IF(AND(B850&gt;=Painel!$B$8,B850&lt;=Painel!$G$8,OR(Painel!$L$8="Todos",C850=Painel!$L$8),OR(Painel!$Q$8="Todos",D850=Painel!$Q$8),OR(Painel!$V$8="Todas",E850=Painel!$V$8)),1,0))</f>
        <v>0</v>
      </c>
      <c r="L850" s="61" t="str">
        <f aca="false">IF(LEN(A850&amp;"")=0,"",J850-I850)</f>
        <v/>
      </c>
      <c r="M850" s="1" t="n">
        <f aca="false">IF(LEN(A850&amp;"")=0,0,IF(COUNTIFS(Base!$A$7:$A$1006,A850)&gt;1,1,0))</f>
        <v>0</v>
      </c>
      <c r="N850" s="1" t="n">
        <f aca="false">IF(LEN(A850&amp;"")=0,0,IF(ABS(L850)&gt;0.005,1,0))</f>
        <v>0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customFormat="false" ht="23" hidden="false" customHeight="true" outlineLevel="0" collapsed="false">
      <c r="A851" s="1" t="str">
        <f aca="false">IF(LEN(Base!A851&amp;"")=0,"",Base!A851)</f>
        <v/>
      </c>
      <c r="B851" s="60" t="str">
        <f aca="false">IF(LEN(A851&amp;"")=0,"",Base!D851)</f>
        <v/>
      </c>
      <c r="C851" s="1" t="str">
        <f aca="false">IF(LEN(A851&amp;"")=0,"",Base!C851)</f>
        <v/>
      </c>
      <c r="D851" s="1" t="str">
        <f aca="false">IF(LEN(A851&amp;"")=0,"",Base!G851)</f>
        <v/>
      </c>
      <c r="E851" s="1" t="str">
        <f aca="false">IF(LEN(A851&amp;"")=0,"",Base!E851)</f>
        <v/>
      </c>
      <c r="F851" s="61" t="str">
        <f aca="false">IF(LEN(A851&amp;"")=0,"",IF(Base!I851="-",0,Base!I851))</f>
        <v/>
      </c>
      <c r="G851" s="61" t="str">
        <f aca="false">IF(LEN(A851&amp;"")=0,"",SUM(Base!F851,F851,Base!K851))</f>
        <v/>
      </c>
      <c r="H851" s="61" t="str">
        <f aca="false">IF(LEN(A851&amp;"")=0,"",Base!L851)</f>
        <v/>
      </c>
      <c r="I851" s="61" t="str">
        <f aca="false">IF(LEN(A851&amp;"")=0,"",G851-H851)</f>
        <v/>
      </c>
      <c r="J851" s="61" t="str">
        <f aca="false">IF(LEN(A851&amp;"")=0,"",Base!M851)</f>
        <v/>
      </c>
      <c r="K851" s="1" t="n">
        <f aca="false">IF(OR(LEN(A851&amp;"")=0,$P$3=0),0,IF(AND(B851&gt;=Painel!$B$8,B851&lt;=Painel!$G$8,OR(Painel!$L$8="Todos",C851=Painel!$L$8),OR(Painel!$Q$8="Todos",D851=Painel!$Q$8),OR(Painel!$V$8="Todas",E851=Painel!$V$8)),1,0))</f>
        <v>0</v>
      </c>
      <c r="L851" s="61" t="str">
        <f aca="false">IF(LEN(A851&amp;"")=0,"",J851-I851)</f>
        <v/>
      </c>
      <c r="M851" s="1" t="n">
        <f aca="false">IF(LEN(A851&amp;"")=0,0,IF(COUNTIFS(Base!$A$7:$A$1006,A851)&gt;1,1,0))</f>
        <v>0</v>
      </c>
      <c r="N851" s="1" t="n">
        <f aca="false">IF(LEN(A851&amp;"")=0,0,IF(ABS(L851)&gt;0.005,1,0))</f>
        <v>0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customFormat="false" ht="23" hidden="false" customHeight="true" outlineLevel="0" collapsed="false">
      <c r="A852" s="1" t="str">
        <f aca="false">IF(LEN(Base!A852&amp;"")=0,"",Base!A852)</f>
        <v/>
      </c>
      <c r="B852" s="60" t="str">
        <f aca="false">IF(LEN(A852&amp;"")=0,"",Base!D852)</f>
        <v/>
      </c>
      <c r="C852" s="1" t="str">
        <f aca="false">IF(LEN(A852&amp;"")=0,"",Base!C852)</f>
        <v/>
      </c>
      <c r="D852" s="1" t="str">
        <f aca="false">IF(LEN(A852&amp;"")=0,"",Base!G852)</f>
        <v/>
      </c>
      <c r="E852" s="1" t="str">
        <f aca="false">IF(LEN(A852&amp;"")=0,"",Base!E852)</f>
        <v/>
      </c>
      <c r="F852" s="61" t="str">
        <f aca="false">IF(LEN(A852&amp;"")=0,"",IF(Base!I852="-",0,Base!I852))</f>
        <v/>
      </c>
      <c r="G852" s="61" t="str">
        <f aca="false">IF(LEN(A852&amp;"")=0,"",SUM(Base!F852,F852,Base!K852))</f>
        <v/>
      </c>
      <c r="H852" s="61" t="str">
        <f aca="false">IF(LEN(A852&amp;"")=0,"",Base!L852)</f>
        <v/>
      </c>
      <c r="I852" s="61" t="str">
        <f aca="false">IF(LEN(A852&amp;"")=0,"",G852-H852)</f>
        <v/>
      </c>
      <c r="J852" s="61" t="str">
        <f aca="false">IF(LEN(A852&amp;"")=0,"",Base!M852)</f>
        <v/>
      </c>
      <c r="K852" s="1" t="n">
        <f aca="false">IF(OR(LEN(A852&amp;"")=0,$P$3=0),0,IF(AND(B852&gt;=Painel!$B$8,B852&lt;=Painel!$G$8,OR(Painel!$L$8="Todos",C852=Painel!$L$8),OR(Painel!$Q$8="Todos",D852=Painel!$Q$8),OR(Painel!$V$8="Todas",E852=Painel!$V$8)),1,0))</f>
        <v>0</v>
      </c>
      <c r="L852" s="61" t="str">
        <f aca="false">IF(LEN(A852&amp;"")=0,"",J852-I852)</f>
        <v/>
      </c>
      <c r="M852" s="1" t="n">
        <f aca="false">IF(LEN(A852&amp;"")=0,0,IF(COUNTIFS(Base!$A$7:$A$1006,A852)&gt;1,1,0))</f>
        <v>0</v>
      </c>
      <c r="N852" s="1" t="n">
        <f aca="false">IF(LEN(A852&amp;"")=0,0,IF(ABS(L852)&gt;0.005,1,0))</f>
        <v>0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customFormat="false" ht="23" hidden="false" customHeight="true" outlineLevel="0" collapsed="false">
      <c r="A853" s="1" t="str">
        <f aca="false">IF(LEN(Base!A853&amp;"")=0,"",Base!A853)</f>
        <v/>
      </c>
      <c r="B853" s="60" t="str">
        <f aca="false">IF(LEN(A853&amp;"")=0,"",Base!D853)</f>
        <v/>
      </c>
      <c r="C853" s="1" t="str">
        <f aca="false">IF(LEN(A853&amp;"")=0,"",Base!C853)</f>
        <v/>
      </c>
      <c r="D853" s="1" t="str">
        <f aca="false">IF(LEN(A853&amp;"")=0,"",Base!G853)</f>
        <v/>
      </c>
      <c r="E853" s="1" t="str">
        <f aca="false">IF(LEN(A853&amp;"")=0,"",Base!E853)</f>
        <v/>
      </c>
      <c r="F853" s="61" t="str">
        <f aca="false">IF(LEN(A853&amp;"")=0,"",IF(Base!I853="-",0,Base!I853))</f>
        <v/>
      </c>
      <c r="G853" s="61" t="str">
        <f aca="false">IF(LEN(A853&amp;"")=0,"",SUM(Base!F853,F853,Base!K853))</f>
        <v/>
      </c>
      <c r="H853" s="61" t="str">
        <f aca="false">IF(LEN(A853&amp;"")=0,"",Base!L853)</f>
        <v/>
      </c>
      <c r="I853" s="61" t="str">
        <f aca="false">IF(LEN(A853&amp;"")=0,"",G853-H853)</f>
        <v/>
      </c>
      <c r="J853" s="61" t="str">
        <f aca="false">IF(LEN(A853&amp;"")=0,"",Base!M853)</f>
        <v/>
      </c>
      <c r="K853" s="1" t="n">
        <f aca="false">IF(OR(LEN(A853&amp;"")=0,$P$3=0),0,IF(AND(B853&gt;=Painel!$B$8,B853&lt;=Painel!$G$8,OR(Painel!$L$8="Todos",C853=Painel!$L$8),OR(Painel!$Q$8="Todos",D853=Painel!$Q$8),OR(Painel!$V$8="Todas",E853=Painel!$V$8)),1,0))</f>
        <v>0</v>
      </c>
      <c r="L853" s="61" t="str">
        <f aca="false">IF(LEN(A853&amp;"")=0,"",J853-I853)</f>
        <v/>
      </c>
      <c r="M853" s="1" t="n">
        <f aca="false">IF(LEN(A853&amp;"")=0,0,IF(COUNTIFS(Base!$A$7:$A$1006,A853)&gt;1,1,0))</f>
        <v>0</v>
      </c>
      <c r="N853" s="1" t="n">
        <f aca="false">IF(LEN(A853&amp;"")=0,0,IF(ABS(L853)&gt;0.005,1,0))</f>
        <v>0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customFormat="false" ht="23" hidden="false" customHeight="true" outlineLevel="0" collapsed="false">
      <c r="A854" s="1" t="str">
        <f aca="false">IF(LEN(Base!A854&amp;"")=0,"",Base!A854)</f>
        <v/>
      </c>
      <c r="B854" s="60" t="str">
        <f aca="false">IF(LEN(A854&amp;"")=0,"",Base!D854)</f>
        <v/>
      </c>
      <c r="C854" s="1" t="str">
        <f aca="false">IF(LEN(A854&amp;"")=0,"",Base!C854)</f>
        <v/>
      </c>
      <c r="D854" s="1" t="str">
        <f aca="false">IF(LEN(A854&amp;"")=0,"",Base!G854)</f>
        <v/>
      </c>
      <c r="E854" s="1" t="str">
        <f aca="false">IF(LEN(A854&amp;"")=0,"",Base!E854)</f>
        <v/>
      </c>
      <c r="F854" s="61" t="str">
        <f aca="false">IF(LEN(A854&amp;"")=0,"",IF(Base!I854="-",0,Base!I854))</f>
        <v/>
      </c>
      <c r="G854" s="61" t="str">
        <f aca="false">IF(LEN(A854&amp;"")=0,"",SUM(Base!F854,F854,Base!K854))</f>
        <v/>
      </c>
      <c r="H854" s="61" t="str">
        <f aca="false">IF(LEN(A854&amp;"")=0,"",Base!L854)</f>
        <v/>
      </c>
      <c r="I854" s="61" t="str">
        <f aca="false">IF(LEN(A854&amp;"")=0,"",G854-H854)</f>
        <v/>
      </c>
      <c r="J854" s="61" t="str">
        <f aca="false">IF(LEN(A854&amp;"")=0,"",Base!M854)</f>
        <v/>
      </c>
      <c r="K854" s="1" t="n">
        <f aca="false">IF(OR(LEN(A854&amp;"")=0,$P$3=0),0,IF(AND(B854&gt;=Painel!$B$8,B854&lt;=Painel!$G$8,OR(Painel!$L$8="Todos",C854=Painel!$L$8),OR(Painel!$Q$8="Todos",D854=Painel!$Q$8),OR(Painel!$V$8="Todas",E854=Painel!$V$8)),1,0))</f>
        <v>0</v>
      </c>
      <c r="L854" s="61" t="str">
        <f aca="false">IF(LEN(A854&amp;"")=0,"",J854-I854)</f>
        <v/>
      </c>
      <c r="M854" s="1" t="n">
        <f aca="false">IF(LEN(A854&amp;"")=0,0,IF(COUNTIFS(Base!$A$7:$A$1006,A854)&gt;1,1,0))</f>
        <v>0</v>
      </c>
      <c r="N854" s="1" t="n">
        <f aca="false">IF(LEN(A854&amp;"")=0,0,IF(ABS(L854)&gt;0.005,1,0))</f>
        <v>0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customFormat="false" ht="23" hidden="false" customHeight="true" outlineLevel="0" collapsed="false">
      <c r="A855" s="1" t="str">
        <f aca="false">IF(LEN(Base!A855&amp;"")=0,"",Base!A855)</f>
        <v/>
      </c>
      <c r="B855" s="60" t="str">
        <f aca="false">IF(LEN(A855&amp;"")=0,"",Base!D855)</f>
        <v/>
      </c>
      <c r="C855" s="1" t="str">
        <f aca="false">IF(LEN(A855&amp;"")=0,"",Base!C855)</f>
        <v/>
      </c>
      <c r="D855" s="1" t="str">
        <f aca="false">IF(LEN(A855&amp;"")=0,"",Base!G855)</f>
        <v/>
      </c>
      <c r="E855" s="1" t="str">
        <f aca="false">IF(LEN(A855&amp;"")=0,"",Base!E855)</f>
        <v/>
      </c>
      <c r="F855" s="61" t="str">
        <f aca="false">IF(LEN(A855&amp;"")=0,"",IF(Base!I855="-",0,Base!I855))</f>
        <v/>
      </c>
      <c r="G855" s="61" t="str">
        <f aca="false">IF(LEN(A855&amp;"")=0,"",SUM(Base!F855,F855,Base!K855))</f>
        <v/>
      </c>
      <c r="H855" s="61" t="str">
        <f aca="false">IF(LEN(A855&amp;"")=0,"",Base!L855)</f>
        <v/>
      </c>
      <c r="I855" s="61" t="str">
        <f aca="false">IF(LEN(A855&amp;"")=0,"",G855-H855)</f>
        <v/>
      </c>
      <c r="J855" s="61" t="str">
        <f aca="false">IF(LEN(A855&amp;"")=0,"",Base!M855)</f>
        <v/>
      </c>
      <c r="K855" s="1" t="n">
        <f aca="false">IF(OR(LEN(A855&amp;"")=0,$P$3=0),0,IF(AND(B855&gt;=Painel!$B$8,B855&lt;=Painel!$G$8,OR(Painel!$L$8="Todos",C855=Painel!$L$8),OR(Painel!$Q$8="Todos",D855=Painel!$Q$8),OR(Painel!$V$8="Todas",E855=Painel!$V$8)),1,0))</f>
        <v>0</v>
      </c>
      <c r="L855" s="61" t="str">
        <f aca="false">IF(LEN(A855&amp;"")=0,"",J855-I855)</f>
        <v/>
      </c>
      <c r="M855" s="1" t="n">
        <f aca="false">IF(LEN(A855&amp;"")=0,0,IF(COUNTIFS(Base!$A$7:$A$1006,A855)&gt;1,1,0))</f>
        <v>0</v>
      </c>
      <c r="N855" s="1" t="n">
        <f aca="false">IF(LEN(A855&amp;"")=0,0,IF(ABS(L855)&gt;0.005,1,0))</f>
        <v>0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customFormat="false" ht="23" hidden="false" customHeight="true" outlineLevel="0" collapsed="false">
      <c r="A856" s="1" t="str">
        <f aca="false">IF(LEN(Base!A856&amp;"")=0,"",Base!A856)</f>
        <v/>
      </c>
      <c r="B856" s="60" t="str">
        <f aca="false">IF(LEN(A856&amp;"")=0,"",Base!D856)</f>
        <v/>
      </c>
      <c r="C856" s="1" t="str">
        <f aca="false">IF(LEN(A856&amp;"")=0,"",Base!C856)</f>
        <v/>
      </c>
      <c r="D856" s="1" t="str">
        <f aca="false">IF(LEN(A856&amp;"")=0,"",Base!G856)</f>
        <v/>
      </c>
      <c r="E856" s="1" t="str">
        <f aca="false">IF(LEN(A856&amp;"")=0,"",Base!E856)</f>
        <v/>
      </c>
      <c r="F856" s="61" t="str">
        <f aca="false">IF(LEN(A856&amp;"")=0,"",IF(Base!I856="-",0,Base!I856))</f>
        <v/>
      </c>
      <c r="G856" s="61" t="str">
        <f aca="false">IF(LEN(A856&amp;"")=0,"",SUM(Base!F856,F856,Base!K856))</f>
        <v/>
      </c>
      <c r="H856" s="61" t="str">
        <f aca="false">IF(LEN(A856&amp;"")=0,"",Base!L856)</f>
        <v/>
      </c>
      <c r="I856" s="61" t="str">
        <f aca="false">IF(LEN(A856&amp;"")=0,"",G856-H856)</f>
        <v/>
      </c>
      <c r="J856" s="61" t="str">
        <f aca="false">IF(LEN(A856&amp;"")=0,"",Base!M856)</f>
        <v/>
      </c>
      <c r="K856" s="1" t="n">
        <f aca="false">IF(OR(LEN(A856&amp;"")=0,$P$3=0),0,IF(AND(B856&gt;=Painel!$B$8,B856&lt;=Painel!$G$8,OR(Painel!$L$8="Todos",C856=Painel!$L$8),OR(Painel!$Q$8="Todos",D856=Painel!$Q$8),OR(Painel!$V$8="Todas",E856=Painel!$V$8)),1,0))</f>
        <v>0</v>
      </c>
      <c r="L856" s="61" t="str">
        <f aca="false">IF(LEN(A856&amp;"")=0,"",J856-I856)</f>
        <v/>
      </c>
      <c r="M856" s="1" t="n">
        <f aca="false">IF(LEN(A856&amp;"")=0,0,IF(COUNTIFS(Base!$A$7:$A$1006,A856)&gt;1,1,0))</f>
        <v>0</v>
      </c>
      <c r="N856" s="1" t="n">
        <f aca="false">IF(LEN(A856&amp;"")=0,0,IF(ABS(L856)&gt;0.005,1,0))</f>
        <v>0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customFormat="false" ht="23" hidden="false" customHeight="true" outlineLevel="0" collapsed="false">
      <c r="A857" s="1" t="str">
        <f aca="false">IF(LEN(Base!A857&amp;"")=0,"",Base!A857)</f>
        <v/>
      </c>
      <c r="B857" s="60" t="str">
        <f aca="false">IF(LEN(A857&amp;"")=0,"",Base!D857)</f>
        <v/>
      </c>
      <c r="C857" s="1" t="str">
        <f aca="false">IF(LEN(A857&amp;"")=0,"",Base!C857)</f>
        <v/>
      </c>
      <c r="D857" s="1" t="str">
        <f aca="false">IF(LEN(A857&amp;"")=0,"",Base!G857)</f>
        <v/>
      </c>
      <c r="E857" s="1" t="str">
        <f aca="false">IF(LEN(A857&amp;"")=0,"",Base!E857)</f>
        <v/>
      </c>
      <c r="F857" s="61" t="str">
        <f aca="false">IF(LEN(A857&amp;"")=0,"",IF(Base!I857="-",0,Base!I857))</f>
        <v/>
      </c>
      <c r="G857" s="61" t="str">
        <f aca="false">IF(LEN(A857&amp;"")=0,"",SUM(Base!F857,F857,Base!K857))</f>
        <v/>
      </c>
      <c r="H857" s="61" t="str">
        <f aca="false">IF(LEN(A857&amp;"")=0,"",Base!L857)</f>
        <v/>
      </c>
      <c r="I857" s="61" t="str">
        <f aca="false">IF(LEN(A857&amp;"")=0,"",G857-H857)</f>
        <v/>
      </c>
      <c r="J857" s="61" t="str">
        <f aca="false">IF(LEN(A857&amp;"")=0,"",Base!M857)</f>
        <v/>
      </c>
      <c r="K857" s="1" t="n">
        <f aca="false">IF(OR(LEN(A857&amp;"")=0,$P$3=0),0,IF(AND(B857&gt;=Painel!$B$8,B857&lt;=Painel!$G$8,OR(Painel!$L$8="Todos",C857=Painel!$L$8),OR(Painel!$Q$8="Todos",D857=Painel!$Q$8),OR(Painel!$V$8="Todas",E857=Painel!$V$8)),1,0))</f>
        <v>0</v>
      </c>
      <c r="L857" s="61" t="str">
        <f aca="false">IF(LEN(A857&amp;"")=0,"",J857-I857)</f>
        <v/>
      </c>
      <c r="M857" s="1" t="n">
        <f aca="false">IF(LEN(A857&amp;"")=0,0,IF(COUNTIFS(Base!$A$7:$A$1006,A857)&gt;1,1,0))</f>
        <v>0</v>
      </c>
      <c r="N857" s="1" t="n">
        <f aca="false">IF(LEN(A857&amp;"")=0,0,IF(ABS(L857)&gt;0.005,1,0))</f>
        <v>0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customFormat="false" ht="23" hidden="false" customHeight="true" outlineLevel="0" collapsed="false">
      <c r="A858" s="1" t="str">
        <f aca="false">IF(LEN(Base!A858&amp;"")=0,"",Base!A858)</f>
        <v/>
      </c>
      <c r="B858" s="60" t="str">
        <f aca="false">IF(LEN(A858&amp;"")=0,"",Base!D858)</f>
        <v/>
      </c>
      <c r="C858" s="1" t="str">
        <f aca="false">IF(LEN(A858&amp;"")=0,"",Base!C858)</f>
        <v/>
      </c>
      <c r="D858" s="1" t="str">
        <f aca="false">IF(LEN(A858&amp;"")=0,"",Base!G858)</f>
        <v/>
      </c>
      <c r="E858" s="1" t="str">
        <f aca="false">IF(LEN(A858&amp;"")=0,"",Base!E858)</f>
        <v/>
      </c>
      <c r="F858" s="61" t="str">
        <f aca="false">IF(LEN(A858&amp;"")=0,"",IF(Base!I858="-",0,Base!I858))</f>
        <v/>
      </c>
      <c r="G858" s="61" t="str">
        <f aca="false">IF(LEN(A858&amp;"")=0,"",SUM(Base!F858,F858,Base!K858))</f>
        <v/>
      </c>
      <c r="H858" s="61" t="str">
        <f aca="false">IF(LEN(A858&amp;"")=0,"",Base!L858)</f>
        <v/>
      </c>
      <c r="I858" s="61" t="str">
        <f aca="false">IF(LEN(A858&amp;"")=0,"",G858-H858)</f>
        <v/>
      </c>
      <c r="J858" s="61" t="str">
        <f aca="false">IF(LEN(A858&amp;"")=0,"",Base!M858)</f>
        <v/>
      </c>
      <c r="K858" s="1" t="n">
        <f aca="false">IF(OR(LEN(A858&amp;"")=0,$P$3=0),0,IF(AND(B858&gt;=Painel!$B$8,B858&lt;=Painel!$G$8,OR(Painel!$L$8="Todos",C858=Painel!$L$8),OR(Painel!$Q$8="Todos",D858=Painel!$Q$8),OR(Painel!$V$8="Todas",E858=Painel!$V$8)),1,0))</f>
        <v>0</v>
      </c>
      <c r="L858" s="61" t="str">
        <f aca="false">IF(LEN(A858&amp;"")=0,"",J858-I858)</f>
        <v/>
      </c>
      <c r="M858" s="1" t="n">
        <f aca="false">IF(LEN(A858&amp;"")=0,0,IF(COUNTIFS(Base!$A$7:$A$1006,A858)&gt;1,1,0))</f>
        <v>0</v>
      </c>
      <c r="N858" s="1" t="n">
        <f aca="false">IF(LEN(A858&amp;"")=0,0,IF(ABS(L858)&gt;0.005,1,0))</f>
        <v>0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customFormat="false" ht="23" hidden="false" customHeight="true" outlineLevel="0" collapsed="false">
      <c r="A859" s="1" t="str">
        <f aca="false">IF(LEN(Base!A859&amp;"")=0,"",Base!A859)</f>
        <v/>
      </c>
      <c r="B859" s="60" t="str">
        <f aca="false">IF(LEN(A859&amp;"")=0,"",Base!D859)</f>
        <v/>
      </c>
      <c r="C859" s="1" t="str">
        <f aca="false">IF(LEN(A859&amp;"")=0,"",Base!C859)</f>
        <v/>
      </c>
      <c r="D859" s="1" t="str">
        <f aca="false">IF(LEN(A859&amp;"")=0,"",Base!G859)</f>
        <v/>
      </c>
      <c r="E859" s="1" t="str">
        <f aca="false">IF(LEN(A859&amp;"")=0,"",Base!E859)</f>
        <v/>
      </c>
      <c r="F859" s="61" t="str">
        <f aca="false">IF(LEN(A859&amp;"")=0,"",IF(Base!I859="-",0,Base!I859))</f>
        <v/>
      </c>
      <c r="G859" s="61" t="str">
        <f aca="false">IF(LEN(A859&amp;"")=0,"",SUM(Base!F859,F859,Base!K859))</f>
        <v/>
      </c>
      <c r="H859" s="61" t="str">
        <f aca="false">IF(LEN(A859&amp;"")=0,"",Base!L859)</f>
        <v/>
      </c>
      <c r="I859" s="61" t="str">
        <f aca="false">IF(LEN(A859&amp;"")=0,"",G859-H859)</f>
        <v/>
      </c>
      <c r="J859" s="61" t="str">
        <f aca="false">IF(LEN(A859&amp;"")=0,"",Base!M859)</f>
        <v/>
      </c>
      <c r="K859" s="1" t="n">
        <f aca="false">IF(OR(LEN(A859&amp;"")=0,$P$3=0),0,IF(AND(B859&gt;=Painel!$B$8,B859&lt;=Painel!$G$8,OR(Painel!$L$8="Todos",C859=Painel!$L$8),OR(Painel!$Q$8="Todos",D859=Painel!$Q$8),OR(Painel!$V$8="Todas",E859=Painel!$V$8)),1,0))</f>
        <v>0</v>
      </c>
      <c r="L859" s="61" t="str">
        <f aca="false">IF(LEN(A859&amp;"")=0,"",J859-I859)</f>
        <v/>
      </c>
      <c r="M859" s="1" t="n">
        <f aca="false">IF(LEN(A859&amp;"")=0,0,IF(COUNTIFS(Base!$A$7:$A$1006,A859)&gt;1,1,0))</f>
        <v>0</v>
      </c>
      <c r="N859" s="1" t="n">
        <f aca="false">IF(LEN(A859&amp;"")=0,0,IF(ABS(L859)&gt;0.005,1,0))</f>
        <v>0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customFormat="false" ht="23" hidden="false" customHeight="true" outlineLevel="0" collapsed="false">
      <c r="A860" s="1" t="str">
        <f aca="false">IF(LEN(Base!A860&amp;"")=0,"",Base!A860)</f>
        <v/>
      </c>
      <c r="B860" s="60" t="str">
        <f aca="false">IF(LEN(A860&amp;"")=0,"",Base!D860)</f>
        <v/>
      </c>
      <c r="C860" s="1" t="str">
        <f aca="false">IF(LEN(A860&amp;"")=0,"",Base!C860)</f>
        <v/>
      </c>
      <c r="D860" s="1" t="str">
        <f aca="false">IF(LEN(A860&amp;"")=0,"",Base!G860)</f>
        <v/>
      </c>
      <c r="E860" s="1" t="str">
        <f aca="false">IF(LEN(A860&amp;"")=0,"",Base!E860)</f>
        <v/>
      </c>
      <c r="F860" s="61" t="str">
        <f aca="false">IF(LEN(A860&amp;"")=0,"",IF(Base!I860="-",0,Base!I860))</f>
        <v/>
      </c>
      <c r="G860" s="61" t="str">
        <f aca="false">IF(LEN(A860&amp;"")=0,"",SUM(Base!F860,F860,Base!K860))</f>
        <v/>
      </c>
      <c r="H860" s="61" t="str">
        <f aca="false">IF(LEN(A860&amp;"")=0,"",Base!L860)</f>
        <v/>
      </c>
      <c r="I860" s="61" t="str">
        <f aca="false">IF(LEN(A860&amp;"")=0,"",G860-H860)</f>
        <v/>
      </c>
      <c r="J860" s="61" t="str">
        <f aca="false">IF(LEN(A860&amp;"")=0,"",Base!M860)</f>
        <v/>
      </c>
      <c r="K860" s="1" t="n">
        <f aca="false">IF(OR(LEN(A860&amp;"")=0,$P$3=0),0,IF(AND(B860&gt;=Painel!$B$8,B860&lt;=Painel!$G$8,OR(Painel!$L$8="Todos",C860=Painel!$L$8),OR(Painel!$Q$8="Todos",D860=Painel!$Q$8),OR(Painel!$V$8="Todas",E860=Painel!$V$8)),1,0))</f>
        <v>0</v>
      </c>
      <c r="L860" s="61" t="str">
        <f aca="false">IF(LEN(A860&amp;"")=0,"",J860-I860)</f>
        <v/>
      </c>
      <c r="M860" s="1" t="n">
        <f aca="false">IF(LEN(A860&amp;"")=0,0,IF(COUNTIFS(Base!$A$7:$A$1006,A860)&gt;1,1,0))</f>
        <v>0</v>
      </c>
      <c r="N860" s="1" t="n">
        <f aca="false">IF(LEN(A860&amp;"")=0,0,IF(ABS(L860)&gt;0.005,1,0))</f>
        <v>0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customFormat="false" ht="23" hidden="false" customHeight="true" outlineLevel="0" collapsed="false">
      <c r="A861" s="1" t="str">
        <f aca="false">IF(LEN(Base!A861&amp;"")=0,"",Base!A861)</f>
        <v/>
      </c>
      <c r="B861" s="60" t="str">
        <f aca="false">IF(LEN(A861&amp;"")=0,"",Base!D861)</f>
        <v/>
      </c>
      <c r="C861" s="1" t="str">
        <f aca="false">IF(LEN(A861&amp;"")=0,"",Base!C861)</f>
        <v/>
      </c>
      <c r="D861" s="1" t="str">
        <f aca="false">IF(LEN(A861&amp;"")=0,"",Base!G861)</f>
        <v/>
      </c>
      <c r="E861" s="1" t="str">
        <f aca="false">IF(LEN(A861&amp;"")=0,"",Base!E861)</f>
        <v/>
      </c>
      <c r="F861" s="61" t="str">
        <f aca="false">IF(LEN(A861&amp;"")=0,"",IF(Base!I861="-",0,Base!I861))</f>
        <v/>
      </c>
      <c r="G861" s="61" t="str">
        <f aca="false">IF(LEN(A861&amp;"")=0,"",SUM(Base!F861,F861,Base!K861))</f>
        <v/>
      </c>
      <c r="H861" s="61" t="str">
        <f aca="false">IF(LEN(A861&amp;"")=0,"",Base!L861)</f>
        <v/>
      </c>
      <c r="I861" s="61" t="str">
        <f aca="false">IF(LEN(A861&amp;"")=0,"",G861-H861)</f>
        <v/>
      </c>
      <c r="J861" s="61" t="str">
        <f aca="false">IF(LEN(A861&amp;"")=0,"",Base!M861)</f>
        <v/>
      </c>
      <c r="K861" s="1" t="n">
        <f aca="false">IF(OR(LEN(A861&amp;"")=0,$P$3=0),0,IF(AND(B861&gt;=Painel!$B$8,B861&lt;=Painel!$G$8,OR(Painel!$L$8="Todos",C861=Painel!$L$8),OR(Painel!$Q$8="Todos",D861=Painel!$Q$8),OR(Painel!$V$8="Todas",E861=Painel!$V$8)),1,0))</f>
        <v>0</v>
      </c>
      <c r="L861" s="61" t="str">
        <f aca="false">IF(LEN(A861&amp;"")=0,"",J861-I861)</f>
        <v/>
      </c>
      <c r="M861" s="1" t="n">
        <f aca="false">IF(LEN(A861&amp;"")=0,0,IF(COUNTIFS(Base!$A$7:$A$1006,A861)&gt;1,1,0))</f>
        <v>0</v>
      </c>
      <c r="N861" s="1" t="n">
        <f aca="false">IF(LEN(A861&amp;"")=0,0,IF(ABS(L861)&gt;0.005,1,0))</f>
        <v>0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customFormat="false" ht="23" hidden="false" customHeight="true" outlineLevel="0" collapsed="false">
      <c r="A862" s="1" t="str">
        <f aca="false">IF(LEN(Base!A862&amp;"")=0,"",Base!A862)</f>
        <v/>
      </c>
      <c r="B862" s="60" t="str">
        <f aca="false">IF(LEN(A862&amp;"")=0,"",Base!D862)</f>
        <v/>
      </c>
      <c r="C862" s="1" t="str">
        <f aca="false">IF(LEN(A862&amp;"")=0,"",Base!C862)</f>
        <v/>
      </c>
      <c r="D862" s="1" t="str">
        <f aca="false">IF(LEN(A862&amp;"")=0,"",Base!G862)</f>
        <v/>
      </c>
      <c r="E862" s="1" t="str">
        <f aca="false">IF(LEN(A862&amp;"")=0,"",Base!E862)</f>
        <v/>
      </c>
      <c r="F862" s="61" t="str">
        <f aca="false">IF(LEN(A862&amp;"")=0,"",IF(Base!I862="-",0,Base!I862))</f>
        <v/>
      </c>
      <c r="G862" s="61" t="str">
        <f aca="false">IF(LEN(A862&amp;"")=0,"",SUM(Base!F862,F862,Base!K862))</f>
        <v/>
      </c>
      <c r="H862" s="61" t="str">
        <f aca="false">IF(LEN(A862&amp;"")=0,"",Base!L862)</f>
        <v/>
      </c>
      <c r="I862" s="61" t="str">
        <f aca="false">IF(LEN(A862&amp;"")=0,"",G862-H862)</f>
        <v/>
      </c>
      <c r="J862" s="61" t="str">
        <f aca="false">IF(LEN(A862&amp;"")=0,"",Base!M862)</f>
        <v/>
      </c>
      <c r="K862" s="1" t="n">
        <f aca="false">IF(OR(LEN(A862&amp;"")=0,$P$3=0),0,IF(AND(B862&gt;=Painel!$B$8,B862&lt;=Painel!$G$8,OR(Painel!$L$8="Todos",C862=Painel!$L$8),OR(Painel!$Q$8="Todos",D862=Painel!$Q$8),OR(Painel!$V$8="Todas",E862=Painel!$V$8)),1,0))</f>
        <v>0</v>
      </c>
      <c r="L862" s="61" t="str">
        <f aca="false">IF(LEN(A862&amp;"")=0,"",J862-I862)</f>
        <v/>
      </c>
      <c r="M862" s="1" t="n">
        <f aca="false">IF(LEN(A862&amp;"")=0,0,IF(COUNTIFS(Base!$A$7:$A$1006,A862)&gt;1,1,0))</f>
        <v>0</v>
      </c>
      <c r="N862" s="1" t="n">
        <f aca="false">IF(LEN(A862&amp;"")=0,0,IF(ABS(L862)&gt;0.005,1,0))</f>
        <v>0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customFormat="false" ht="23" hidden="false" customHeight="true" outlineLevel="0" collapsed="false">
      <c r="A863" s="1" t="str">
        <f aca="false">IF(LEN(Base!A863&amp;"")=0,"",Base!A863)</f>
        <v/>
      </c>
      <c r="B863" s="60" t="str">
        <f aca="false">IF(LEN(A863&amp;"")=0,"",Base!D863)</f>
        <v/>
      </c>
      <c r="C863" s="1" t="str">
        <f aca="false">IF(LEN(A863&amp;"")=0,"",Base!C863)</f>
        <v/>
      </c>
      <c r="D863" s="1" t="str">
        <f aca="false">IF(LEN(A863&amp;"")=0,"",Base!G863)</f>
        <v/>
      </c>
      <c r="E863" s="1" t="str">
        <f aca="false">IF(LEN(A863&amp;"")=0,"",Base!E863)</f>
        <v/>
      </c>
      <c r="F863" s="61" t="str">
        <f aca="false">IF(LEN(A863&amp;"")=0,"",IF(Base!I863="-",0,Base!I863))</f>
        <v/>
      </c>
      <c r="G863" s="61" t="str">
        <f aca="false">IF(LEN(A863&amp;"")=0,"",SUM(Base!F863,F863,Base!K863))</f>
        <v/>
      </c>
      <c r="H863" s="61" t="str">
        <f aca="false">IF(LEN(A863&amp;"")=0,"",Base!L863)</f>
        <v/>
      </c>
      <c r="I863" s="61" t="str">
        <f aca="false">IF(LEN(A863&amp;"")=0,"",G863-H863)</f>
        <v/>
      </c>
      <c r="J863" s="61" t="str">
        <f aca="false">IF(LEN(A863&amp;"")=0,"",Base!M863)</f>
        <v/>
      </c>
      <c r="K863" s="1" t="n">
        <f aca="false">IF(OR(LEN(A863&amp;"")=0,$P$3=0),0,IF(AND(B863&gt;=Painel!$B$8,B863&lt;=Painel!$G$8,OR(Painel!$L$8="Todos",C863=Painel!$L$8),OR(Painel!$Q$8="Todos",D863=Painel!$Q$8),OR(Painel!$V$8="Todas",E863=Painel!$V$8)),1,0))</f>
        <v>0</v>
      </c>
      <c r="L863" s="61" t="str">
        <f aca="false">IF(LEN(A863&amp;"")=0,"",J863-I863)</f>
        <v/>
      </c>
      <c r="M863" s="1" t="n">
        <f aca="false">IF(LEN(A863&amp;"")=0,0,IF(COUNTIFS(Base!$A$7:$A$1006,A863)&gt;1,1,0))</f>
        <v>0</v>
      </c>
      <c r="N863" s="1" t="n">
        <f aca="false">IF(LEN(A863&amp;"")=0,0,IF(ABS(L863)&gt;0.005,1,0))</f>
        <v>0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customFormat="false" ht="23" hidden="false" customHeight="true" outlineLevel="0" collapsed="false">
      <c r="A864" s="1" t="str">
        <f aca="false">IF(LEN(Base!A864&amp;"")=0,"",Base!A864)</f>
        <v/>
      </c>
      <c r="B864" s="60" t="str">
        <f aca="false">IF(LEN(A864&amp;"")=0,"",Base!D864)</f>
        <v/>
      </c>
      <c r="C864" s="1" t="str">
        <f aca="false">IF(LEN(A864&amp;"")=0,"",Base!C864)</f>
        <v/>
      </c>
      <c r="D864" s="1" t="str">
        <f aca="false">IF(LEN(A864&amp;"")=0,"",Base!G864)</f>
        <v/>
      </c>
      <c r="E864" s="1" t="str">
        <f aca="false">IF(LEN(A864&amp;"")=0,"",Base!E864)</f>
        <v/>
      </c>
      <c r="F864" s="61" t="str">
        <f aca="false">IF(LEN(A864&amp;"")=0,"",IF(Base!I864="-",0,Base!I864))</f>
        <v/>
      </c>
      <c r="G864" s="61" t="str">
        <f aca="false">IF(LEN(A864&amp;"")=0,"",SUM(Base!F864,F864,Base!K864))</f>
        <v/>
      </c>
      <c r="H864" s="61" t="str">
        <f aca="false">IF(LEN(A864&amp;"")=0,"",Base!L864)</f>
        <v/>
      </c>
      <c r="I864" s="61" t="str">
        <f aca="false">IF(LEN(A864&amp;"")=0,"",G864-H864)</f>
        <v/>
      </c>
      <c r="J864" s="61" t="str">
        <f aca="false">IF(LEN(A864&amp;"")=0,"",Base!M864)</f>
        <v/>
      </c>
      <c r="K864" s="1" t="n">
        <f aca="false">IF(OR(LEN(A864&amp;"")=0,$P$3=0),0,IF(AND(B864&gt;=Painel!$B$8,B864&lt;=Painel!$G$8,OR(Painel!$L$8="Todos",C864=Painel!$L$8),OR(Painel!$Q$8="Todos",D864=Painel!$Q$8),OR(Painel!$V$8="Todas",E864=Painel!$V$8)),1,0))</f>
        <v>0</v>
      </c>
      <c r="L864" s="61" t="str">
        <f aca="false">IF(LEN(A864&amp;"")=0,"",J864-I864)</f>
        <v/>
      </c>
      <c r="M864" s="1" t="n">
        <f aca="false">IF(LEN(A864&amp;"")=0,0,IF(COUNTIFS(Base!$A$7:$A$1006,A864)&gt;1,1,0))</f>
        <v>0</v>
      </c>
      <c r="N864" s="1" t="n">
        <f aca="false">IF(LEN(A864&amp;"")=0,0,IF(ABS(L864)&gt;0.005,1,0))</f>
        <v>0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customFormat="false" ht="23" hidden="false" customHeight="true" outlineLevel="0" collapsed="false">
      <c r="A865" s="1" t="str">
        <f aca="false">IF(LEN(Base!A865&amp;"")=0,"",Base!A865)</f>
        <v/>
      </c>
      <c r="B865" s="60" t="str">
        <f aca="false">IF(LEN(A865&amp;"")=0,"",Base!D865)</f>
        <v/>
      </c>
      <c r="C865" s="1" t="str">
        <f aca="false">IF(LEN(A865&amp;"")=0,"",Base!C865)</f>
        <v/>
      </c>
      <c r="D865" s="1" t="str">
        <f aca="false">IF(LEN(A865&amp;"")=0,"",Base!G865)</f>
        <v/>
      </c>
      <c r="E865" s="1" t="str">
        <f aca="false">IF(LEN(A865&amp;"")=0,"",Base!E865)</f>
        <v/>
      </c>
      <c r="F865" s="61" t="str">
        <f aca="false">IF(LEN(A865&amp;"")=0,"",IF(Base!I865="-",0,Base!I865))</f>
        <v/>
      </c>
      <c r="G865" s="61" t="str">
        <f aca="false">IF(LEN(A865&amp;"")=0,"",SUM(Base!F865,F865,Base!K865))</f>
        <v/>
      </c>
      <c r="H865" s="61" t="str">
        <f aca="false">IF(LEN(A865&amp;"")=0,"",Base!L865)</f>
        <v/>
      </c>
      <c r="I865" s="61" t="str">
        <f aca="false">IF(LEN(A865&amp;"")=0,"",G865-H865)</f>
        <v/>
      </c>
      <c r="J865" s="61" t="str">
        <f aca="false">IF(LEN(A865&amp;"")=0,"",Base!M865)</f>
        <v/>
      </c>
      <c r="K865" s="1" t="n">
        <f aca="false">IF(OR(LEN(A865&amp;"")=0,$P$3=0),0,IF(AND(B865&gt;=Painel!$B$8,B865&lt;=Painel!$G$8,OR(Painel!$L$8="Todos",C865=Painel!$L$8),OR(Painel!$Q$8="Todos",D865=Painel!$Q$8),OR(Painel!$V$8="Todas",E865=Painel!$V$8)),1,0))</f>
        <v>0</v>
      </c>
      <c r="L865" s="61" t="str">
        <f aca="false">IF(LEN(A865&amp;"")=0,"",J865-I865)</f>
        <v/>
      </c>
      <c r="M865" s="1" t="n">
        <f aca="false">IF(LEN(A865&amp;"")=0,0,IF(COUNTIFS(Base!$A$7:$A$1006,A865)&gt;1,1,0))</f>
        <v>0</v>
      </c>
      <c r="N865" s="1" t="n">
        <f aca="false">IF(LEN(A865&amp;"")=0,0,IF(ABS(L865)&gt;0.005,1,0))</f>
        <v>0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customFormat="false" ht="23" hidden="false" customHeight="true" outlineLevel="0" collapsed="false">
      <c r="A866" s="1" t="str">
        <f aca="false">IF(LEN(Base!A866&amp;"")=0,"",Base!A866)</f>
        <v/>
      </c>
      <c r="B866" s="60" t="str">
        <f aca="false">IF(LEN(A866&amp;"")=0,"",Base!D866)</f>
        <v/>
      </c>
      <c r="C866" s="1" t="str">
        <f aca="false">IF(LEN(A866&amp;"")=0,"",Base!C866)</f>
        <v/>
      </c>
      <c r="D866" s="1" t="str">
        <f aca="false">IF(LEN(A866&amp;"")=0,"",Base!G866)</f>
        <v/>
      </c>
      <c r="E866" s="1" t="str">
        <f aca="false">IF(LEN(A866&amp;"")=0,"",Base!E866)</f>
        <v/>
      </c>
      <c r="F866" s="61" t="str">
        <f aca="false">IF(LEN(A866&amp;"")=0,"",IF(Base!I866="-",0,Base!I866))</f>
        <v/>
      </c>
      <c r="G866" s="61" t="str">
        <f aca="false">IF(LEN(A866&amp;"")=0,"",SUM(Base!F866,F866,Base!K866))</f>
        <v/>
      </c>
      <c r="H866" s="61" t="str">
        <f aca="false">IF(LEN(A866&amp;"")=0,"",Base!L866)</f>
        <v/>
      </c>
      <c r="I866" s="61" t="str">
        <f aca="false">IF(LEN(A866&amp;"")=0,"",G866-H866)</f>
        <v/>
      </c>
      <c r="J866" s="61" t="str">
        <f aca="false">IF(LEN(A866&amp;"")=0,"",Base!M866)</f>
        <v/>
      </c>
      <c r="K866" s="1" t="n">
        <f aca="false">IF(OR(LEN(A866&amp;"")=0,$P$3=0),0,IF(AND(B866&gt;=Painel!$B$8,B866&lt;=Painel!$G$8,OR(Painel!$L$8="Todos",C866=Painel!$L$8),OR(Painel!$Q$8="Todos",D866=Painel!$Q$8),OR(Painel!$V$8="Todas",E866=Painel!$V$8)),1,0))</f>
        <v>0</v>
      </c>
      <c r="L866" s="61" t="str">
        <f aca="false">IF(LEN(A866&amp;"")=0,"",J866-I866)</f>
        <v/>
      </c>
      <c r="M866" s="1" t="n">
        <f aca="false">IF(LEN(A866&amp;"")=0,0,IF(COUNTIFS(Base!$A$7:$A$1006,A866)&gt;1,1,0))</f>
        <v>0</v>
      </c>
      <c r="N866" s="1" t="n">
        <f aca="false">IF(LEN(A866&amp;"")=0,0,IF(ABS(L866)&gt;0.005,1,0))</f>
        <v>0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customFormat="false" ht="23" hidden="false" customHeight="true" outlineLevel="0" collapsed="false">
      <c r="A867" s="1" t="str">
        <f aca="false">IF(LEN(Base!A867&amp;"")=0,"",Base!A867)</f>
        <v/>
      </c>
      <c r="B867" s="60" t="str">
        <f aca="false">IF(LEN(A867&amp;"")=0,"",Base!D867)</f>
        <v/>
      </c>
      <c r="C867" s="1" t="str">
        <f aca="false">IF(LEN(A867&amp;"")=0,"",Base!C867)</f>
        <v/>
      </c>
      <c r="D867" s="1" t="str">
        <f aca="false">IF(LEN(A867&amp;"")=0,"",Base!G867)</f>
        <v/>
      </c>
      <c r="E867" s="1" t="str">
        <f aca="false">IF(LEN(A867&amp;"")=0,"",Base!E867)</f>
        <v/>
      </c>
      <c r="F867" s="61" t="str">
        <f aca="false">IF(LEN(A867&amp;"")=0,"",IF(Base!I867="-",0,Base!I867))</f>
        <v/>
      </c>
      <c r="G867" s="61" t="str">
        <f aca="false">IF(LEN(A867&amp;"")=0,"",SUM(Base!F867,F867,Base!K867))</f>
        <v/>
      </c>
      <c r="H867" s="61" t="str">
        <f aca="false">IF(LEN(A867&amp;"")=0,"",Base!L867)</f>
        <v/>
      </c>
      <c r="I867" s="61" t="str">
        <f aca="false">IF(LEN(A867&amp;"")=0,"",G867-H867)</f>
        <v/>
      </c>
      <c r="J867" s="61" t="str">
        <f aca="false">IF(LEN(A867&amp;"")=0,"",Base!M867)</f>
        <v/>
      </c>
      <c r="K867" s="1" t="n">
        <f aca="false">IF(OR(LEN(A867&amp;"")=0,$P$3=0),0,IF(AND(B867&gt;=Painel!$B$8,B867&lt;=Painel!$G$8,OR(Painel!$L$8="Todos",C867=Painel!$L$8),OR(Painel!$Q$8="Todos",D867=Painel!$Q$8),OR(Painel!$V$8="Todas",E867=Painel!$V$8)),1,0))</f>
        <v>0</v>
      </c>
      <c r="L867" s="61" t="str">
        <f aca="false">IF(LEN(A867&amp;"")=0,"",J867-I867)</f>
        <v/>
      </c>
      <c r="M867" s="1" t="n">
        <f aca="false">IF(LEN(A867&amp;"")=0,0,IF(COUNTIFS(Base!$A$7:$A$1006,A867)&gt;1,1,0))</f>
        <v>0</v>
      </c>
      <c r="N867" s="1" t="n">
        <f aca="false">IF(LEN(A867&amp;"")=0,0,IF(ABS(L867)&gt;0.005,1,0))</f>
        <v>0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customFormat="false" ht="23" hidden="false" customHeight="true" outlineLevel="0" collapsed="false">
      <c r="A868" s="1" t="str">
        <f aca="false">IF(LEN(Base!A868&amp;"")=0,"",Base!A868)</f>
        <v/>
      </c>
      <c r="B868" s="60" t="str">
        <f aca="false">IF(LEN(A868&amp;"")=0,"",Base!D868)</f>
        <v/>
      </c>
      <c r="C868" s="1" t="str">
        <f aca="false">IF(LEN(A868&amp;"")=0,"",Base!C868)</f>
        <v/>
      </c>
      <c r="D868" s="1" t="str">
        <f aca="false">IF(LEN(A868&amp;"")=0,"",Base!G868)</f>
        <v/>
      </c>
      <c r="E868" s="1" t="str">
        <f aca="false">IF(LEN(A868&amp;"")=0,"",Base!E868)</f>
        <v/>
      </c>
      <c r="F868" s="61" t="str">
        <f aca="false">IF(LEN(A868&amp;"")=0,"",IF(Base!I868="-",0,Base!I868))</f>
        <v/>
      </c>
      <c r="G868" s="61" t="str">
        <f aca="false">IF(LEN(A868&amp;"")=0,"",SUM(Base!F868,F868,Base!K868))</f>
        <v/>
      </c>
      <c r="H868" s="61" t="str">
        <f aca="false">IF(LEN(A868&amp;"")=0,"",Base!L868)</f>
        <v/>
      </c>
      <c r="I868" s="61" t="str">
        <f aca="false">IF(LEN(A868&amp;"")=0,"",G868-H868)</f>
        <v/>
      </c>
      <c r="J868" s="61" t="str">
        <f aca="false">IF(LEN(A868&amp;"")=0,"",Base!M868)</f>
        <v/>
      </c>
      <c r="K868" s="1" t="n">
        <f aca="false">IF(OR(LEN(A868&amp;"")=0,$P$3=0),0,IF(AND(B868&gt;=Painel!$B$8,B868&lt;=Painel!$G$8,OR(Painel!$L$8="Todos",C868=Painel!$L$8),OR(Painel!$Q$8="Todos",D868=Painel!$Q$8),OR(Painel!$V$8="Todas",E868=Painel!$V$8)),1,0))</f>
        <v>0</v>
      </c>
      <c r="L868" s="61" t="str">
        <f aca="false">IF(LEN(A868&amp;"")=0,"",J868-I868)</f>
        <v/>
      </c>
      <c r="M868" s="1" t="n">
        <f aca="false">IF(LEN(A868&amp;"")=0,0,IF(COUNTIFS(Base!$A$7:$A$1006,A868)&gt;1,1,0))</f>
        <v>0</v>
      </c>
      <c r="N868" s="1" t="n">
        <f aca="false">IF(LEN(A868&amp;"")=0,0,IF(ABS(L868)&gt;0.005,1,0))</f>
        <v>0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customFormat="false" ht="23" hidden="false" customHeight="true" outlineLevel="0" collapsed="false">
      <c r="A869" s="1" t="str">
        <f aca="false">IF(LEN(Base!A869&amp;"")=0,"",Base!A869)</f>
        <v/>
      </c>
      <c r="B869" s="60" t="str">
        <f aca="false">IF(LEN(A869&amp;"")=0,"",Base!D869)</f>
        <v/>
      </c>
      <c r="C869" s="1" t="str">
        <f aca="false">IF(LEN(A869&amp;"")=0,"",Base!C869)</f>
        <v/>
      </c>
      <c r="D869" s="1" t="str">
        <f aca="false">IF(LEN(A869&amp;"")=0,"",Base!G869)</f>
        <v/>
      </c>
      <c r="E869" s="1" t="str">
        <f aca="false">IF(LEN(A869&amp;"")=0,"",Base!E869)</f>
        <v/>
      </c>
      <c r="F869" s="61" t="str">
        <f aca="false">IF(LEN(A869&amp;"")=0,"",IF(Base!I869="-",0,Base!I869))</f>
        <v/>
      </c>
      <c r="G869" s="61" t="str">
        <f aca="false">IF(LEN(A869&amp;"")=0,"",SUM(Base!F869,F869,Base!K869))</f>
        <v/>
      </c>
      <c r="H869" s="61" t="str">
        <f aca="false">IF(LEN(A869&amp;"")=0,"",Base!L869)</f>
        <v/>
      </c>
      <c r="I869" s="61" t="str">
        <f aca="false">IF(LEN(A869&amp;"")=0,"",G869-H869)</f>
        <v/>
      </c>
      <c r="J869" s="61" t="str">
        <f aca="false">IF(LEN(A869&amp;"")=0,"",Base!M869)</f>
        <v/>
      </c>
      <c r="K869" s="1" t="n">
        <f aca="false">IF(OR(LEN(A869&amp;"")=0,$P$3=0),0,IF(AND(B869&gt;=Painel!$B$8,B869&lt;=Painel!$G$8,OR(Painel!$L$8="Todos",C869=Painel!$L$8),OR(Painel!$Q$8="Todos",D869=Painel!$Q$8),OR(Painel!$V$8="Todas",E869=Painel!$V$8)),1,0))</f>
        <v>0</v>
      </c>
      <c r="L869" s="61" t="str">
        <f aca="false">IF(LEN(A869&amp;"")=0,"",J869-I869)</f>
        <v/>
      </c>
      <c r="M869" s="1" t="n">
        <f aca="false">IF(LEN(A869&amp;"")=0,0,IF(COUNTIFS(Base!$A$7:$A$1006,A869)&gt;1,1,0))</f>
        <v>0</v>
      </c>
      <c r="N869" s="1" t="n">
        <f aca="false">IF(LEN(A869&amp;"")=0,0,IF(ABS(L869)&gt;0.005,1,0))</f>
        <v>0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customFormat="false" ht="23" hidden="false" customHeight="true" outlineLevel="0" collapsed="false">
      <c r="A870" s="1" t="str">
        <f aca="false">IF(LEN(Base!A870&amp;"")=0,"",Base!A870)</f>
        <v/>
      </c>
      <c r="B870" s="60" t="str">
        <f aca="false">IF(LEN(A870&amp;"")=0,"",Base!D870)</f>
        <v/>
      </c>
      <c r="C870" s="1" t="str">
        <f aca="false">IF(LEN(A870&amp;"")=0,"",Base!C870)</f>
        <v/>
      </c>
      <c r="D870" s="1" t="str">
        <f aca="false">IF(LEN(A870&amp;"")=0,"",Base!G870)</f>
        <v/>
      </c>
      <c r="E870" s="1" t="str">
        <f aca="false">IF(LEN(A870&amp;"")=0,"",Base!E870)</f>
        <v/>
      </c>
      <c r="F870" s="61" t="str">
        <f aca="false">IF(LEN(A870&amp;"")=0,"",IF(Base!I870="-",0,Base!I870))</f>
        <v/>
      </c>
      <c r="G870" s="61" t="str">
        <f aca="false">IF(LEN(A870&amp;"")=0,"",SUM(Base!F870,F870,Base!K870))</f>
        <v/>
      </c>
      <c r="H870" s="61" t="str">
        <f aca="false">IF(LEN(A870&amp;"")=0,"",Base!L870)</f>
        <v/>
      </c>
      <c r="I870" s="61" t="str">
        <f aca="false">IF(LEN(A870&amp;"")=0,"",G870-H870)</f>
        <v/>
      </c>
      <c r="J870" s="61" t="str">
        <f aca="false">IF(LEN(A870&amp;"")=0,"",Base!M870)</f>
        <v/>
      </c>
      <c r="K870" s="1" t="n">
        <f aca="false">IF(OR(LEN(A870&amp;"")=0,$P$3=0),0,IF(AND(B870&gt;=Painel!$B$8,B870&lt;=Painel!$G$8,OR(Painel!$L$8="Todos",C870=Painel!$L$8),OR(Painel!$Q$8="Todos",D870=Painel!$Q$8),OR(Painel!$V$8="Todas",E870=Painel!$V$8)),1,0))</f>
        <v>0</v>
      </c>
      <c r="L870" s="61" t="str">
        <f aca="false">IF(LEN(A870&amp;"")=0,"",J870-I870)</f>
        <v/>
      </c>
      <c r="M870" s="1" t="n">
        <f aca="false">IF(LEN(A870&amp;"")=0,0,IF(COUNTIFS(Base!$A$7:$A$1006,A870)&gt;1,1,0))</f>
        <v>0</v>
      </c>
      <c r="N870" s="1" t="n">
        <f aca="false">IF(LEN(A870&amp;"")=0,0,IF(ABS(L870)&gt;0.005,1,0))</f>
        <v>0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customFormat="false" ht="23" hidden="false" customHeight="true" outlineLevel="0" collapsed="false">
      <c r="A871" s="1" t="str">
        <f aca="false">IF(LEN(Base!A871&amp;"")=0,"",Base!A871)</f>
        <v/>
      </c>
      <c r="B871" s="60" t="str">
        <f aca="false">IF(LEN(A871&amp;"")=0,"",Base!D871)</f>
        <v/>
      </c>
      <c r="C871" s="1" t="str">
        <f aca="false">IF(LEN(A871&amp;"")=0,"",Base!C871)</f>
        <v/>
      </c>
      <c r="D871" s="1" t="str">
        <f aca="false">IF(LEN(A871&amp;"")=0,"",Base!G871)</f>
        <v/>
      </c>
      <c r="E871" s="1" t="str">
        <f aca="false">IF(LEN(A871&amp;"")=0,"",Base!E871)</f>
        <v/>
      </c>
      <c r="F871" s="61" t="str">
        <f aca="false">IF(LEN(A871&amp;"")=0,"",IF(Base!I871="-",0,Base!I871))</f>
        <v/>
      </c>
      <c r="G871" s="61" t="str">
        <f aca="false">IF(LEN(A871&amp;"")=0,"",SUM(Base!F871,F871,Base!K871))</f>
        <v/>
      </c>
      <c r="H871" s="61" t="str">
        <f aca="false">IF(LEN(A871&amp;"")=0,"",Base!L871)</f>
        <v/>
      </c>
      <c r="I871" s="61" t="str">
        <f aca="false">IF(LEN(A871&amp;"")=0,"",G871-H871)</f>
        <v/>
      </c>
      <c r="J871" s="61" t="str">
        <f aca="false">IF(LEN(A871&amp;"")=0,"",Base!M871)</f>
        <v/>
      </c>
      <c r="K871" s="1" t="n">
        <f aca="false">IF(OR(LEN(A871&amp;"")=0,$P$3=0),0,IF(AND(B871&gt;=Painel!$B$8,B871&lt;=Painel!$G$8,OR(Painel!$L$8="Todos",C871=Painel!$L$8),OR(Painel!$Q$8="Todos",D871=Painel!$Q$8),OR(Painel!$V$8="Todas",E871=Painel!$V$8)),1,0))</f>
        <v>0</v>
      </c>
      <c r="L871" s="61" t="str">
        <f aca="false">IF(LEN(A871&amp;"")=0,"",J871-I871)</f>
        <v/>
      </c>
      <c r="M871" s="1" t="n">
        <f aca="false">IF(LEN(A871&amp;"")=0,0,IF(COUNTIFS(Base!$A$7:$A$1006,A871)&gt;1,1,0))</f>
        <v>0</v>
      </c>
      <c r="N871" s="1" t="n">
        <f aca="false">IF(LEN(A871&amp;"")=0,0,IF(ABS(L871)&gt;0.005,1,0))</f>
        <v>0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customFormat="false" ht="23" hidden="false" customHeight="true" outlineLevel="0" collapsed="false">
      <c r="A872" s="1" t="str">
        <f aca="false">IF(LEN(Base!A872&amp;"")=0,"",Base!A872)</f>
        <v/>
      </c>
      <c r="B872" s="60" t="str">
        <f aca="false">IF(LEN(A872&amp;"")=0,"",Base!D872)</f>
        <v/>
      </c>
      <c r="C872" s="1" t="str">
        <f aca="false">IF(LEN(A872&amp;"")=0,"",Base!C872)</f>
        <v/>
      </c>
      <c r="D872" s="1" t="str">
        <f aca="false">IF(LEN(A872&amp;"")=0,"",Base!G872)</f>
        <v/>
      </c>
      <c r="E872" s="1" t="str">
        <f aca="false">IF(LEN(A872&amp;"")=0,"",Base!E872)</f>
        <v/>
      </c>
      <c r="F872" s="61" t="str">
        <f aca="false">IF(LEN(A872&amp;"")=0,"",IF(Base!I872="-",0,Base!I872))</f>
        <v/>
      </c>
      <c r="G872" s="61" t="str">
        <f aca="false">IF(LEN(A872&amp;"")=0,"",SUM(Base!F872,F872,Base!K872))</f>
        <v/>
      </c>
      <c r="H872" s="61" t="str">
        <f aca="false">IF(LEN(A872&amp;"")=0,"",Base!L872)</f>
        <v/>
      </c>
      <c r="I872" s="61" t="str">
        <f aca="false">IF(LEN(A872&amp;"")=0,"",G872-H872)</f>
        <v/>
      </c>
      <c r="J872" s="61" t="str">
        <f aca="false">IF(LEN(A872&amp;"")=0,"",Base!M872)</f>
        <v/>
      </c>
      <c r="K872" s="1" t="n">
        <f aca="false">IF(OR(LEN(A872&amp;"")=0,$P$3=0),0,IF(AND(B872&gt;=Painel!$B$8,B872&lt;=Painel!$G$8,OR(Painel!$L$8="Todos",C872=Painel!$L$8),OR(Painel!$Q$8="Todos",D872=Painel!$Q$8),OR(Painel!$V$8="Todas",E872=Painel!$V$8)),1,0))</f>
        <v>0</v>
      </c>
      <c r="L872" s="61" t="str">
        <f aca="false">IF(LEN(A872&amp;"")=0,"",J872-I872)</f>
        <v/>
      </c>
      <c r="M872" s="1" t="n">
        <f aca="false">IF(LEN(A872&amp;"")=0,0,IF(COUNTIFS(Base!$A$7:$A$1006,A872)&gt;1,1,0))</f>
        <v>0</v>
      </c>
      <c r="N872" s="1" t="n">
        <f aca="false">IF(LEN(A872&amp;"")=0,0,IF(ABS(L872)&gt;0.005,1,0))</f>
        <v>0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customFormat="false" ht="23" hidden="false" customHeight="true" outlineLevel="0" collapsed="false">
      <c r="A873" s="1" t="str">
        <f aca="false">IF(LEN(Base!A873&amp;"")=0,"",Base!A873)</f>
        <v/>
      </c>
      <c r="B873" s="60" t="str">
        <f aca="false">IF(LEN(A873&amp;"")=0,"",Base!D873)</f>
        <v/>
      </c>
      <c r="C873" s="1" t="str">
        <f aca="false">IF(LEN(A873&amp;"")=0,"",Base!C873)</f>
        <v/>
      </c>
      <c r="D873" s="1" t="str">
        <f aca="false">IF(LEN(A873&amp;"")=0,"",Base!G873)</f>
        <v/>
      </c>
      <c r="E873" s="1" t="str">
        <f aca="false">IF(LEN(A873&amp;"")=0,"",Base!E873)</f>
        <v/>
      </c>
      <c r="F873" s="61" t="str">
        <f aca="false">IF(LEN(A873&amp;"")=0,"",IF(Base!I873="-",0,Base!I873))</f>
        <v/>
      </c>
      <c r="G873" s="61" t="str">
        <f aca="false">IF(LEN(A873&amp;"")=0,"",SUM(Base!F873,F873,Base!K873))</f>
        <v/>
      </c>
      <c r="H873" s="61" t="str">
        <f aca="false">IF(LEN(A873&amp;"")=0,"",Base!L873)</f>
        <v/>
      </c>
      <c r="I873" s="61" t="str">
        <f aca="false">IF(LEN(A873&amp;"")=0,"",G873-H873)</f>
        <v/>
      </c>
      <c r="J873" s="61" t="str">
        <f aca="false">IF(LEN(A873&amp;"")=0,"",Base!M873)</f>
        <v/>
      </c>
      <c r="K873" s="1" t="n">
        <f aca="false">IF(OR(LEN(A873&amp;"")=0,$P$3=0),0,IF(AND(B873&gt;=Painel!$B$8,B873&lt;=Painel!$G$8,OR(Painel!$L$8="Todos",C873=Painel!$L$8),OR(Painel!$Q$8="Todos",D873=Painel!$Q$8),OR(Painel!$V$8="Todas",E873=Painel!$V$8)),1,0))</f>
        <v>0</v>
      </c>
      <c r="L873" s="61" t="str">
        <f aca="false">IF(LEN(A873&amp;"")=0,"",J873-I873)</f>
        <v/>
      </c>
      <c r="M873" s="1" t="n">
        <f aca="false">IF(LEN(A873&amp;"")=0,0,IF(COUNTIFS(Base!$A$7:$A$1006,A873)&gt;1,1,0))</f>
        <v>0</v>
      </c>
      <c r="N873" s="1" t="n">
        <f aca="false">IF(LEN(A873&amp;"")=0,0,IF(ABS(L873)&gt;0.005,1,0))</f>
        <v>0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customFormat="false" ht="23" hidden="false" customHeight="true" outlineLevel="0" collapsed="false">
      <c r="A874" s="1" t="str">
        <f aca="false">IF(LEN(Base!A874&amp;"")=0,"",Base!A874)</f>
        <v/>
      </c>
      <c r="B874" s="60" t="str">
        <f aca="false">IF(LEN(A874&amp;"")=0,"",Base!D874)</f>
        <v/>
      </c>
      <c r="C874" s="1" t="str">
        <f aca="false">IF(LEN(A874&amp;"")=0,"",Base!C874)</f>
        <v/>
      </c>
      <c r="D874" s="1" t="str">
        <f aca="false">IF(LEN(A874&amp;"")=0,"",Base!G874)</f>
        <v/>
      </c>
      <c r="E874" s="1" t="str">
        <f aca="false">IF(LEN(A874&amp;"")=0,"",Base!E874)</f>
        <v/>
      </c>
      <c r="F874" s="61" t="str">
        <f aca="false">IF(LEN(A874&amp;"")=0,"",IF(Base!I874="-",0,Base!I874))</f>
        <v/>
      </c>
      <c r="G874" s="61" t="str">
        <f aca="false">IF(LEN(A874&amp;"")=0,"",SUM(Base!F874,F874,Base!K874))</f>
        <v/>
      </c>
      <c r="H874" s="61" t="str">
        <f aca="false">IF(LEN(A874&amp;"")=0,"",Base!L874)</f>
        <v/>
      </c>
      <c r="I874" s="61" t="str">
        <f aca="false">IF(LEN(A874&amp;"")=0,"",G874-H874)</f>
        <v/>
      </c>
      <c r="J874" s="61" t="str">
        <f aca="false">IF(LEN(A874&amp;"")=0,"",Base!M874)</f>
        <v/>
      </c>
      <c r="K874" s="1" t="n">
        <f aca="false">IF(OR(LEN(A874&amp;"")=0,$P$3=0),0,IF(AND(B874&gt;=Painel!$B$8,B874&lt;=Painel!$G$8,OR(Painel!$L$8="Todos",C874=Painel!$L$8),OR(Painel!$Q$8="Todos",D874=Painel!$Q$8),OR(Painel!$V$8="Todas",E874=Painel!$V$8)),1,0))</f>
        <v>0</v>
      </c>
      <c r="L874" s="61" t="str">
        <f aca="false">IF(LEN(A874&amp;"")=0,"",J874-I874)</f>
        <v/>
      </c>
      <c r="M874" s="1" t="n">
        <f aca="false">IF(LEN(A874&amp;"")=0,0,IF(COUNTIFS(Base!$A$7:$A$1006,A874)&gt;1,1,0))</f>
        <v>0</v>
      </c>
      <c r="N874" s="1" t="n">
        <f aca="false">IF(LEN(A874&amp;"")=0,0,IF(ABS(L874)&gt;0.005,1,0))</f>
        <v>0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customFormat="false" ht="23" hidden="false" customHeight="true" outlineLevel="0" collapsed="false">
      <c r="A875" s="1" t="str">
        <f aca="false">IF(LEN(Base!A875&amp;"")=0,"",Base!A875)</f>
        <v/>
      </c>
      <c r="B875" s="60" t="str">
        <f aca="false">IF(LEN(A875&amp;"")=0,"",Base!D875)</f>
        <v/>
      </c>
      <c r="C875" s="1" t="str">
        <f aca="false">IF(LEN(A875&amp;"")=0,"",Base!C875)</f>
        <v/>
      </c>
      <c r="D875" s="1" t="str">
        <f aca="false">IF(LEN(A875&amp;"")=0,"",Base!G875)</f>
        <v/>
      </c>
      <c r="E875" s="1" t="str">
        <f aca="false">IF(LEN(A875&amp;"")=0,"",Base!E875)</f>
        <v/>
      </c>
      <c r="F875" s="61" t="str">
        <f aca="false">IF(LEN(A875&amp;"")=0,"",IF(Base!I875="-",0,Base!I875))</f>
        <v/>
      </c>
      <c r="G875" s="61" t="str">
        <f aca="false">IF(LEN(A875&amp;"")=0,"",SUM(Base!F875,F875,Base!K875))</f>
        <v/>
      </c>
      <c r="H875" s="61" t="str">
        <f aca="false">IF(LEN(A875&amp;"")=0,"",Base!L875)</f>
        <v/>
      </c>
      <c r="I875" s="61" t="str">
        <f aca="false">IF(LEN(A875&amp;"")=0,"",G875-H875)</f>
        <v/>
      </c>
      <c r="J875" s="61" t="str">
        <f aca="false">IF(LEN(A875&amp;"")=0,"",Base!M875)</f>
        <v/>
      </c>
      <c r="K875" s="1" t="n">
        <f aca="false">IF(OR(LEN(A875&amp;"")=0,$P$3=0),0,IF(AND(B875&gt;=Painel!$B$8,B875&lt;=Painel!$G$8,OR(Painel!$L$8="Todos",C875=Painel!$L$8),OR(Painel!$Q$8="Todos",D875=Painel!$Q$8),OR(Painel!$V$8="Todas",E875=Painel!$V$8)),1,0))</f>
        <v>0</v>
      </c>
      <c r="L875" s="61" t="str">
        <f aca="false">IF(LEN(A875&amp;"")=0,"",J875-I875)</f>
        <v/>
      </c>
      <c r="M875" s="1" t="n">
        <f aca="false">IF(LEN(A875&amp;"")=0,0,IF(COUNTIFS(Base!$A$7:$A$1006,A875)&gt;1,1,0))</f>
        <v>0</v>
      </c>
      <c r="N875" s="1" t="n">
        <f aca="false">IF(LEN(A875&amp;"")=0,0,IF(ABS(L875)&gt;0.005,1,0))</f>
        <v>0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customFormat="false" ht="23" hidden="false" customHeight="true" outlineLevel="0" collapsed="false">
      <c r="A876" s="1" t="str">
        <f aca="false">IF(LEN(Base!A876&amp;"")=0,"",Base!A876)</f>
        <v/>
      </c>
      <c r="B876" s="60" t="str">
        <f aca="false">IF(LEN(A876&amp;"")=0,"",Base!D876)</f>
        <v/>
      </c>
      <c r="C876" s="1" t="str">
        <f aca="false">IF(LEN(A876&amp;"")=0,"",Base!C876)</f>
        <v/>
      </c>
      <c r="D876" s="1" t="str">
        <f aca="false">IF(LEN(A876&amp;"")=0,"",Base!G876)</f>
        <v/>
      </c>
      <c r="E876" s="1" t="str">
        <f aca="false">IF(LEN(A876&amp;"")=0,"",Base!E876)</f>
        <v/>
      </c>
      <c r="F876" s="61" t="str">
        <f aca="false">IF(LEN(A876&amp;"")=0,"",IF(Base!I876="-",0,Base!I876))</f>
        <v/>
      </c>
      <c r="G876" s="61" t="str">
        <f aca="false">IF(LEN(A876&amp;"")=0,"",SUM(Base!F876,F876,Base!K876))</f>
        <v/>
      </c>
      <c r="H876" s="61" t="str">
        <f aca="false">IF(LEN(A876&amp;"")=0,"",Base!L876)</f>
        <v/>
      </c>
      <c r="I876" s="61" t="str">
        <f aca="false">IF(LEN(A876&amp;"")=0,"",G876-H876)</f>
        <v/>
      </c>
      <c r="J876" s="61" t="str">
        <f aca="false">IF(LEN(A876&amp;"")=0,"",Base!M876)</f>
        <v/>
      </c>
      <c r="K876" s="1" t="n">
        <f aca="false">IF(OR(LEN(A876&amp;"")=0,$P$3=0),0,IF(AND(B876&gt;=Painel!$B$8,B876&lt;=Painel!$G$8,OR(Painel!$L$8="Todos",C876=Painel!$L$8),OR(Painel!$Q$8="Todos",D876=Painel!$Q$8),OR(Painel!$V$8="Todas",E876=Painel!$V$8)),1,0))</f>
        <v>0</v>
      </c>
      <c r="L876" s="61" t="str">
        <f aca="false">IF(LEN(A876&amp;"")=0,"",J876-I876)</f>
        <v/>
      </c>
      <c r="M876" s="1" t="n">
        <f aca="false">IF(LEN(A876&amp;"")=0,0,IF(COUNTIFS(Base!$A$7:$A$1006,A876)&gt;1,1,0))</f>
        <v>0</v>
      </c>
      <c r="N876" s="1" t="n">
        <f aca="false">IF(LEN(A876&amp;"")=0,0,IF(ABS(L876)&gt;0.005,1,0))</f>
        <v>0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customFormat="false" ht="23" hidden="false" customHeight="true" outlineLevel="0" collapsed="false">
      <c r="A877" s="1" t="str">
        <f aca="false">IF(LEN(Base!A877&amp;"")=0,"",Base!A877)</f>
        <v/>
      </c>
      <c r="B877" s="60" t="str">
        <f aca="false">IF(LEN(A877&amp;"")=0,"",Base!D877)</f>
        <v/>
      </c>
      <c r="C877" s="1" t="str">
        <f aca="false">IF(LEN(A877&amp;"")=0,"",Base!C877)</f>
        <v/>
      </c>
      <c r="D877" s="1" t="str">
        <f aca="false">IF(LEN(A877&amp;"")=0,"",Base!G877)</f>
        <v/>
      </c>
      <c r="E877" s="1" t="str">
        <f aca="false">IF(LEN(A877&amp;"")=0,"",Base!E877)</f>
        <v/>
      </c>
      <c r="F877" s="61" t="str">
        <f aca="false">IF(LEN(A877&amp;"")=0,"",IF(Base!I877="-",0,Base!I877))</f>
        <v/>
      </c>
      <c r="G877" s="61" t="str">
        <f aca="false">IF(LEN(A877&amp;"")=0,"",SUM(Base!F877,F877,Base!K877))</f>
        <v/>
      </c>
      <c r="H877" s="61" t="str">
        <f aca="false">IF(LEN(A877&amp;"")=0,"",Base!L877)</f>
        <v/>
      </c>
      <c r="I877" s="61" t="str">
        <f aca="false">IF(LEN(A877&amp;"")=0,"",G877-H877)</f>
        <v/>
      </c>
      <c r="J877" s="61" t="str">
        <f aca="false">IF(LEN(A877&amp;"")=0,"",Base!M877)</f>
        <v/>
      </c>
      <c r="K877" s="1" t="n">
        <f aca="false">IF(OR(LEN(A877&amp;"")=0,$P$3=0),0,IF(AND(B877&gt;=Painel!$B$8,B877&lt;=Painel!$G$8,OR(Painel!$L$8="Todos",C877=Painel!$L$8),OR(Painel!$Q$8="Todos",D877=Painel!$Q$8),OR(Painel!$V$8="Todas",E877=Painel!$V$8)),1,0))</f>
        <v>0</v>
      </c>
      <c r="L877" s="61" t="str">
        <f aca="false">IF(LEN(A877&amp;"")=0,"",J877-I877)</f>
        <v/>
      </c>
      <c r="M877" s="1" t="n">
        <f aca="false">IF(LEN(A877&amp;"")=0,0,IF(COUNTIFS(Base!$A$7:$A$1006,A877)&gt;1,1,0))</f>
        <v>0</v>
      </c>
      <c r="N877" s="1" t="n">
        <f aca="false">IF(LEN(A877&amp;"")=0,0,IF(ABS(L877)&gt;0.005,1,0))</f>
        <v>0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customFormat="false" ht="23" hidden="false" customHeight="true" outlineLevel="0" collapsed="false">
      <c r="A878" s="1" t="str">
        <f aca="false">IF(LEN(Base!A878&amp;"")=0,"",Base!A878)</f>
        <v/>
      </c>
      <c r="B878" s="60" t="str">
        <f aca="false">IF(LEN(A878&amp;"")=0,"",Base!D878)</f>
        <v/>
      </c>
      <c r="C878" s="1" t="str">
        <f aca="false">IF(LEN(A878&amp;"")=0,"",Base!C878)</f>
        <v/>
      </c>
      <c r="D878" s="1" t="str">
        <f aca="false">IF(LEN(A878&amp;"")=0,"",Base!G878)</f>
        <v/>
      </c>
      <c r="E878" s="1" t="str">
        <f aca="false">IF(LEN(A878&amp;"")=0,"",Base!E878)</f>
        <v/>
      </c>
      <c r="F878" s="61" t="str">
        <f aca="false">IF(LEN(A878&amp;"")=0,"",IF(Base!I878="-",0,Base!I878))</f>
        <v/>
      </c>
      <c r="G878" s="61" t="str">
        <f aca="false">IF(LEN(A878&amp;"")=0,"",SUM(Base!F878,F878,Base!K878))</f>
        <v/>
      </c>
      <c r="H878" s="61" t="str">
        <f aca="false">IF(LEN(A878&amp;"")=0,"",Base!L878)</f>
        <v/>
      </c>
      <c r="I878" s="61" t="str">
        <f aca="false">IF(LEN(A878&amp;"")=0,"",G878-H878)</f>
        <v/>
      </c>
      <c r="J878" s="61" t="str">
        <f aca="false">IF(LEN(A878&amp;"")=0,"",Base!M878)</f>
        <v/>
      </c>
      <c r="K878" s="1" t="n">
        <f aca="false">IF(OR(LEN(A878&amp;"")=0,$P$3=0),0,IF(AND(B878&gt;=Painel!$B$8,B878&lt;=Painel!$G$8,OR(Painel!$L$8="Todos",C878=Painel!$L$8),OR(Painel!$Q$8="Todos",D878=Painel!$Q$8),OR(Painel!$V$8="Todas",E878=Painel!$V$8)),1,0))</f>
        <v>0</v>
      </c>
      <c r="L878" s="61" t="str">
        <f aca="false">IF(LEN(A878&amp;"")=0,"",J878-I878)</f>
        <v/>
      </c>
      <c r="M878" s="1" t="n">
        <f aca="false">IF(LEN(A878&amp;"")=0,0,IF(COUNTIFS(Base!$A$7:$A$1006,A878)&gt;1,1,0))</f>
        <v>0</v>
      </c>
      <c r="N878" s="1" t="n">
        <f aca="false">IF(LEN(A878&amp;"")=0,0,IF(ABS(L878)&gt;0.005,1,0))</f>
        <v>0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customFormat="false" ht="23" hidden="false" customHeight="true" outlineLevel="0" collapsed="false">
      <c r="A879" s="1" t="str">
        <f aca="false">IF(LEN(Base!A879&amp;"")=0,"",Base!A879)</f>
        <v/>
      </c>
      <c r="B879" s="60" t="str">
        <f aca="false">IF(LEN(A879&amp;"")=0,"",Base!D879)</f>
        <v/>
      </c>
      <c r="C879" s="1" t="str">
        <f aca="false">IF(LEN(A879&amp;"")=0,"",Base!C879)</f>
        <v/>
      </c>
      <c r="D879" s="1" t="str">
        <f aca="false">IF(LEN(A879&amp;"")=0,"",Base!G879)</f>
        <v/>
      </c>
      <c r="E879" s="1" t="str">
        <f aca="false">IF(LEN(A879&amp;"")=0,"",Base!E879)</f>
        <v/>
      </c>
      <c r="F879" s="61" t="str">
        <f aca="false">IF(LEN(A879&amp;"")=0,"",IF(Base!I879="-",0,Base!I879))</f>
        <v/>
      </c>
      <c r="G879" s="61" t="str">
        <f aca="false">IF(LEN(A879&amp;"")=0,"",SUM(Base!F879,F879,Base!K879))</f>
        <v/>
      </c>
      <c r="H879" s="61" t="str">
        <f aca="false">IF(LEN(A879&amp;"")=0,"",Base!L879)</f>
        <v/>
      </c>
      <c r="I879" s="61" t="str">
        <f aca="false">IF(LEN(A879&amp;"")=0,"",G879-H879)</f>
        <v/>
      </c>
      <c r="J879" s="61" t="str">
        <f aca="false">IF(LEN(A879&amp;"")=0,"",Base!M879)</f>
        <v/>
      </c>
      <c r="K879" s="1" t="n">
        <f aca="false">IF(OR(LEN(A879&amp;"")=0,$P$3=0),0,IF(AND(B879&gt;=Painel!$B$8,B879&lt;=Painel!$G$8,OR(Painel!$L$8="Todos",C879=Painel!$L$8),OR(Painel!$Q$8="Todos",D879=Painel!$Q$8),OR(Painel!$V$8="Todas",E879=Painel!$V$8)),1,0))</f>
        <v>0</v>
      </c>
      <c r="L879" s="61" t="str">
        <f aca="false">IF(LEN(A879&amp;"")=0,"",J879-I879)</f>
        <v/>
      </c>
      <c r="M879" s="1" t="n">
        <f aca="false">IF(LEN(A879&amp;"")=0,0,IF(COUNTIFS(Base!$A$7:$A$1006,A879)&gt;1,1,0))</f>
        <v>0</v>
      </c>
      <c r="N879" s="1" t="n">
        <f aca="false">IF(LEN(A879&amp;"")=0,0,IF(ABS(L879)&gt;0.005,1,0))</f>
        <v>0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customFormat="false" ht="23" hidden="false" customHeight="true" outlineLevel="0" collapsed="false">
      <c r="A880" s="1" t="str">
        <f aca="false">IF(LEN(Base!A880&amp;"")=0,"",Base!A880)</f>
        <v/>
      </c>
      <c r="B880" s="60" t="str">
        <f aca="false">IF(LEN(A880&amp;"")=0,"",Base!D880)</f>
        <v/>
      </c>
      <c r="C880" s="1" t="str">
        <f aca="false">IF(LEN(A880&amp;"")=0,"",Base!C880)</f>
        <v/>
      </c>
      <c r="D880" s="1" t="str">
        <f aca="false">IF(LEN(A880&amp;"")=0,"",Base!G880)</f>
        <v/>
      </c>
      <c r="E880" s="1" t="str">
        <f aca="false">IF(LEN(A880&amp;"")=0,"",Base!E880)</f>
        <v/>
      </c>
      <c r="F880" s="61" t="str">
        <f aca="false">IF(LEN(A880&amp;"")=0,"",IF(Base!I880="-",0,Base!I880))</f>
        <v/>
      </c>
      <c r="G880" s="61" t="str">
        <f aca="false">IF(LEN(A880&amp;"")=0,"",SUM(Base!F880,F880,Base!K880))</f>
        <v/>
      </c>
      <c r="H880" s="61" t="str">
        <f aca="false">IF(LEN(A880&amp;"")=0,"",Base!L880)</f>
        <v/>
      </c>
      <c r="I880" s="61" t="str">
        <f aca="false">IF(LEN(A880&amp;"")=0,"",G880-H880)</f>
        <v/>
      </c>
      <c r="J880" s="61" t="str">
        <f aca="false">IF(LEN(A880&amp;"")=0,"",Base!M880)</f>
        <v/>
      </c>
      <c r="K880" s="1" t="n">
        <f aca="false">IF(OR(LEN(A880&amp;"")=0,$P$3=0),0,IF(AND(B880&gt;=Painel!$B$8,B880&lt;=Painel!$G$8,OR(Painel!$L$8="Todos",C880=Painel!$L$8),OR(Painel!$Q$8="Todos",D880=Painel!$Q$8),OR(Painel!$V$8="Todas",E880=Painel!$V$8)),1,0))</f>
        <v>0</v>
      </c>
      <c r="L880" s="61" t="str">
        <f aca="false">IF(LEN(A880&amp;"")=0,"",J880-I880)</f>
        <v/>
      </c>
      <c r="M880" s="1" t="n">
        <f aca="false">IF(LEN(A880&amp;"")=0,0,IF(COUNTIFS(Base!$A$7:$A$1006,A880)&gt;1,1,0))</f>
        <v>0</v>
      </c>
      <c r="N880" s="1" t="n">
        <f aca="false">IF(LEN(A880&amp;"")=0,0,IF(ABS(L880)&gt;0.005,1,0))</f>
        <v>0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customFormat="false" ht="23" hidden="false" customHeight="true" outlineLevel="0" collapsed="false">
      <c r="A881" s="1" t="str">
        <f aca="false">IF(LEN(Base!A881&amp;"")=0,"",Base!A881)</f>
        <v/>
      </c>
      <c r="B881" s="60" t="str">
        <f aca="false">IF(LEN(A881&amp;"")=0,"",Base!D881)</f>
        <v/>
      </c>
      <c r="C881" s="1" t="str">
        <f aca="false">IF(LEN(A881&amp;"")=0,"",Base!C881)</f>
        <v/>
      </c>
      <c r="D881" s="1" t="str">
        <f aca="false">IF(LEN(A881&amp;"")=0,"",Base!G881)</f>
        <v/>
      </c>
      <c r="E881" s="1" t="str">
        <f aca="false">IF(LEN(A881&amp;"")=0,"",Base!E881)</f>
        <v/>
      </c>
      <c r="F881" s="61" t="str">
        <f aca="false">IF(LEN(A881&amp;"")=0,"",IF(Base!I881="-",0,Base!I881))</f>
        <v/>
      </c>
      <c r="G881" s="61" t="str">
        <f aca="false">IF(LEN(A881&amp;"")=0,"",SUM(Base!F881,F881,Base!K881))</f>
        <v/>
      </c>
      <c r="H881" s="61" t="str">
        <f aca="false">IF(LEN(A881&amp;"")=0,"",Base!L881)</f>
        <v/>
      </c>
      <c r="I881" s="61" t="str">
        <f aca="false">IF(LEN(A881&amp;"")=0,"",G881-H881)</f>
        <v/>
      </c>
      <c r="J881" s="61" t="str">
        <f aca="false">IF(LEN(A881&amp;"")=0,"",Base!M881)</f>
        <v/>
      </c>
      <c r="K881" s="1" t="n">
        <f aca="false">IF(OR(LEN(A881&amp;"")=0,$P$3=0),0,IF(AND(B881&gt;=Painel!$B$8,B881&lt;=Painel!$G$8,OR(Painel!$L$8="Todos",C881=Painel!$L$8),OR(Painel!$Q$8="Todos",D881=Painel!$Q$8),OR(Painel!$V$8="Todas",E881=Painel!$V$8)),1,0))</f>
        <v>0</v>
      </c>
      <c r="L881" s="61" t="str">
        <f aca="false">IF(LEN(A881&amp;"")=0,"",J881-I881)</f>
        <v/>
      </c>
      <c r="M881" s="1" t="n">
        <f aca="false">IF(LEN(A881&amp;"")=0,0,IF(COUNTIFS(Base!$A$7:$A$1006,A881)&gt;1,1,0))</f>
        <v>0</v>
      </c>
      <c r="N881" s="1" t="n">
        <f aca="false">IF(LEN(A881&amp;"")=0,0,IF(ABS(L881)&gt;0.005,1,0))</f>
        <v>0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customFormat="false" ht="23" hidden="false" customHeight="true" outlineLevel="0" collapsed="false">
      <c r="A882" s="1" t="str">
        <f aca="false">IF(LEN(Base!A882&amp;"")=0,"",Base!A882)</f>
        <v/>
      </c>
      <c r="B882" s="60" t="str">
        <f aca="false">IF(LEN(A882&amp;"")=0,"",Base!D882)</f>
        <v/>
      </c>
      <c r="C882" s="1" t="str">
        <f aca="false">IF(LEN(A882&amp;"")=0,"",Base!C882)</f>
        <v/>
      </c>
      <c r="D882" s="1" t="str">
        <f aca="false">IF(LEN(A882&amp;"")=0,"",Base!G882)</f>
        <v/>
      </c>
      <c r="E882" s="1" t="str">
        <f aca="false">IF(LEN(A882&amp;"")=0,"",Base!E882)</f>
        <v/>
      </c>
      <c r="F882" s="61" t="str">
        <f aca="false">IF(LEN(A882&amp;"")=0,"",IF(Base!I882="-",0,Base!I882))</f>
        <v/>
      </c>
      <c r="G882" s="61" t="str">
        <f aca="false">IF(LEN(A882&amp;"")=0,"",SUM(Base!F882,F882,Base!K882))</f>
        <v/>
      </c>
      <c r="H882" s="61" t="str">
        <f aca="false">IF(LEN(A882&amp;"")=0,"",Base!L882)</f>
        <v/>
      </c>
      <c r="I882" s="61" t="str">
        <f aca="false">IF(LEN(A882&amp;"")=0,"",G882-H882)</f>
        <v/>
      </c>
      <c r="J882" s="61" t="str">
        <f aca="false">IF(LEN(A882&amp;"")=0,"",Base!M882)</f>
        <v/>
      </c>
      <c r="K882" s="1" t="n">
        <f aca="false">IF(OR(LEN(A882&amp;"")=0,$P$3=0),0,IF(AND(B882&gt;=Painel!$B$8,B882&lt;=Painel!$G$8,OR(Painel!$L$8="Todos",C882=Painel!$L$8),OR(Painel!$Q$8="Todos",D882=Painel!$Q$8),OR(Painel!$V$8="Todas",E882=Painel!$V$8)),1,0))</f>
        <v>0</v>
      </c>
      <c r="L882" s="61" t="str">
        <f aca="false">IF(LEN(A882&amp;"")=0,"",J882-I882)</f>
        <v/>
      </c>
      <c r="M882" s="1" t="n">
        <f aca="false">IF(LEN(A882&amp;"")=0,0,IF(COUNTIFS(Base!$A$7:$A$1006,A882)&gt;1,1,0))</f>
        <v>0</v>
      </c>
      <c r="N882" s="1" t="n">
        <f aca="false">IF(LEN(A882&amp;"")=0,0,IF(ABS(L882)&gt;0.005,1,0))</f>
        <v>0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customFormat="false" ht="23" hidden="false" customHeight="true" outlineLevel="0" collapsed="false">
      <c r="A883" s="1" t="str">
        <f aca="false">IF(LEN(Base!A883&amp;"")=0,"",Base!A883)</f>
        <v/>
      </c>
      <c r="B883" s="60" t="str">
        <f aca="false">IF(LEN(A883&amp;"")=0,"",Base!D883)</f>
        <v/>
      </c>
      <c r="C883" s="1" t="str">
        <f aca="false">IF(LEN(A883&amp;"")=0,"",Base!C883)</f>
        <v/>
      </c>
      <c r="D883" s="1" t="str">
        <f aca="false">IF(LEN(A883&amp;"")=0,"",Base!G883)</f>
        <v/>
      </c>
      <c r="E883" s="1" t="str">
        <f aca="false">IF(LEN(A883&amp;"")=0,"",Base!E883)</f>
        <v/>
      </c>
      <c r="F883" s="61" t="str">
        <f aca="false">IF(LEN(A883&amp;"")=0,"",IF(Base!I883="-",0,Base!I883))</f>
        <v/>
      </c>
      <c r="G883" s="61" t="str">
        <f aca="false">IF(LEN(A883&amp;"")=0,"",SUM(Base!F883,F883,Base!K883))</f>
        <v/>
      </c>
      <c r="H883" s="61" t="str">
        <f aca="false">IF(LEN(A883&amp;"")=0,"",Base!L883)</f>
        <v/>
      </c>
      <c r="I883" s="61" t="str">
        <f aca="false">IF(LEN(A883&amp;"")=0,"",G883-H883)</f>
        <v/>
      </c>
      <c r="J883" s="61" t="str">
        <f aca="false">IF(LEN(A883&amp;"")=0,"",Base!M883)</f>
        <v/>
      </c>
      <c r="K883" s="1" t="n">
        <f aca="false">IF(OR(LEN(A883&amp;"")=0,$P$3=0),0,IF(AND(B883&gt;=Painel!$B$8,B883&lt;=Painel!$G$8,OR(Painel!$L$8="Todos",C883=Painel!$L$8),OR(Painel!$Q$8="Todos",D883=Painel!$Q$8),OR(Painel!$V$8="Todas",E883=Painel!$V$8)),1,0))</f>
        <v>0</v>
      </c>
      <c r="L883" s="61" t="str">
        <f aca="false">IF(LEN(A883&amp;"")=0,"",J883-I883)</f>
        <v/>
      </c>
      <c r="M883" s="1" t="n">
        <f aca="false">IF(LEN(A883&amp;"")=0,0,IF(COUNTIFS(Base!$A$7:$A$1006,A883)&gt;1,1,0))</f>
        <v>0</v>
      </c>
      <c r="N883" s="1" t="n">
        <f aca="false">IF(LEN(A883&amp;"")=0,0,IF(ABS(L883)&gt;0.005,1,0))</f>
        <v>0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customFormat="false" ht="23" hidden="false" customHeight="true" outlineLevel="0" collapsed="false">
      <c r="A884" s="1" t="str">
        <f aca="false">IF(LEN(Base!A884&amp;"")=0,"",Base!A884)</f>
        <v/>
      </c>
      <c r="B884" s="60" t="str">
        <f aca="false">IF(LEN(A884&amp;"")=0,"",Base!D884)</f>
        <v/>
      </c>
      <c r="C884" s="1" t="str">
        <f aca="false">IF(LEN(A884&amp;"")=0,"",Base!C884)</f>
        <v/>
      </c>
      <c r="D884" s="1" t="str">
        <f aca="false">IF(LEN(A884&amp;"")=0,"",Base!G884)</f>
        <v/>
      </c>
      <c r="E884" s="1" t="str">
        <f aca="false">IF(LEN(A884&amp;"")=0,"",Base!E884)</f>
        <v/>
      </c>
      <c r="F884" s="61" t="str">
        <f aca="false">IF(LEN(A884&amp;"")=0,"",IF(Base!I884="-",0,Base!I884))</f>
        <v/>
      </c>
      <c r="G884" s="61" t="str">
        <f aca="false">IF(LEN(A884&amp;"")=0,"",SUM(Base!F884,F884,Base!K884))</f>
        <v/>
      </c>
      <c r="H884" s="61" t="str">
        <f aca="false">IF(LEN(A884&amp;"")=0,"",Base!L884)</f>
        <v/>
      </c>
      <c r="I884" s="61" t="str">
        <f aca="false">IF(LEN(A884&amp;"")=0,"",G884-H884)</f>
        <v/>
      </c>
      <c r="J884" s="61" t="str">
        <f aca="false">IF(LEN(A884&amp;"")=0,"",Base!M884)</f>
        <v/>
      </c>
      <c r="K884" s="1" t="n">
        <f aca="false">IF(OR(LEN(A884&amp;"")=0,$P$3=0),0,IF(AND(B884&gt;=Painel!$B$8,B884&lt;=Painel!$G$8,OR(Painel!$L$8="Todos",C884=Painel!$L$8),OR(Painel!$Q$8="Todos",D884=Painel!$Q$8),OR(Painel!$V$8="Todas",E884=Painel!$V$8)),1,0))</f>
        <v>0</v>
      </c>
      <c r="L884" s="61" t="str">
        <f aca="false">IF(LEN(A884&amp;"")=0,"",J884-I884)</f>
        <v/>
      </c>
      <c r="M884" s="1" t="n">
        <f aca="false">IF(LEN(A884&amp;"")=0,0,IF(COUNTIFS(Base!$A$7:$A$1006,A884)&gt;1,1,0))</f>
        <v>0</v>
      </c>
      <c r="N884" s="1" t="n">
        <f aca="false">IF(LEN(A884&amp;"")=0,0,IF(ABS(L884)&gt;0.005,1,0))</f>
        <v>0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customFormat="false" ht="23" hidden="false" customHeight="true" outlineLevel="0" collapsed="false">
      <c r="A885" s="1" t="str">
        <f aca="false">IF(LEN(Base!A885&amp;"")=0,"",Base!A885)</f>
        <v/>
      </c>
      <c r="B885" s="60" t="str">
        <f aca="false">IF(LEN(A885&amp;"")=0,"",Base!D885)</f>
        <v/>
      </c>
      <c r="C885" s="1" t="str">
        <f aca="false">IF(LEN(A885&amp;"")=0,"",Base!C885)</f>
        <v/>
      </c>
      <c r="D885" s="1" t="str">
        <f aca="false">IF(LEN(A885&amp;"")=0,"",Base!G885)</f>
        <v/>
      </c>
      <c r="E885" s="1" t="str">
        <f aca="false">IF(LEN(A885&amp;"")=0,"",Base!E885)</f>
        <v/>
      </c>
      <c r="F885" s="61" t="str">
        <f aca="false">IF(LEN(A885&amp;"")=0,"",IF(Base!I885="-",0,Base!I885))</f>
        <v/>
      </c>
      <c r="G885" s="61" t="str">
        <f aca="false">IF(LEN(A885&amp;"")=0,"",SUM(Base!F885,F885,Base!K885))</f>
        <v/>
      </c>
      <c r="H885" s="61" t="str">
        <f aca="false">IF(LEN(A885&amp;"")=0,"",Base!L885)</f>
        <v/>
      </c>
      <c r="I885" s="61" t="str">
        <f aca="false">IF(LEN(A885&amp;"")=0,"",G885-H885)</f>
        <v/>
      </c>
      <c r="J885" s="61" t="str">
        <f aca="false">IF(LEN(A885&amp;"")=0,"",Base!M885)</f>
        <v/>
      </c>
      <c r="K885" s="1" t="n">
        <f aca="false">IF(OR(LEN(A885&amp;"")=0,$P$3=0),0,IF(AND(B885&gt;=Painel!$B$8,B885&lt;=Painel!$G$8,OR(Painel!$L$8="Todos",C885=Painel!$L$8),OR(Painel!$Q$8="Todos",D885=Painel!$Q$8),OR(Painel!$V$8="Todas",E885=Painel!$V$8)),1,0))</f>
        <v>0</v>
      </c>
      <c r="L885" s="61" t="str">
        <f aca="false">IF(LEN(A885&amp;"")=0,"",J885-I885)</f>
        <v/>
      </c>
      <c r="M885" s="1" t="n">
        <f aca="false">IF(LEN(A885&amp;"")=0,0,IF(COUNTIFS(Base!$A$7:$A$1006,A885)&gt;1,1,0))</f>
        <v>0</v>
      </c>
      <c r="N885" s="1" t="n">
        <f aca="false">IF(LEN(A885&amp;"")=0,0,IF(ABS(L885)&gt;0.005,1,0))</f>
        <v>0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customFormat="false" ht="23" hidden="false" customHeight="true" outlineLevel="0" collapsed="false">
      <c r="A886" s="1" t="str">
        <f aca="false">IF(LEN(Base!A886&amp;"")=0,"",Base!A886)</f>
        <v/>
      </c>
      <c r="B886" s="60" t="str">
        <f aca="false">IF(LEN(A886&amp;"")=0,"",Base!D886)</f>
        <v/>
      </c>
      <c r="C886" s="1" t="str">
        <f aca="false">IF(LEN(A886&amp;"")=0,"",Base!C886)</f>
        <v/>
      </c>
      <c r="D886" s="1" t="str">
        <f aca="false">IF(LEN(A886&amp;"")=0,"",Base!G886)</f>
        <v/>
      </c>
      <c r="E886" s="1" t="str">
        <f aca="false">IF(LEN(A886&amp;"")=0,"",Base!E886)</f>
        <v/>
      </c>
      <c r="F886" s="61" t="str">
        <f aca="false">IF(LEN(A886&amp;"")=0,"",IF(Base!I886="-",0,Base!I886))</f>
        <v/>
      </c>
      <c r="G886" s="61" t="str">
        <f aca="false">IF(LEN(A886&amp;"")=0,"",SUM(Base!F886,F886,Base!K886))</f>
        <v/>
      </c>
      <c r="H886" s="61" t="str">
        <f aca="false">IF(LEN(A886&amp;"")=0,"",Base!L886)</f>
        <v/>
      </c>
      <c r="I886" s="61" t="str">
        <f aca="false">IF(LEN(A886&amp;"")=0,"",G886-H886)</f>
        <v/>
      </c>
      <c r="J886" s="61" t="str">
        <f aca="false">IF(LEN(A886&amp;"")=0,"",Base!M886)</f>
        <v/>
      </c>
      <c r="K886" s="1" t="n">
        <f aca="false">IF(OR(LEN(A886&amp;"")=0,$P$3=0),0,IF(AND(B886&gt;=Painel!$B$8,B886&lt;=Painel!$G$8,OR(Painel!$L$8="Todos",C886=Painel!$L$8),OR(Painel!$Q$8="Todos",D886=Painel!$Q$8),OR(Painel!$V$8="Todas",E886=Painel!$V$8)),1,0))</f>
        <v>0</v>
      </c>
      <c r="L886" s="61" t="str">
        <f aca="false">IF(LEN(A886&amp;"")=0,"",J886-I886)</f>
        <v/>
      </c>
      <c r="M886" s="1" t="n">
        <f aca="false">IF(LEN(A886&amp;"")=0,0,IF(COUNTIFS(Base!$A$7:$A$1006,A886)&gt;1,1,0))</f>
        <v>0</v>
      </c>
      <c r="N886" s="1" t="n">
        <f aca="false">IF(LEN(A886&amp;"")=0,0,IF(ABS(L886)&gt;0.005,1,0))</f>
        <v>0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customFormat="false" ht="23" hidden="false" customHeight="true" outlineLevel="0" collapsed="false">
      <c r="A887" s="1" t="str">
        <f aca="false">IF(LEN(Base!A887&amp;"")=0,"",Base!A887)</f>
        <v/>
      </c>
      <c r="B887" s="60" t="str">
        <f aca="false">IF(LEN(A887&amp;"")=0,"",Base!D887)</f>
        <v/>
      </c>
      <c r="C887" s="1" t="str">
        <f aca="false">IF(LEN(A887&amp;"")=0,"",Base!C887)</f>
        <v/>
      </c>
      <c r="D887" s="1" t="str">
        <f aca="false">IF(LEN(A887&amp;"")=0,"",Base!G887)</f>
        <v/>
      </c>
      <c r="E887" s="1" t="str">
        <f aca="false">IF(LEN(A887&amp;"")=0,"",Base!E887)</f>
        <v/>
      </c>
      <c r="F887" s="61" t="str">
        <f aca="false">IF(LEN(A887&amp;"")=0,"",IF(Base!I887="-",0,Base!I887))</f>
        <v/>
      </c>
      <c r="G887" s="61" t="str">
        <f aca="false">IF(LEN(A887&amp;"")=0,"",SUM(Base!F887,F887,Base!K887))</f>
        <v/>
      </c>
      <c r="H887" s="61" t="str">
        <f aca="false">IF(LEN(A887&amp;"")=0,"",Base!L887)</f>
        <v/>
      </c>
      <c r="I887" s="61" t="str">
        <f aca="false">IF(LEN(A887&amp;"")=0,"",G887-H887)</f>
        <v/>
      </c>
      <c r="J887" s="61" t="str">
        <f aca="false">IF(LEN(A887&amp;"")=0,"",Base!M887)</f>
        <v/>
      </c>
      <c r="K887" s="1" t="n">
        <f aca="false">IF(OR(LEN(A887&amp;"")=0,$P$3=0),0,IF(AND(B887&gt;=Painel!$B$8,B887&lt;=Painel!$G$8,OR(Painel!$L$8="Todos",C887=Painel!$L$8),OR(Painel!$Q$8="Todos",D887=Painel!$Q$8),OR(Painel!$V$8="Todas",E887=Painel!$V$8)),1,0))</f>
        <v>0</v>
      </c>
      <c r="L887" s="61" t="str">
        <f aca="false">IF(LEN(A887&amp;"")=0,"",J887-I887)</f>
        <v/>
      </c>
      <c r="M887" s="1" t="n">
        <f aca="false">IF(LEN(A887&amp;"")=0,0,IF(COUNTIFS(Base!$A$7:$A$1006,A887)&gt;1,1,0))</f>
        <v>0</v>
      </c>
      <c r="N887" s="1" t="n">
        <f aca="false">IF(LEN(A887&amp;"")=0,0,IF(ABS(L887)&gt;0.005,1,0))</f>
        <v>0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customFormat="false" ht="23" hidden="false" customHeight="true" outlineLevel="0" collapsed="false">
      <c r="A888" s="1" t="str">
        <f aca="false">IF(LEN(Base!A888&amp;"")=0,"",Base!A888)</f>
        <v/>
      </c>
      <c r="B888" s="60" t="str">
        <f aca="false">IF(LEN(A888&amp;"")=0,"",Base!D888)</f>
        <v/>
      </c>
      <c r="C888" s="1" t="str">
        <f aca="false">IF(LEN(A888&amp;"")=0,"",Base!C888)</f>
        <v/>
      </c>
      <c r="D888" s="1" t="str">
        <f aca="false">IF(LEN(A888&amp;"")=0,"",Base!G888)</f>
        <v/>
      </c>
      <c r="E888" s="1" t="str">
        <f aca="false">IF(LEN(A888&amp;"")=0,"",Base!E888)</f>
        <v/>
      </c>
      <c r="F888" s="61" t="str">
        <f aca="false">IF(LEN(A888&amp;"")=0,"",IF(Base!I888="-",0,Base!I888))</f>
        <v/>
      </c>
      <c r="G888" s="61" t="str">
        <f aca="false">IF(LEN(A888&amp;"")=0,"",SUM(Base!F888,F888,Base!K888))</f>
        <v/>
      </c>
      <c r="H888" s="61" t="str">
        <f aca="false">IF(LEN(A888&amp;"")=0,"",Base!L888)</f>
        <v/>
      </c>
      <c r="I888" s="61" t="str">
        <f aca="false">IF(LEN(A888&amp;"")=0,"",G888-H888)</f>
        <v/>
      </c>
      <c r="J888" s="61" t="str">
        <f aca="false">IF(LEN(A888&amp;"")=0,"",Base!M888)</f>
        <v/>
      </c>
      <c r="K888" s="1" t="n">
        <f aca="false">IF(OR(LEN(A888&amp;"")=0,$P$3=0),0,IF(AND(B888&gt;=Painel!$B$8,B888&lt;=Painel!$G$8,OR(Painel!$L$8="Todos",C888=Painel!$L$8),OR(Painel!$Q$8="Todos",D888=Painel!$Q$8),OR(Painel!$V$8="Todas",E888=Painel!$V$8)),1,0))</f>
        <v>0</v>
      </c>
      <c r="L888" s="61" t="str">
        <f aca="false">IF(LEN(A888&amp;"")=0,"",J888-I888)</f>
        <v/>
      </c>
      <c r="M888" s="1" t="n">
        <f aca="false">IF(LEN(A888&amp;"")=0,0,IF(COUNTIFS(Base!$A$7:$A$1006,A888)&gt;1,1,0))</f>
        <v>0</v>
      </c>
      <c r="N888" s="1" t="n">
        <f aca="false">IF(LEN(A888&amp;"")=0,0,IF(ABS(L888)&gt;0.005,1,0))</f>
        <v>0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customFormat="false" ht="23" hidden="false" customHeight="true" outlineLevel="0" collapsed="false">
      <c r="A889" s="1" t="str">
        <f aca="false">IF(LEN(Base!A889&amp;"")=0,"",Base!A889)</f>
        <v/>
      </c>
      <c r="B889" s="60" t="str">
        <f aca="false">IF(LEN(A889&amp;"")=0,"",Base!D889)</f>
        <v/>
      </c>
      <c r="C889" s="1" t="str">
        <f aca="false">IF(LEN(A889&amp;"")=0,"",Base!C889)</f>
        <v/>
      </c>
      <c r="D889" s="1" t="str">
        <f aca="false">IF(LEN(A889&amp;"")=0,"",Base!G889)</f>
        <v/>
      </c>
      <c r="E889" s="1" t="str">
        <f aca="false">IF(LEN(A889&amp;"")=0,"",Base!E889)</f>
        <v/>
      </c>
      <c r="F889" s="61" t="str">
        <f aca="false">IF(LEN(A889&amp;"")=0,"",IF(Base!I889="-",0,Base!I889))</f>
        <v/>
      </c>
      <c r="G889" s="61" t="str">
        <f aca="false">IF(LEN(A889&amp;"")=0,"",SUM(Base!F889,F889,Base!K889))</f>
        <v/>
      </c>
      <c r="H889" s="61" t="str">
        <f aca="false">IF(LEN(A889&amp;"")=0,"",Base!L889)</f>
        <v/>
      </c>
      <c r="I889" s="61" t="str">
        <f aca="false">IF(LEN(A889&amp;"")=0,"",G889-H889)</f>
        <v/>
      </c>
      <c r="J889" s="61" t="str">
        <f aca="false">IF(LEN(A889&amp;"")=0,"",Base!M889)</f>
        <v/>
      </c>
      <c r="K889" s="1" t="n">
        <f aca="false">IF(OR(LEN(A889&amp;"")=0,$P$3=0),0,IF(AND(B889&gt;=Painel!$B$8,B889&lt;=Painel!$G$8,OR(Painel!$L$8="Todos",C889=Painel!$L$8),OR(Painel!$Q$8="Todos",D889=Painel!$Q$8),OR(Painel!$V$8="Todas",E889=Painel!$V$8)),1,0))</f>
        <v>0</v>
      </c>
      <c r="L889" s="61" t="str">
        <f aca="false">IF(LEN(A889&amp;"")=0,"",J889-I889)</f>
        <v/>
      </c>
      <c r="M889" s="1" t="n">
        <f aca="false">IF(LEN(A889&amp;"")=0,0,IF(COUNTIFS(Base!$A$7:$A$1006,A889)&gt;1,1,0))</f>
        <v>0</v>
      </c>
      <c r="N889" s="1" t="n">
        <f aca="false">IF(LEN(A889&amp;"")=0,0,IF(ABS(L889)&gt;0.005,1,0))</f>
        <v>0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customFormat="false" ht="23" hidden="false" customHeight="true" outlineLevel="0" collapsed="false">
      <c r="A890" s="1" t="str">
        <f aca="false">IF(LEN(Base!A890&amp;"")=0,"",Base!A890)</f>
        <v/>
      </c>
      <c r="B890" s="60" t="str">
        <f aca="false">IF(LEN(A890&amp;"")=0,"",Base!D890)</f>
        <v/>
      </c>
      <c r="C890" s="1" t="str">
        <f aca="false">IF(LEN(A890&amp;"")=0,"",Base!C890)</f>
        <v/>
      </c>
      <c r="D890" s="1" t="str">
        <f aca="false">IF(LEN(A890&amp;"")=0,"",Base!G890)</f>
        <v/>
      </c>
      <c r="E890" s="1" t="str">
        <f aca="false">IF(LEN(A890&amp;"")=0,"",Base!E890)</f>
        <v/>
      </c>
      <c r="F890" s="61" t="str">
        <f aca="false">IF(LEN(A890&amp;"")=0,"",IF(Base!I890="-",0,Base!I890))</f>
        <v/>
      </c>
      <c r="G890" s="61" t="str">
        <f aca="false">IF(LEN(A890&amp;"")=0,"",SUM(Base!F890,F890,Base!K890))</f>
        <v/>
      </c>
      <c r="H890" s="61" t="str">
        <f aca="false">IF(LEN(A890&amp;"")=0,"",Base!L890)</f>
        <v/>
      </c>
      <c r="I890" s="61" t="str">
        <f aca="false">IF(LEN(A890&amp;"")=0,"",G890-H890)</f>
        <v/>
      </c>
      <c r="J890" s="61" t="str">
        <f aca="false">IF(LEN(A890&amp;"")=0,"",Base!M890)</f>
        <v/>
      </c>
      <c r="K890" s="1" t="n">
        <f aca="false">IF(OR(LEN(A890&amp;"")=0,$P$3=0),0,IF(AND(B890&gt;=Painel!$B$8,B890&lt;=Painel!$G$8,OR(Painel!$L$8="Todos",C890=Painel!$L$8),OR(Painel!$Q$8="Todos",D890=Painel!$Q$8),OR(Painel!$V$8="Todas",E890=Painel!$V$8)),1,0))</f>
        <v>0</v>
      </c>
      <c r="L890" s="61" t="str">
        <f aca="false">IF(LEN(A890&amp;"")=0,"",J890-I890)</f>
        <v/>
      </c>
      <c r="M890" s="1" t="n">
        <f aca="false">IF(LEN(A890&amp;"")=0,0,IF(COUNTIFS(Base!$A$7:$A$1006,A890)&gt;1,1,0))</f>
        <v>0</v>
      </c>
      <c r="N890" s="1" t="n">
        <f aca="false">IF(LEN(A890&amp;"")=0,0,IF(ABS(L890)&gt;0.005,1,0))</f>
        <v>0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customFormat="false" ht="23" hidden="false" customHeight="true" outlineLevel="0" collapsed="false">
      <c r="A891" s="1" t="str">
        <f aca="false">IF(LEN(Base!A891&amp;"")=0,"",Base!A891)</f>
        <v/>
      </c>
      <c r="B891" s="60" t="str">
        <f aca="false">IF(LEN(A891&amp;"")=0,"",Base!D891)</f>
        <v/>
      </c>
      <c r="C891" s="1" t="str">
        <f aca="false">IF(LEN(A891&amp;"")=0,"",Base!C891)</f>
        <v/>
      </c>
      <c r="D891" s="1" t="str">
        <f aca="false">IF(LEN(A891&amp;"")=0,"",Base!G891)</f>
        <v/>
      </c>
      <c r="E891" s="1" t="str">
        <f aca="false">IF(LEN(A891&amp;"")=0,"",Base!E891)</f>
        <v/>
      </c>
      <c r="F891" s="61" t="str">
        <f aca="false">IF(LEN(A891&amp;"")=0,"",IF(Base!I891="-",0,Base!I891))</f>
        <v/>
      </c>
      <c r="G891" s="61" t="str">
        <f aca="false">IF(LEN(A891&amp;"")=0,"",SUM(Base!F891,F891,Base!K891))</f>
        <v/>
      </c>
      <c r="H891" s="61" t="str">
        <f aca="false">IF(LEN(A891&amp;"")=0,"",Base!L891)</f>
        <v/>
      </c>
      <c r="I891" s="61" t="str">
        <f aca="false">IF(LEN(A891&amp;"")=0,"",G891-H891)</f>
        <v/>
      </c>
      <c r="J891" s="61" t="str">
        <f aca="false">IF(LEN(A891&amp;"")=0,"",Base!M891)</f>
        <v/>
      </c>
      <c r="K891" s="1" t="n">
        <f aca="false">IF(OR(LEN(A891&amp;"")=0,$P$3=0),0,IF(AND(B891&gt;=Painel!$B$8,B891&lt;=Painel!$G$8,OR(Painel!$L$8="Todos",C891=Painel!$L$8),OR(Painel!$Q$8="Todos",D891=Painel!$Q$8),OR(Painel!$V$8="Todas",E891=Painel!$V$8)),1,0))</f>
        <v>0</v>
      </c>
      <c r="L891" s="61" t="str">
        <f aca="false">IF(LEN(A891&amp;"")=0,"",J891-I891)</f>
        <v/>
      </c>
      <c r="M891" s="1" t="n">
        <f aca="false">IF(LEN(A891&amp;"")=0,0,IF(COUNTIFS(Base!$A$7:$A$1006,A891)&gt;1,1,0))</f>
        <v>0</v>
      </c>
      <c r="N891" s="1" t="n">
        <f aca="false">IF(LEN(A891&amp;"")=0,0,IF(ABS(L891)&gt;0.005,1,0))</f>
        <v>0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customFormat="false" ht="23" hidden="false" customHeight="true" outlineLevel="0" collapsed="false">
      <c r="A892" s="1" t="str">
        <f aca="false">IF(LEN(Base!A892&amp;"")=0,"",Base!A892)</f>
        <v/>
      </c>
      <c r="B892" s="60" t="str">
        <f aca="false">IF(LEN(A892&amp;"")=0,"",Base!D892)</f>
        <v/>
      </c>
      <c r="C892" s="1" t="str">
        <f aca="false">IF(LEN(A892&amp;"")=0,"",Base!C892)</f>
        <v/>
      </c>
      <c r="D892" s="1" t="str">
        <f aca="false">IF(LEN(A892&amp;"")=0,"",Base!G892)</f>
        <v/>
      </c>
      <c r="E892" s="1" t="str">
        <f aca="false">IF(LEN(A892&amp;"")=0,"",Base!E892)</f>
        <v/>
      </c>
      <c r="F892" s="61" t="str">
        <f aca="false">IF(LEN(A892&amp;"")=0,"",IF(Base!I892="-",0,Base!I892))</f>
        <v/>
      </c>
      <c r="G892" s="61" t="str">
        <f aca="false">IF(LEN(A892&amp;"")=0,"",SUM(Base!F892,F892,Base!K892))</f>
        <v/>
      </c>
      <c r="H892" s="61" t="str">
        <f aca="false">IF(LEN(A892&amp;"")=0,"",Base!L892)</f>
        <v/>
      </c>
      <c r="I892" s="61" t="str">
        <f aca="false">IF(LEN(A892&amp;"")=0,"",G892-H892)</f>
        <v/>
      </c>
      <c r="J892" s="61" t="str">
        <f aca="false">IF(LEN(A892&amp;"")=0,"",Base!M892)</f>
        <v/>
      </c>
      <c r="K892" s="1" t="n">
        <f aca="false">IF(OR(LEN(A892&amp;"")=0,$P$3=0),0,IF(AND(B892&gt;=Painel!$B$8,B892&lt;=Painel!$G$8,OR(Painel!$L$8="Todos",C892=Painel!$L$8),OR(Painel!$Q$8="Todos",D892=Painel!$Q$8),OR(Painel!$V$8="Todas",E892=Painel!$V$8)),1,0))</f>
        <v>0</v>
      </c>
      <c r="L892" s="61" t="str">
        <f aca="false">IF(LEN(A892&amp;"")=0,"",J892-I892)</f>
        <v/>
      </c>
      <c r="M892" s="1" t="n">
        <f aca="false">IF(LEN(A892&amp;"")=0,0,IF(COUNTIFS(Base!$A$7:$A$1006,A892)&gt;1,1,0))</f>
        <v>0</v>
      </c>
      <c r="N892" s="1" t="n">
        <f aca="false">IF(LEN(A892&amp;"")=0,0,IF(ABS(L892)&gt;0.005,1,0))</f>
        <v>0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customFormat="false" ht="23" hidden="false" customHeight="true" outlineLevel="0" collapsed="false">
      <c r="A893" s="1" t="str">
        <f aca="false">IF(LEN(Base!A893&amp;"")=0,"",Base!A893)</f>
        <v/>
      </c>
      <c r="B893" s="60" t="str">
        <f aca="false">IF(LEN(A893&amp;"")=0,"",Base!D893)</f>
        <v/>
      </c>
      <c r="C893" s="1" t="str">
        <f aca="false">IF(LEN(A893&amp;"")=0,"",Base!C893)</f>
        <v/>
      </c>
      <c r="D893" s="1" t="str">
        <f aca="false">IF(LEN(A893&amp;"")=0,"",Base!G893)</f>
        <v/>
      </c>
      <c r="E893" s="1" t="str">
        <f aca="false">IF(LEN(A893&amp;"")=0,"",Base!E893)</f>
        <v/>
      </c>
      <c r="F893" s="61" t="str">
        <f aca="false">IF(LEN(A893&amp;"")=0,"",IF(Base!I893="-",0,Base!I893))</f>
        <v/>
      </c>
      <c r="G893" s="61" t="str">
        <f aca="false">IF(LEN(A893&amp;"")=0,"",SUM(Base!F893,F893,Base!K893))</f>
        <v/>
      </c>
      <c r="H893" s="61" t="str">
        <f aca="false">IF(LEN(A893&amp;"")=0,"",Base!L893)</f>
        <v/>
      </c>
      <c r="I893" s="61" t="str">
        <f aca="false">IF(LEN(A893&amp;"")=0,"",G893-H893)</f>
        <v/>
      </c>
      <c r="J893" s="61" t="str">
        <f aca="false">IF(LEN(A893&amp;"")=0,"",Base!M893)</f>
        <v/>
      </c>
      <c r="K893" s="1" t="n">
        <f aca="false">IF(OR(LEN(A893&amp;"")=0,$P$3=0),0,IF(AND(B893&gt;=Painel!$B$8,B893&lt;=Painel!$G$8,OR(Painel!$L$8="Todos",C893=Painel!$L$8),OR(Painel!$Q$8="Todos",D893=Painel!$Q$8),OR(Painel!$V$8="Todas",E893=Painel!$V$8)),1,0))</f>
        <v>0</v>
      </c>
      <c r="L893" s="61" t="str">
        <f aca="false">IF(LEN(A893&amp;"")=0,"",J893-I893)</f>
        <v/>
      </c>
      <c r="M893" s="1" t="n">
        <f aca="false">IF(LEN(A893&amp;"")=0,0,IF(COUNTIFS(Base!$A$7:$A$1006,A893)&gt;1,1,0))</f>
        <v>0</v>
      </c>
      <c r="N893" s="1" t="n">
        <f aca="false">IF(LEN(A893&amp;"")=0,0,IF(ABS(L893)&gt;0.005,1,0))</f>
        <v>0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customFormat="false" ht="23" hidden="false" customHeight="true" outlineLevel="0" collapsed="false">
      <c r="A894" s="1" t="str">
        <f aca="false">IF(LEN(Base!A894&amp;"")=0,"",Base!A894)</f>
        <v/>
      </c>
      <c r="B894" s="60" t="str">
        <f aca="false">IF(LEN(A894&amp;"")=0,"",Base!D894)</f>
        <v/>
      </c>
      <c r="C894" s="1" t="str">
        <f aca="false">IF(LEN(A894&amp;"")=0,"",Base!C894)</f>
        <v/>
      </c>
      <c r="D894" s="1" t="str">
        <f aca="false">IF(LEN(A894&amp;"")=0,"",Base!G894)</f>
        <v/>
      </c>
      <c r="E894" s="1" t="str">
        <f aca="false">IF(LEN(A894&amp;"")=0,"",Base!E894)</f>
        <v/>
      </c>
      <c r="F894" s="61" t="str">
        <f aca="false">IF(LEN(A894&amp;"")=0,"",IF(Base!I894="-",0,Base!I894))</f>
        <v/>
      </c>
      <c r="G894" s="61" t="str">
        <f aca="false">IF(LEN(A894&amp;"")=0,"",SUM(Base!F894,F894,Base!K894))</f>
        <v/>
      </c>
      <c r="H894" s="61" t="str">
        <f aca="false">IF(LEN(A894&amp;"")=0,"",Base!L894)</f>
        <v/>
      </c>
      <c r="I894" s="61" t="str">
        <f aca="false">IF(LEN(A894&amp;"")=0,"",G894-H894)</f>
        <v/>
      </c>
      <c r="J894" s="61" t="str">
        <f aca="false">IF(LEN(A894&amp;"")=0,"",Base!M894)</f>
        <v/>
      </c>
      <c r="K894" s="1" t="n">
        <f aca="false">IF(OR(LEN(A894&amp;"")=0,$P$3=0),0,IF(AND(B894&gt;=Painel!$B$8,B894&lt;=Painel!$G$8,OR(Painel!$L$8="Todos",C894=Painel!$L$8),OR(Painel!$Q$8="Todos",D894=Painel!$Q$8),OR(Painel!$V$8="Todas",E894=Painel!$V$8)),1,0))</f>
        <v>0</v>
      </c>
      <c r="L894" s="61" t="str">
        <f aca="false">IF(LEN(A894&amp;"")=0,"",J894-I894)</f>
        <v/>
      </c>
      <c r="M894" s="1" t="n">
        <f aca="false">IF(LEN(A894&amp;"")=0,0,IF(COUNTIFS(Base!$A$7:$A$1006,A894)&gt;1,1,0))</f>
        <v>0</v>
      </c>
      <c r="N894" s="1" t="n">
        <f aca="false">IF(LEN(A894&amp;"")=0,0,IF(ABS(L894)&gt;0.005,1,0))</f>
        <v>0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customFormat="false" ht="23" hidden="false" customHeight="true" outlineLevel="0" collapsed="false">
      <c r="A895" s="1" t="str">
        <f aca="false">IF(LEN(Base!A895&amp;"")=0,"",Base!A895)</f>
        <v/>
      </c>
      <c r="B895" s="60" t="str">
        <f aca="false">IF(LEN(A895&amp;"")=0,"",Base!D895)</f>
        <v/>
      </c>
      <c r="C895" s="1" t="str">
        <f aca="false">IF(LEN(A895&amp;"")=0,"",Base!C895)</f>
        <v/>
      </c>
      <c r="D895" s="1" t="str">
        <f aca="false">IF(LEN(A895&amp;"")=0,"",Base!G895)</f>
        <v/>
      </c>
      <c r="E895" s="1" t="str">
        <f aca="false">IF(LEN(A895&amp;"")=0,"",Base!E895)</f>
        <v/>
      </c>
      <c r="F895" s="61" t="str">
        <f aca="false">IF(LEN(A895&amp;"")=0,"",IF(Base!I895="-",0,Base!I895))</f>
        <v/>
      </c>
      <c r="G895" s="61" t="str">
        <f aca="false">IF(LEN(A895&amp;"")=0,"",SUM(Base!F895,F895,Base!K895))</f>
        <v/>
      </c>
      <c r="H895" s="61" t="str">
        <f aca="false">IF(LEN(A895&amp;"")=0,"",Base!L895)</f>
        <v/>
      </c>
      <c r="I895" s="61" t="str">
        <f aca="false">IF(LEN(A895&amp;"")=0,"",G895-H895)</f>
        <v/>
      </c>
      <c r="J895" s="61" t="str">
        <f aca="false">IF(LEN(A895&amp;"")=0,"",Base!M895)</f>
        <v/>
      </c>
      <c r="K895" s="1" t="n">
        <f aca="false">IF(OR(LEN(A895&amp;"")=0,$P$3=0),0,IF(AND(B895&gt;=Painel!$B$8,B895&lt;=Painel!$G$8,OR(Painel!$L$8="Todos",C895=Painel!$L$8),OR(Painel!$Q$8="Todos",D895=Painel!$Q$8),OR(Painel!$V$8="Todas",E895=Painel!$V$8)),1,0))</f>
        <v>0</v>
      </c>
      <c r="L895" s="61" t="str">
        <f aca="false">IF(LEN(A895&amp;"")=0,"",J895-I895)</f>
        <v/>
      </c>
      <c r="M895" s="1" t="n">
        <f aca="false">IF(LEN(A895&amp;"")=0,0,IF(COUNTIFS(Base!$A$7:$A$1006,A895)&gt;1,1,0))</f>
        <v>0</v>
      </c>
      <c r="N895" s="1" t="n">
        <f aca="false">IF(LEN(A895&amp;"")=0,0,IF(ABS(L895)&gt;0.005,1,0))</f>
        <v>0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customFormat="false" ht="23" hidden="false" customHeight="true" outlineLevel="0" collapsed="false">
      <c r="A896" s="1" t="str">
        <f aca="false">IF(LEN(Base!A896&amp;"")=0,"",Base!A896)</f>
        <v/>
      </c>
      <c r="B896" s="60" t="str">
        <f aca="false">IF(LEN(A896&amp;"")=0,"",Base!D896)</f>
        <v/>
      </c>
      <c r="C896" s="1" t="str">
        <f aca="false">IF(LEN(A896&amp;"")=0,"",Base!C896)</f>
        <v/>
      </c>
      <c r="D896" s="1" t="str">
        <f aca="false">IF(LEN(A896&amp;"")=0,"",Base!G896)</f>
        <v/>
      </c>
      <c r="E896" s="1" t="str">
        <f aca="false">IF(LEN(A896&amp;"")=0,"",Base!E896)</f>
        <v/>
      </c>
      <c r="F896" s="61" t="str">
        <f aca="false">IF(LEN(A896&amp;"")=0,"",IF(Base!I896="-",0,Base!I896))</f>
        <v/>
      </c>
      <c r="G896" s="61" t="str">
        <f aca="false">IF(LEN(A896&amp;"")=0,"",SUM(Base!F896,F896,Base!K896))</f>
        <v/>
      </c>
      <c r="H896" s="61" t="str">
        <f aca="false">IF(LEN(A896&amp;"")=0,"",Base!L896)</f>
        <v/>
      </c>
      <c r="I896" s="61" t="str">
        <f aca="false">IF(LEN(A896&amp;"")=0,"",G896-H896)</f>
        <v/>
      </c>
      <c r="J896" s="61" t="str">
        <f aca="false">IF(LEN(A896&amp;"")=0,"",Base!M896)</f>
        <v/>
      </c>
      <c r="K896" s="1" t="n">
        <f aca="false">IF(OR(LEN(A896&amp;"")=0,$P$3=0),0,IF(AND(B896&gt;=Painel!$B$8,B896&lt;=Painel!$G$8,OR(Painel!$L$8="Todos",C896=Painel!$L$8),OR(Painel!$Q$8="Todos",D896=Painel!$Q$8),OR(Painel!$V$8="Todas",E896=Painel!$V$8)),1,0))</f>
        <v>0</v>
      </c>
      <c r="L896" s="61" t="str">
        <f aca="false">IF(LEN(A896&amp;"")=0,"",J896-I896)</f>
        <v/>
      </c>
      <c r="M896" s="1" t="n">
        <f aca="false">IF(LEN(A896&amp;"")=0,0,IF(COUNTIFS(Base!$A$7:$A$1006,A896)&gt;1,1,0))</f>
        <v>0</v>
      </c>
      <c r="N896" s="1" t="n">
        <f aca="false">IF(LEN(A896&amp;"")=0,0,IF(ABS(L896)&gt;0.005,1,0))</f>
        <v>0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customFormat="false" ht="23" hidden="false" customHeight="true" outlineLevel="0" collapsed="false">
      <c r="A897" s="1" t="str">
        <f aca="false">IF(LEN(Base!A897&amp;"")=0,"",Base!A897)</f>
        <v/>
      </c>
      <c r="B897" s="60" t="str">
        <f aca="false">IF(LEN(A897&amp;"")=0,"",Base!D897)</f>
        <v/>
      </c>
      <c r="C897" s="1" t="str">
        <f aca="false">IF(LEN(A897&amp;"")=0,"",Base!C897)</f>
        <v/>
      </c>
      <c r="D897" s="1" t="str">
        <f aca="false">IF(LEN(A897&amp;"")=0,"",Base!G897)</f>
        <v/>
      </c>
      <c r="E897" s="1" t="str">
        <f aca="false">IF(LEN(A897&amp;"")=0,"",Base!E897)</f>
        <v/>
      </c>
      <c r="F897" s="61" t="str">
        <f aca="false">IF(LEN(A897&amp;"")=0,"",IF(Base!I897="-",0,Base!I897))</f>
        <v/>
      </c>
      <c r="G897" s="61" t="str">
        <f aca="false">IF(LEN(A897&amp;"")=0,"",SUM(Base!F897,F897,Base!K897))</f>
        <v/>
      </c>
      <c r="H897" s="61" t="str">
        <f aca="false">IF(LEN(A897&amp;"")=0,"",Base!L897)</f>
        <v/>
      </c>
      <c r="I897" s="61" t="str">
        <f aca="false">IF(LEN(A897&amp;"")=0,"",G897-H897)</f>
        <v/>
      </c>
      <c r="J897" s="61" t="str">
        <f aca="false">IF(LEN(A897&amp;"")=0,"",Base!M897)</f>
        <v/>
      </c>
      <c r="K897" s="1" t="n">
        <f aca="false">IF(OR(LEN(A897&amp;"")=0,$P$3=0),0,IF(AND(B897&gt;=Painel!$B$8,B897&lt;=Painel!$G$8,OR(Painel!$L$8="Todos",C897=Painel!$L$8),OR(Painel!$Q$8="Todos",D897=Painel!$Q$8),OR(Painel!$V$8="Todas",E897=Painel!$V$8)),1,0))</f>
        <v>0</v>
      </c>
      <c r="L897" s="61" t="str">
        <f aca="false">IF(LEN(A897&amp;"")=0,"",J897-I897)</f>
        <v/>
      </c>
      <c r="M897" s="1" t="n">
        <f aca="false">IF(LEN(A897&amp;"")=0,0,IF(COUNTIFS(Base!$A$7:$A$1006,A897)&gt;1,1,0))</f>
        <v>0</v>
      </c>
      <c r="N897" s="1" t="n">
        <f aca="false">IF(LEN(A897&amp;"")=0,0,IF(ABS(L897)&gt;0.005,1,0))</f>
        <v>0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customFormat="false" ht="23" hidden="false" customHeight="true" outlineLevel="0" collapsed="false">
      <c r="A898" s="1" t="str">
        <f aca="false">IF(LEN(Base!A898&amp;"")=0,"",Base!A898)</f>
        <v/>
      </c>
      <c r="B898" s="60" t="str">
        <f aca="false">IF(LEN(A898&amp;"")=0,"",Base!D898)</f>
        <v/>
      </c>
      <c r="C898" s="1" t="str">
        <f aca="false">IF(LEN(A898&amp;"")=0,"",Base!C898)</f>
        <v/>
      </c>
      <c r="D898" s="1" t="str">
        <f aca="false">IF(LEN(A898&amp;"")=0,"",Base!G898)</f>
        <v/>
      </c>
      <c r="E898" s="1" t="str">
        <f aca="false">IF(LEN(A898&amp;"")=0,"",Base!E898)</f>
        <v/>
      </c>
      <c r="F898" s="61" t="str">
        <f aca="false">IF(LEN(A898&amp;"")=0,"",IF(Base!I898="-",0,Base!I898))</f>
        <v/>
      </c>
      <c r="G898" s="61" t="str">
        <f aca="false">IF(LEN(A898&amp;"")=0,"",SUM(Base!F898,F898,Base!K898))</f>
        <v/>
      </c>
      <c r="H898" s="61" t="str">
        <f aca="false">IF(LEN(A898&amp;"")=0,"",Base!L898)</f>
        <v/>
      </c>
      <c r="I898" s="61" t="str">
        <f aca="false">IF(LEN(A898&amp;"")=0,"",G898-H898)</f>
        <v/>
      </c>
      <c r="J898" s="61" t="str">
        <f aca="false">IF(LEN(A898&amp;"")=0,"",Base!M898)</f>
        <v/>
      </c>
      <c r="K898" s="1" t="n">
        <f aca="false">IF(OR(LEN(A898&amp;"")=0,$P$3=0),0,IF(AND(B898&gt;=Painel!$B$8,B898&lt;=Painel!$G$8,OR(Painel!$L$8="Todos",C898=Painel!$L$8),OR(Painel!$Q$8="Todos",D898=Painel!$Q$8),OR(Painel!$V$8="Todas",E898=Painel!$V$8)),1,0))</f>
        <v>0</v>
      </c>
      <c r="L898" s="61" t="str">
        <f aca="false">IF(LEN(A898&amp;"")=0,"",J898-I898)</f>
        <v/>
      </c>
      <c r="M898" s="1" t="n">
        <f aca="false">IF(LEN(A898&amp;"")=0,0,IF(COUNTIFS(Base!$A$7:$A$1006,A898)&gt;1,1,0))</f>
        <v>0</v>
      </c>
      <c r="N898" s="1" t="n">
        <f aca="false">IF(LEN(A898&amp;"")=0,0,IF(ABS(L898)&gt;0.005,1,0))</f>
        <v>0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customFormat="false" ht="23" hidden="false" customHeight="true" outlineLevel="0" collapsed="false">
      <c r="A899" s="1" t="str">
        <f aca="false">IF(LEN(Base!A899&amp;"")=0,"",Base!A899)</f>
        <v/>
      </c>
      <c r="B899" s="60" t="str">
        <f aca="false">IF(LEN(A899&amp;"")=0,"",Base!D899)</f>
        <v/>
      </c>
      <c r="C899" s="1" t="str">
        <f aca="false">IF(LEN(A899&amp;"")=0,"",Base!C899)</f>
        <v/>
      </c>
      <c r="D899" s="1" t="str">
        <f aca="false">IF(LEN(A899&amp;"")=0,"",Base!G899)</f>
        <v/>
      </c>
      <c r="E899" s="1" t="str">
        <f aca="false">IF(LEN(A899&amp;"")=0,"",Base!E899)</f>
        <v/>
      </c>
      <c r="F899" s="61" t="str">
        <f aca="false">IF(LEN(A899&amp;"")=0,"",IF(Base!I899="-",0,Base!I899))</f>
        <v/>
      </c>
      <c r="G899" s="61" t="str">
        <f aca="false">IF(LEN(A899&amp;"")=0,"",SUM(Base!F899,F899,Base!K899))</f>
        <v/>
      </c>
      <c r="H899" s="61" t="str">
        <f aca="false">IF(LEN(A899&amp;"")=0,"",Base!L899)</f>
        <v/>
      </c>
      <c r="I899" s="61" t="str">
        <f aca="false">IF(LEN(A899&amp;"")=0,"",G899-H899)</f>
        <v/>
      </c>
      <c r="J899" s="61" t="str">
        <f aca="false">IF(LEN(A899&amp;"")=0,"",Base!M899)</f>
        <v/>
      </c>
      <c r="K899" s="1" t="n">
        <f aca="false">IF(OR(LEN(A899&amp;"")=0,$P$3=0),0,IF(AND(B899&gt;=Painel!$B$8,B899&lt;=Painel!$G$8,OR(Painel!$L$8="Todos",C899=Painel!$L$8),OR(Painel!$Q$8="Todos",D899=Painel!$Q$8),OR(Painel!$V$8="Todas",E899=Painel!$V$8)),1,0))</f>
        <v>0</v>
      </c>
      <c r="L899" s="61" t="str">
        <f aca="false">IF(LEN(A899&amp;"")=0,"",J899-I899)</f>
        <v/>
      </c>
      <c r="M899" s="1" t="n">
        <f aca="false">IF(LEN(A899&amp;"")=0,0,IF(COUNTIFS(Base!$A$7:$A$1006,A899)&gt;1,1,0))</f>
        <v>0</v>
      </c>
      <c r="N899" s="1" t="n">
        <f aca="false">IF(LEN(A899&amp;"")=0,0,IF(ABS(L899)&gt;0.005,1,0))</f>
        <v>0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customFormat="false" ht="23" hidden="false" customHeight="true" outlineLevel="0" collapsed="false">
      <c r="A900" s="1" t="str">
        <f aca="false">IF(LEN(Base!A900&amp;"")=0,"",Base!A900)</f>
        <v/>
      </c>
      <c r="B900" s="60" t="str">
        <f aca="false">IF(LEN(A900&amp;"")=0,"",Base!D900)</f>
        <v/>
      </c>
      <c r="C900" s="1" t="str">
        <f aca="false">IF(LEN(A900&amp;"")=0,"",Base!C900)</f>
        <v/>
      </c>
      <c r="D900" s="1" t="str">
        <f aca="false">IF(LEN(A900&amp;"")=0,"",Base!G900)</f>
        <v/>
      </c>
      <c r="E900" s="1" t="str">
        <f aca="false">IF(LEN(A900&amp;"")=0,"",Base!E900)</f>
        <v/>
      </c>
      <c r="F900" s="61" t="str">
        <f aca="false">IF(LEN(A900&amp;"")=0,"",IF(Base!I900="-",0,Base!I900))</f>
        <v/>
      </c>
      <c r="G900" s="61" t="str">
        <f aca="false">IF(LEN(A900&amp;"")=0,"",SUM(Base!F900,F900,Base!K900))</f>
        <v/>
      </c>
      <c r="H900" s="61" t="str">
        <f aca="false">IF(LEN(A900&amp;"")=0,"",Base!L900)</f>
        <v/>
      </c>
      <c r="I900" s="61" t="str">
        <f aca="false">IF(LEN(A900&amp;"")=0,"",G900-H900)</f>
        <v/>
      </c>
      <c r="J900" s="61" t="str">
        <f aca="false">IF(LEN(A900&amp;"")=0,"",Base!M900)</f>
        <v/>
      </c>
      <c r="K900" s="1" t="n">
        <f aca="false">IF(OR(LEN(A900&amp;"")=0,$P$3=0),0,IF(AND(B900&gt;=Painel!$B$8,B900&lt;=Painel!$G$8,OR(Painel!$L$8="Todos",C900=Painel!$L$8),OR(Painel!$Q$8="Todos",D900=Painel!$Q$8),OR(Painel!$V$8="Todas",E900=Painel!$V$8)),1,0))</f>
        <v>0</v>
      </c>
      <c r="L900" s="61" t="str">
        <f aca="false">IF(LEN(A900&amp;"")=0,"",J900-I900)</f>
        <v/>
      </c>
      <c r="M900" s="1" t="n">
        <f aca="false">IF(LEN(A900&amp;"")=0,0,IF(COUNTIFS(Base!$A$7:$A$1006,A900)&gt;1,1,0))</f>
        <v>0</v>
      </c>
      <c r="N900" s="1" t="n">
        <f aca="false">IF(LEN(A900&amp;"")=0,0,IF(ABS(L900)&gt;0.005,1,0))</f>
        <v>0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customFormat="false" ht="23" hidden="false" customHeight="true" outlineLevel="0" collapsed="false">
      <c r="A901" s="1" t="str">
        <f aca="false">IF(LEN(Base!A901&amp;"")=0,"",Base!A901)</f>
        <v/>
      </c>
      <c r="B901" s="60" t="str">
        <f aca="false">IF(LEN(A901&amp;"")=0,"",Base!D901)</f>
        <v/>
      </c>
      <c r="C901" s="1" t="str">
        <f aca="false">IF(LEN(A901&amp;"")=0,"",Base!C901)</f>
        <v/>
      </c>
      <c r="D901" s="1" t="str">
        <f aca="false">IF(LEN(A901&amp;"")=0,"",Base!G901)</f>
        <v/>
      </c>
      <c r="E901" s="1" t="str">
        <f aca="false">IF(LEN(A901&amp;"")=0,"",Base!E901)</f>
        <v/>
      </c>
      <c r="F901" s="61" t="str">
        <f aca="false">IF(LEN(A901&amp;"")=0,"",IF(Base!I901="-",0,Base!I901))</f>
        <v/>
      </c>
      <c r="G901" s="61" t="str">
        <f aca="false">IF(LEN(A901&amp;"")=0,"",SUM(Base!F901,F901,Base!K901))</f>
        <v/>
      </c>
      <c r="H901" s="61" t="str">
        <f aca="false">IF(LEN(A901&amp;"")=0,"",Base!L901)</f>
        <v/>
      </c>
      <c r="I901" s="61" t="str">
        <f aca="false">IF(LEN(A901&amp;"")=0,"",G901-H901)</f>
        <v/>
      </c>
      <c r="J901" s="61" t="str">
        <f aca="false">IF(LEN(A901&amp;"")=0,"",Base!M901)</f>
        <v/>
      </c>
      <c r="K901" s="1" t="n">
        <f aca="false">IF(OR(LEN(A901&amp;"")=0,$P$3=0),0,IF(AND(B901&gt;=Painel!$B$8,B901&lt;=Painel!$G$8,OR(Painel!$L$8="Todos",C901=Painel!$L$8),OR(Painel!$Q$8="Todos",D901=Painel!$Q$8),OR(Painel!$V$8="Todas",E901=Painel!$V$8)),1,0))</f>
        <v>0</v>
      </c>
      <c r="L901" s="61" t="str">
        <f aca="false">IF(LEN(A901&amp;"")=0,"",J901-I901)</f>
        <v/>
      </c>
      <c r="M901" s="1" t="n">
        <f aca="false">IF(LEN(A901&amp;"")=0,0,IF(COUNTIFS(Base!$A$7:$A$1006,A901)&gt;1,1,0))</f>
        <v>0</v>
      </c>
      <c r="N901" s="1" t="n">
        <f aca="false">IF(LEN(A901&amp;"")=0,0,IF(ABS(L901)&gt;0.005,1,0))</f>
        <v>0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customFormat="false" ht="23" hidden="false" customHeight="true" outlineLevel="0" collapsed="false">
      <c r="A902" s="1" t="str">
        <f aca="false">IF(LEN(Base!A902&amp;"")=0,"",Base!A902)</f>
        <v/>
      </c>
      <c r="B902" s="60" t="str">
        <f aca="false">IF(LEN(A902&amp;"")=0,"",Base!D902)</f>
        <v/>
      </c>
      <c r="C902" s="1" t="str">
        <f aca="false">IF(LEN(A902&amp;"")=0,"",Base!C902)</f>
        <v/>
      </c>
      <c r="D902" s="1" t="str">
        <f aca="false">IF(LEN(A902&amp;"")=0,"",Base!G902)</f>
        <v/>
      </c>
      <c r="E902" s="1" t="str">
        <f aca="false">IF(LEN(A902&amp;"")=0,"",Base!E902)</f>
        <v/>
      </c>
      <c r="F902" s="61" t="str">
        <f aca="false">IF(LEN(A902&amp;"")=0,"",IF(Base!I902="-",0,Base!I902))</f>
        <v/>
      </c>
      <c r="G902" s="61" t="str">
        <f aca="false">IF(LEN(A902&amp;"")=0,"",SUM(Base!F902,F902,Base!K902))</f>
        <v/>
      </c>
      <c r="H902" s="61" t="str">
        <f aca="false">IF(LEN(A902&amp;"")=0,"",Base!L902)</f>
        <v/>
      </c>
      <c r="I902" s="61" t="str">
        <f aca="false">IF(LEN(A902&amp;"")=0,"",G902-H902)</f>
        <v/>
      </c>
      <c r="J902" s="61" t="str">
        <f aca="false">IF(LEN(A902&amp;"")=0,"",Base!M902)</f>
        <v/>
      </c>
      <c r="K902" s="1" t="n">
        <f aca="false">IF(OR(LEN(A902&amp;"")=0,$P$3=0),0,IF(AND(B902&gt;=Painel!$B$8,B902&lt;=Painel!$G$8,OR(Painel!$L$8="Todos",C902=Painel!$L$8),OR(Painel!$Q$8="Todos",D902=Painel!$Q$8),OR(Painel!$V$8="Todas",E902=Painel!$V$8)),1,0))</f>
        <v>0</v>
      </c>
      <c r="L902" s="61" t="str">
        <f aca="false">IF(LEN(A902&amp;"")=0,"",J902-I902)</f>
        <v/>
      </c>
      <c r="M902" s="1" t="n">
        <f aca="false">IF(LEN(A902&amp;"")=0,0,IF(COUNTIFS(Base!$A$7:$A$1006,A902)&gt;1,1,0))</f>
        <v>0</v>
      </c>
      <c r="N902" s="1" t="n">
        <f aca="false">IF(LEN(A902&amp;"")=0,0,IF(ABS(L902)&gt;0.005,1,0))</f>
        <v>0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customFormat="false" ht="23" hidden="false" customHeight="true" outlineLevel="0" collapsed="false">
      <c r="A903" s="1" t="str">
        <f aca="false">IF(LEN(Base!A903&amp;"")=0,"",Base!A903)</f>
        <v/>
      </c>
      <c r="B903" s="60" t="str">
        <f aca="false">IF(LEN(A903&amp;"")=0,"",Base!D903)</f>
        <v/>
      </c>
      <c r="C903" s="1" t="str">
        <f aca="false">IF(LEN(A903&amp;"")=0,"",Base!C903)</f>
        <v/>
      </c>
      <c r="D903" s="1" t="str">
        <f aca="false">IF(LEN(A903&amp;"")=0,"",Base!G903)</f>
        <v/>
      </c>
      <c r="E903" s="1" t="str">
        <f aca="false">IF(LEN(A903&amp;"")=0,"",Base!E903)</f>
        <v/>
      </c>
      <c r="F903" s="61" t="str">
        <f aca="false">IF(LEN(A903&amp;"")=0,"",IF(Base!I903="-",0,Base!I903))</f>
        <v/>
      </c>
      <c r="G903" s="61" t="str">
        <f aca="false">IF(LEN(A903&amp;"")=0,"",SUM(Base!F903,F903,Base!K903))</f>
        <v/>
      </c>
      <c r="H903" s="61" t="str">
        <f aca="false">IF(LEN(A903&amp;"")=0,"",Base!L903)</f>
        <v/>
      </c>
      <c r="I903" s="61" t="str">
        <f aca="false">IF(LEN(A903&amp;"")=0,"",G903-H903)</f>
        <v/>
      </c>
      <c r="J903" s="61" t="str">
        <f aca="false">IF(LEN(A903&amp;"")=0,"",Base!M903)</f>
        <v/>
      </c>
      <c r="K903" s="1" t="n">
        <f aca="false">IF(OR(LEN(A903&amp;"")=0,$P$3=0),0,IF(AND(B903&gt;=Painel!$B$8,B903&lt;=Painel!$G$8,OR(Painel!$L$8="Todos",C903=Painel!$L$8),OR(Painel!$Q$8="Todos",D903=Painel!$Q$8),OR(Painel!$V$8="Todas",E903=Painel!$V$8)),1,0))</f>
        <v>0</v>
      </c>
      <c r="L903" s="61" t="str">
        <f aca="false">IF(LEN(A903&amp;"")=0,"",J903-I903)</f>
        <v/>
      </c>
      <c r="M903" s="1" t="n">
        <f aca="false">IF(LEN(A903&amp;"")=0,0,IF(COUNTIFS(Base!$A$7:$A$1006,A903)&gt;1,1,0))</f>
        <v>0</v>
      </c>
      <c r="N903" s="1" t="n">
        <f aca="false">IF(LEN(A903&amp;"")=0,0,IF(ABS(L903)&gt;0.005,1,0))</f>
        <v>0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customFormat="false" ht="23" hidden="false" customHeight="true" outlineLevel="0" collapsed="false">
      <c r="A904" s="1" t="str">
        <f aca="false">IF(LEN(Base!A904&amp;"")=0,"",Base!A904)</f>
        <v/>
      </c>
      <c r="B904" s="60" t="str">
        <f aca="false">IF(LEN(A904&amp;"")=0,"",Base!D904)</f>
        <v/>
      </c>
      <c r="C904" s="1" t="str">
        <f aca="false">IF(LEN(A904&amp;"")=0,"",Base!C904)</f>
        <v/>
      </c>
      <c r="D904" s="1" t="str">
        <f aca="false">IF(LEN(A904&amp;"")=0,"",Base!G904)</f>
        <v/>
      </c>
      <c r="E904" s="1" t="str">
        <f aca="false">IF(LEN(A904&amp;"")=0,"",Base!E904)</f>
        <v/>
      </c>
      <c r="F904" s="61" t="str">
        <f aca="false">IF(LEN(A904&amp;"")=0,"",IF(Base!I904="-",0,Base!I904))</f>
        <v/>
      </c>
      <c r="G904" s="61" t="str">
        <f aca="false">IF(LEN(A904&amp;"")=0,"",SUM(Base!F904,F904,Base!K904))</f>
        <v/>
      </c>
      <c r="H904" s="61" t="str">
        <f aca="false">IF(LEN(A904&amp;"")=0,"",Base!L904)</f>
        <v/>
      </c>
      <c r="I904" s="61" t="str">
        <f aca="false">IF(LEN(A904&amp;"")=0,"",G904-H904)</f>
        <v/>
      </c>
      <c r="J904" s="61" t="str">
        <f aca="false">IF(LEN(A904&amp;"")=0,"",Base!M904)</f>
        <v/>
      </c>
      <c r="K904" s="1" t="n">
        <f aca="false">IF(OR(LEN(A904&amp;"")=0,$P$3=0),0,IF(AND(B904&gt;=Painel!$B$8,B904&lt;=Painel!$G$8,OR(Painel!$L$8="Todos",C904=Painel!$L$8),OR(Painel!$Q$8="Todos",D904=Painel!$Q$8),OR(Painel!$V$8="Todas",E904=Painel!$V$8)),1,0))</f>
        <v>0</v>
      </c>
      <c r="L904" s="61" t="str">
        <f aca="false">IF(LEN(A904&amp;"")=0,"",J904-I904)</f>
        <v/>
      </c>
      <c r="M904" s="1" t="n">
        <f aca="false">IF(LEN(A904&amp;"")=0,0,IF(COUNTIFS(Base!$A$7:$A$1006,A904)&gt;1,1,0))</f>
        <v>0</v>
      </c>
      <c r="N904" s="1" t="n">
        <f aca="false">IF(LEN(A904&amp;"")=0,0,IF(ABS(L904)&gt;0.005,1,0))</f>
        <v>0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customFormat="false" ht="23" hidden="false" customHeight="true" outlineLevel="0" collapsed="false">
      <c r="A905" s="1" t="str">
        <f aca="false">IF(LEN(Base!A905&amp;"")=0,"",Base!A905)</f>
        <v/>
      </c>
      <c r="B905" s="60" t="str">
        <f aca="false">IF(LEN(A905&amp;"")=0,"",Base!D905)</f>
        <v/>
      </c>
      <c r="C905" s="1" t="str">
        <f aca="false">IF(LEN(A905&amp;"")=0,"",Base!C905)</f>
        <v/>
      </c>
      <c r="D905" s="1" t="str">
        <f aca="false">IF(LEN(A905&amp;"")=0,"",Base!G905)</f>
        <v/>
      </c>
      <c r="E905" s="1" t="str">
        <f aca="false">IF(LEN(A905&amp;"")=0,"",Base!E905)</f>
        <v/>
      </c>
      <c r="F905" s="61" t="str">
        <f aca="false">IF(LEN(A905&amp;"")=0,"",IF(Base!I905="-",0,Base!I905))</f>
        <v/>
      </c>
      <c r="G905" s="61" t="str">
        <f aca="false">IF(LEN(A905&amp;"")=0,"",SUM(Base!F905,F905,Base!K905))</f>
        <v/>
      </c>
      <c r="H905" s="61" t="str">
        <f aca="false">IF(LEN(A905&amp;"")=0,"",Base!L905)</f>
        <v/>
      </c>
      <c r="I905" s="61" t="str">
        <f aca="false">IF(LEN(A905&amp;"")=0,"",G905-H905)</f>
        <v/>
      </c>
      <c r="J905" s="61" t="str">
        <f aca="false">IF(LEN(A905&amp;"")=0,"",Base!M905)</f>
        <v/>
      </c>
      <c r="K905" s="1" t="n">
        <f aca="false">IF(OR(LEN(A905&amp;"")=0,$P$3=0),0,IF(AND(B905&gt;=Painel!$B$8,B905&lt;=Painel!$G$8,OR(Painel!$L$8="Todos",C905=Painel!$L$8),OR(Painel!$Q$8="Todos",D905=Painel!$Q$8),OR(Painel!$V$8="Todas",E905=Painel!$V$8)),1,0))</f>
        <v>0</v>
      </c>
      <c r="L905" s="61" t="str">
        <f aca="false">IF(LEN(A905&amp;"")=0,"",J905-I905)</f>
        <v/>
      </c>
      <c r="M905" s="1" t="n">
        <f aca="false">IF(LEN(A905&amp;"")=0,0,IF(COUNTIFS(Base!$A$7:$A$1006,A905)&gt;1,1,0))</f>
        <v>0</v>
      </c>
      <c r="N905" s="1" t="n">
        <f aca="false">IF(LEN(A905&amp;"")=0,0,IF(ABS(L905)&gt;0.005,1,0))</f>
        <v>0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customFormat="false" ht="23" hidden="false" customHeight="true" outlineLevel="0" collapsed="false">
      <c r="A906" s="1" t="str">
        <f aca="false">IF(LEN(Base!A906&amp;"")=0,"",Base!A906)</f>
        <v/>
      </c>
      <c r="B906" s="60" t="str">
        <f aca="false">IF(LEN(A906&amp;"")=0,"",Base!D906)</f>
        <v/>
      </c>
      <c r="C906" s="1" t="str">
        <f aca="false">IF(LEN(A906&amp;"")=0,"",Base!C906)</f>
        <v/>
      </c>
      <c r="D906" s="1" t="str">
        <f aca="false">IF(LEN(A906&amp;"")=0,"",Base!G906)</f>
        <v/>
      </c>
      <c r="E906" s="1" t="str">
        <f aca="false">IF(LEN(A906&amp;"")=0,"",Base!E906)</f>
        <v/>
      </c>
      <c r="F906" s="61" t="str">
        <f aca="false">IF(LEN(A906&amp;"")=0,"",IF(Base!I906="-",0,Base!I906))</f>
        <v/>
      </c>
      <c r="G906" s="61" t="str">
        <f aca="false">IF(LEN(A906&amp;"")=0,"",SUM(Base!F906,F906,Base!K906))</f>
        <v/>
      </c>
      <c r="H906" s="61" t="str">
        <f aca="false">IF(LEN(A906&amp;"")=0,"",Base!L906)</f>
        <v/>
      </c>
      <c r="I906" s="61" t="str">
        <f aca="false">IF(LEN(A906&amp;"")=0,"",G906-H906)</f>
        <v/>
      </c>
      <c r="J906" s="61" t="str">
        <f aca="false">IF(LEN(A906&amp;"")=0,"",Base!M906)</f>
        <v/>
      </c>
      <c r="K906" s="1" t="n">
        <f aca="false">IF(OR(LEN(A906&amp;"")=0,$P$3=0),0,IF(AND(B906&gt;=Painel!$B$8,B906&lt;=Painel!$G$8,OR(Painel!$L$8="Todos",C906=Painel!$L$8),OR(Painel!$Q$8="Todos",D906=Painel!$Q$8),OR(Painel!$V$8="Todas",E906=Painel!$V$8)),1,0))</f>
        <v>0</v>
      </c>
      <c r="L906" s="61" t="str">
        <f aca="false">IF(LEN(A906&amp;"")=0,"",J906-I906)</f>
        <v/>
      </c>
      <c r="M906" s="1" t="n">
        <f aca="false">IF(LEN(A906&amp;"")=0,0,IF(COUNTIFS(Base!$A$7:$A$1006,A906)&gt;1,1,0))</f>
        <v>0</v>
      </c>
      <c r="N906" s="1" t="n">
        <f aca="false">IF(LEN(A906&amp;"")=0,0,IF(ABS(L906)&gt;0.005,1,0))</f>
        <v>0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customFormat="false" ht="23" hidden="false" customHeight="true" outlineLevel="0" collapsed="false">
      <c r="A907" s="1" t="str">
        <f aca="false">IF(LEN(Base!A907&amp;"")=0,"",Base!A907)</f>
        <v/>
      </c>
      <c r="B907" s="60" t="str">
        <f aca="false">IF(LEN(A907&amp;"")=0,"",Base!D907)</f>
        <v/>
      </c>
      <c r="C907" s="1" t="str">
        <f aca="false">IF(LEN(A907&amp;"")=0,"",Base!C907)</f>
        <v/>
      </c>
      <c r="D907" s="1" t="str">
        <f aca="false">IF(LEN(A907&amp;"")=0,"",Base!G907)</f>
        <v/>
      </c>
      <c r="E907" s="1" t="str">
        <f aca="false">IF(LEN(A907&amp;"")=0,"",Base!E907)</f>
        <v/>
      </c>
      <c r="F907" s="61" t="str">
        <f aca="false">IF(LEN(A907&amp;"")=0,"",IF(Base!I907="-",0,Base!I907))</f>
        <v/>
      </c>
      <c r="G907" s="61" t="str">
        <f aca="false">IF(LEN(A907&amp;"")=0,"",SUM(Base!F907,F907,Base!K907))</f>
        <v/>
      </c>
      <c r="H907" s="61" t="str">
        <f aca="false">IF(LEN(A907&amp;"")=0,"",Base!L907)</f>
        <v/>
      </c>
      <c r="I907" s="61" t="str">
        <f aca="false">IF(LEN(A907&amp;"")=0,"",G907-H907)</f>
        <v/>
      </c>
      <c r="J907" s="61" t="str">
        <f aca="false">IF(LEN(A907&amp;"")=0,"",Base!M907)</f>
        <v/>
      </c>
      <c r="K907" s="1" t="n">
        <f aca="false">IF(OR(LEN(A907&amp;"")=0,$P$3=0),0,IF(AND(B907&gt;=Painel!$B$8,B907&lt;=Painel!$G$8,OR(Painel!$L$8="Todos",C907=Painel!$L$8),OR(Painel!$Q$8="Todos",D907=Painel!$Q$8),OR(Painel!$V$8="Todas",E907=Painel!$V$8)),1,0))</f>
        <v>0</v>
      </c>
      <c r="L907" s="61" t="str">
        <f aca="false">IF(LEN(A907&amp;"")=0,"",J907-I907)</f>
        <v/>
      </c>
      <c r="M907" s="1" t="n">
        <f aca="false">IF(LEN(A907&amp;"")=0,0,IF(COUNTIFS(Base!$A$7:$A$1006,A907)&gt;1,1,0))</f>
        <v>0</v>
      </c>
      <c r="N907" s="1" t="n">
        <f aca="false">IF(LEN(A907&amp;"")=0,0,IF(ABS(L907)&gt;0.005,1,0))</f>
        <v>0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customFormat="false" ht="23" hidden="false" customHeight="true" outlineLevel="0" collapsed="false">
      <c r="A908" s="1" t="str">
        <f aca="false">IF(LEN(Base!A908&amp;"")=0,"",Base!A908)</f>
        <v/>
      </c>
      <c r="B908" s="60" t="str">
        <f aca="false">IF(LEN(A908&amp;"")=0,"",Base!D908)</f>
        <v/>
      </c>
      <c r="C908" s="1" t="str">
        <f aca="false">IF(LEN(A908&amp;"")=0,"",Base!C908)</f>
        <v/>
      </c>
      <c r="D908" s="1" t="str">
        <f aca="false">IF(LEN(A908&amp;"")=0,"",Base!G908)</f>
        <v/>
      </c>
      <c r="E908" s="1" t="str">
        <f aca="false">IF(LEN(A908&amp;"")=0,"",Base!E908)</f>
        <v/>
      </c>
      <c r="F908" s="61" t="str">
        <f aca="false">IF(LEN(A908&amp;"")=0,"",IF(Base!I908="-",0,Base!I908))</f>
        <v/>
      </c>
      <c r="G908" s="61" t="str">
        <f aca="false">IF(LEN(A908&amp;"")=0,"",SUM(Base!F908,F908,Base!K908))</f>
        <v/>
      </c>
      <c r="H908" s="61" t="str">
        <f aca="false">IF(LEN(A908&amp;"")=0,"",Base!L908)</f>
        <v/>
      </c>
      <c r="I908" s="61" t="str">
        <f aca="false">IF(LEN(A908&amp;"")=0,"",G908-H908)</f>
        <v/>
      </c>
      <c r="J908" s="61" t="str">
        <f aca="false">IF(LEN(A908&amp;"")=0,"",Base!M908)</f>
        <v/>
      </c>
      <c r="K908" s="1" t="n">
        <f aca="false">IF(OR(LEN(A908&amp;"")=0,$P$3=0),0,IF(AND(B908&gt;=Painel!$B$8,B908&lt;=Painel!$G$8,OR(Painel!$L$8="Todos",C908=Painel!$L$8),OR(Painel!$Q$8="Todos",D908=Painel!$Q$8),OR(Painel!$V$8="Todas",E908=Painel!$V$8)),1,0))</f>
        <v>0</v>
      </c>
      <c r="L908" s="61" t="str">
        <f aca="false">IF(LEN(A908&amp;"")=0,"",J908-I908)</f>
        <v/>
      </c>
      <c r="M908" s="1" t="n">
        <f aca="false">IF(LEN(A908&amp;"")=0,0,IF(COUNTIFS(Base!$A$7:$A$1006,A908)&gt;1,1,0))</f>
        <v>0</v>
      </c>
      <c r="N908" s="1" t="n">
        <f aca="false">IF(LEN(A908&amp;"")=0,0,IF(ABS(L908)&gt;0.005,1,0))</f>
        <v>0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customFormat="false" ht="23" hidden="false" customHeight="true" outlineLevel="0" collapsed="false">
      <c r="A909" s="1" t="str">
        <f aca="false">IF(LEN(Base!A909&amp;"")=0,"",Base!A909)</f>
        <v/>
      </c>
      <c r="B909" s="60" t="str">
        <f aca="false">IF(LEN(A909&amp;"")=0,"",Base!D909)</f>
        <v/>
      </c>
      <c r="C909" s="1" t="str">
        <f aca="false">IF(LEN(A909&amp;"")=0,"",Base!C909)</f>
        <v/>
      </c>
      <c r="D909" s="1" t="str">
        <f aca="false">IF(LEN(A909&amp;"")=0,"",Base!G909)</f>
        <v/>
      </c>
      <c r="E909" s="1" t="str">
        <f aca="false">IF(LEN(A909&amp;"")=0,"",Base!E909)</f>
        <v/>
      </c>
      <c r="F909" s="61" t="str">
        <f aca="false">IF(LEN(A909&amp;"")=0,"",IF(Base!I909="-",0,Base!I909))</f>
        <v/>
      </c>
      <c r="G909" s="61" t="str">
        <f aca="false">IF(LEN(A909&amp;"")=0,"",SUM(Base!F909,F909,Base!K909))</f>
        <v/>
      </c>
      <c r="H909" s="61" t="str">
        <f aca="false">IF(LEN(A909&amp;"")=0,"",Base!L909)</f>
        <v/>
      </c>
      <c r="I909" s="61" t="str">
        <f aca="false">IF(LEN(A909&amp;"")=0,"",G909-H909)</f>
        <v/>
      </c>
      <c r="J909" s="61" t="str">
        <f aca="false">IF(LEN(A909&amp;"")=0,"",Base!M909)</f>
        <v/>
      </c>
      <c r="K909" s="1" t="n">
        <f aca="false">IF(OR(LEN(A909&amp;"")=0,$P$3=0),0,IF(AND(B909&gt;=Painel!$B$8,B909&lt;=Painel!$G$8,OR(Painel!$L$8="Todos",C909=Painel!$L$8),OR(Painel!$Q$8="Todos",D909=Painel!$Q$8),OR(Painel!$V$8="Todas",E909=Painel!$V$8)),1,0))</f>
        <v>0</v>
      </c>
      <c r="L909" s="61" t="str">
        <f aca="false">IF(LEN(A909&amp;"")=0,"",J909-I909)</f>
        <v/>
      </c>
      <c r="M909" s="1" t="n">
        <f aca="false">IF(LEN(A909&amp;"")=0,0,IF(COUNTIFS(Base!$A$7:$A$1006,A909)&gt;1,1,0))</f>
        <v>0</v>
      </c>
      <c r="N909" s="1" t="n">
        <f aca="false">IF(LEN(A909&amp;"")=0,0,IF(ABS(L909)&gt;0.005,1,0))</f>
        <v>0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customFormat="false" ht="23" hidden="false" customHeight="true" outlineLevel="0" collapsed="false">
      <c r="A910" s="1" t="str">
        <f aca="false">IF(LEN(Base!A910&amp;"")=0,"",Base!A910)</f>
        <v/>
      </c>
      <c r="B910" s="60" t="str">
        <f aca="false">IF(LEN(A910&amp;"")=0,"",Base!D910)</f>
        <v/>
      </c>
      <c r="C910" s="1" t="str">
        <f aca="false">IF(LEN(A910&amp;"")=0,"",Base!C910)</f>
        <v/>
      </c>
      <c r="D910" s="1" t="str">
        <f aca="false">IF(LEN(A910&amp;"")=0,"",Base!G910)</f>
        <v/>
      </c>
      <c r="E910" s="1" t="str">
        <f aca="false">IF(LEN(A910&amp;"")=0,"",Base!E910)</f>
        <v/>
      </c>
      <c r="F910" s="61" t="str">
        <f aca="false">IF(LEN(A910&amp;"")=0,"",IF(Base!I910="-",0,Base!I910))</f>
        <v/>
      </c>
      <c r="G910" s="61" t="str">
        <f aca="false">IF(LEN(A910&amp;"")=0,"",SUM(Base!F910,F910,Base!K910))</f>
        <v/>
      </c>
      <c r="H910" s="61" t="str">
        <f aca="false">IF(LEN(A910&amp;"")=0,"",Base!L910)</f>
        <v/>
      </c>
      <c r="I910" s="61" t="str">
        <f aca="false">IF(LEN(A910&amp;"")=0,"",G910-H910)</f>
        <v/>
      </c>
      <c r="J910" s="61" t="str">
        <f aca="false">IF(LEN(A910&amp;"")=0,"",Base!M910)</f>
        <v/>
      </c>
      <c r="K910" s="1" t="n">
        <f aca="false">IF(OR(LEN(A910&amp;"")=0,$P$3=0),0,IF(AND(B910&gt;=Painel!$B$8,B910&lt;=Painel!$G$8,OR(Painel!$L$8="Todos",C910=Painel!$L$8),OR(Painel!$Q$8="Todos",D910=Painel!$Q$8),OR(Painel!$V$8="Todas",E910=Painel!$V$8)),1,0))</f>
        <v>0</v>
      </c>
      <c r="L910" s="61" t="str">
        <f aca="false">IF(LEN(A910&amp;"")=0,"",J910-I910)</f>
        <v/>
      </c>
      <c r="M910" s="1" t="n">
        <f aca="false">IF(LEN(A910&amp;"")=0,0,IF(COUNTIFS(Base!$A$7:$A$1006,A910)&gt;1,1,0))</f>
        <v>0</v>
      </c>
      <c r="N910" s="1" t="n">
        <f aca="false">IF(LEN(A910&amp;"")=0,0,IF(ABS(L910)&gt;0.005,1,0))</f>
        <v>0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customFormat="false" ht="23" hidden="false" customHeight="true" outlineLevel="0" collapsed="false">
      <c r="A911" s="1" t="str">
        <f aca="false">IF(LEN(Base!A911&amp;"")=0,"",Base!A911)</f>
        <v/>
      </c>
      <c r="B911" s="60" t="str">
        <f aca="false">IF(LEN(A911&amp;"")=0,"",Base!D911)</f>
        <v/>
      </c>
      <c r="C911" s="1" t="str">
        <f aca="false">IF(LEN(A911&amp;"")=0,"",Base!C911)</f>
        <v/>
      </c>
      <c r="D911" s="1" t="str">
        <f aca="false">IF(LEN(A911&amp;"")=0,"",Base!G911)</f>
        <v/>
      </c>
      <c r="E911" s="1" t="str">
        <f aca="false">IF(LEN(A911&amp;"")=0,"",Base!E911)</f>
        <v/>
      </c>
      <c r="F911" s="61" t="str">
        <f aca="false">IF(LEN(A911&amp;"")=0,"",IF(Base!I911="-",0,Base!I911))</f>
        <v/>
      </c>
      <c r="G911" s="61" t="str">
        <f aca="false">IF(LEN(A911&amp;"")=0,"",SUM(Base!F911,F911,Base!K911))</f>
        <v/>
      </c>
      <c r="H911" s="61" t="str">
        <f aca="false">IF(LEN(A911&amp;"")=0,"",Base!L911)</f>
        <v/>
      </c>
      <c r="I911" s="61" t="str">
        <f aca="false">IF(LEN(A911&amp;"")=0,"",G911-H911)</f>
        <v/>
      </c>
      <c r="J911" s="61" t="str">
        <f aca="false">IF(LEN(A911&amp;"")=0,"",Base!M911)</f>
        <v/>
      </c>
      <c r="K911" s="1" t="n">
        <f aca="false">IF(OR(LEN(A911&amp;"")=0,$P$3=0),0,IF(AND(B911&gt;=Painel!$B$8,B911&lt;=Painel!$G$8,OR(Painel!$L$8="Todos",C911=Painel!$L$8),OR(Painel!$Q$8="Todos",D911=Painel!$Q$8),OR(Painel!$V$8="Todas",E911=Painel!$V$8)),1,0))</f>
        <v>0</v>
      </c>
      <c r="L911" s="61" t="str">
        <f aca="false">IF(LEN(A911&amp;"")=0,"",J911-I911)</f>
        <v/>
      </c>
      <c r="M911" s="1" t="n">
        <f aca="false">IF(LEN(A911&amp;"")=0,0,IF(COUNTIFS(Base!$A$7:$A$1006,A911)&gt;1,1,0))</f>
        <v>0</v>
      </c>
      <c r="N911" s="1" t="n">
        <f aca="false">IF(LEN(A911&amp;"")=0,0,IF(ABS(L911)&gt;0.005,1,0))</f>
        <v>0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customFormat="false" ht="23" hidden="false" customHeight="true" outlineLevel="0" collapsed="false">
      <c r="A912" s="1" t="str">
        <f aca="false">IF(LEN(Base!A912&amp;"")=0,"",Base!A912)</f>
        <v/>
      </c>
      <c r="B912" s="60" t="str">
        <f aca="false">IF(LEN(A912&amp;"")=0,"",Base!D912)</f>
        <v/>
      </c>
      <c r="C912" s="1" t="str">
        <f aca="false">IF(LEN(A912&amp;"")=0,"",Base!C912)</f>
        <v/>
      </c>
      <c r="D912" s="1" t="str">
        <f aca="false">IF(LEN(A912&amp;"")=0,"",Base!G912)</f>
        <v/>
      </c>
      <c r="E912" s="1" t="str">
        <f aca="false">IF(LEN(A912&amp;"")=0,"",Base!E912)</f>
        <v/>
      </c>
      <c r="F912" s="61" t="str">
        <f aca="false">IF(LEN(A912&amp;"")=0,"",IF(Base!I912="-",0,Base!I912))</f>
        <v/>
      </c>
      <c r="G912" s="61" t="str">
        <f aca="false">IF(LEN(A912&amp;"")=0,"",SUM(Base!F912,F912,Base!K912))</f>
        <v/>
      </c>
      <c r="H912" s="61" t="str">
        <f aca="false">IF(LEN(A912&amp;"")=0,"",Base!L912)</f>
        <v/>
      </c>
      <c r="I912" s="61" t="str">
        <f aca="false">IF(LEN(A912&amp;"")=0,"",G912-H912)</f>
        <v/>
      </c>
      <c r="J912" s="61" t="str">
        <f aca="false">IF(LEN(A912&amp;"")=0,"",Base!M912)</f>
        <v/>
      </c>
      <c r="K912" s="1" t="n">
        <f aca="false">IF(OR(LEN(A912&amp;"")=0,$P$3=0),0,IF(AND(B912&gt;=Painel!$B$8,B912&lt;=Painel!$G$8,OR(Painel!$L$8="Todos",C912=Painel!$L$8),OR(Painel!$Q$8="Todos",D912=Painel!$Q$8),OR(Painel!$V$8="Todas",E912=Painel!$V$8)),1,0))</f>
        <v>0</v>
      </c>
      <c r="L912" s="61" t="str">
        <f aca="false">IF(LEN(A912&amp;"")=0,"",J912-I912)</f>
        <v/>
      </c>
      <c r="M912" s="1" t="n">
        <f aca="false">IF(LEN(A912&amp;"")=0,0,IF(COUNTIFS(Base!$A$7:$A$1006,A912)&gt;1,1,0))</f>
        <v>0</v>
      </c>
      <c r="N912" s="1" t="n">
        <f aca="false">IF(LEN(A912&amp;"")=0,0,IF(ABS(L912)&gt;0.005,1,0))</f>
        <v>0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customFormat="false" ht="23" hidden="false" customHeight="true" outlineLevel="0" collapsed="false">
      <c r="A913" s="1" t="str">
        <f aca="false">IF(LEN(Base!A913&amp;"")=0,"",Base!A913)</f>
        <v/>
      </c>
      <c r="B913" s="60" t="str">
        <f aca="false">IF(LEN(A913&amp;"")=0,"",Base!D913)</f>
        <v/>
      </c>
      <c r="C913" s="1" t="str">
        <f aca="false">IF(LEN(A913&amp;"")=0,"",Base!C913)</f>
        <v/>
      </c>
      <c r="D913" s="1" t="str">
        <f aca="false">IF(LEN(A913&amp;"")=0,"",Base!G913)</f>
        <v/>
      </c>
      <c r="E913" s="1" t="str">
        <f aca="false">IF(LEN(A913&amp;"")=0,"",Base!E913)</f>
        <v/>
      </c>
      <c r="F913" s="61" t="str">
        <f aca="false">IF(LEN(A913&amp;"")=0,"",IF(Base!I913="-",0,Base!I913))</f>
        <v/>
      </c>
      <c r="G913" s="61" t="str">
        <f aca="false">IF(LEN(A913&amp;"")=0,"",SUM(Base!F913,F913,Base!K913))</f>
        <v/>
      </c>
      <c r="H913" s="61" t="str">
        <f aca="false">IF(LEN(A913&amp;"")=0,"",Base!L913)</f>
        <v/>
      </c>
      <c r="I913" s="61" t="str">
        <f aca="false">IF(LEN(A913&amp;"")=0,"",G913-H913)</f>
        <v/>
      </c>
      <c r="J913" s="61" t="str">
        <f aca="false">IF(LEN(A913&amp;"")=0,"",Base!M913)</f>
        <v/>
      </c>
      <c r="K913" s="1" t="n">
        <f aca="false">IF(OR(LEN(A913&amp;"")=0,$P$3=0),0,IF(AND(B913&gt;=Painel!$B$8,B913&lt;=Painel!$G$8,OR(Painel!$L$8="Todos",C913=Painel!$L$8),OR(Painel!$Q$8="Todos",D913=Painel!$Q$8),OR(Painel!$V$8="Todas",E913=Painel!$V$8)),1,0))</f>
        <v>0</v>
      </c>
      <c r="L913" s="61" t="str">
        <f aca="false">IF(LEN(A913&amp;"")=0,"",J913-I913)</f>
        <v/>
      </c>
      <c r="M913" s="1" t="n">
        <f aca="false">IF(LEN(A913&amp;"")=0,0,IF(COUNTIFS(Base!$A$7:$A$1006,A913)&gt;1,1,0))</f>
        <v>0</v>
      </c>
      <c r="N913" s="1" t="n">
        <f aca="false">IF(LEN(A913&amp;"")=0,0,IF(ABS(L913)&gt;0.005,1,0))</f>
        <v>0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customFormat="false" ht="23" hidden="false" customHeight="true" outlineLevel="0" collapsed="false">
      <c r="A914" s="1" t="str">
        <f aca="false">IF(LEN(Base!A914&amp;"")=0,"",Base!A914)</f>
        <v/>
      </c>
      <c r="B914" s="60" t="str">
        <f aca="false">IF(LEN(A914&amp;"")=0,"",Base!D914)</f>
        <v/>
      </c>
      <c r="C914" s="1" t="str">
        <f aca="false">IF(LEN(A914&amp;"")=0,"",Base!C914)</f>
        <v/>
      </c>
      <c r="D914" s="1" t="str">
        <f aca="false">IF(LEN(A914&amp;"")=0,"",Base!G914)</f>
        <v/>
      </c>
      <c r="E914" s="1" t="str">
        <f aca="false">IF(LEN(A914&amp;"")=0,"",Base!E914)</f>
        <v/>
      </c>
      <c r="F914" s="61" t="str">
        <f aca="false">IF(LEN(A914&amp;"")=0,"",IF(Base!I914="-",0,Base!I914))</f>
        <v/>
      </c>
      <c r="G914" s="61" t="str">
        <f aca="false">IF(LEN(A914&amp;"")=0,"",SUM(Base!F914,F914,Base!K914))</f>
        <v/>
      </c>
      <c r="H914" s="61" t="str">
        <f aca="false">IF(LEN(A914&amp;"")=0,"",Base!L914)</f>
        <v/>
      </c>
      <c r="I914" s="61" t="str">
        <f aca="false">IF(LEN(A914&amp;"")=0,"",G914-H914)</f>
        <v/>
      </c>
      <c r="J914" s="61" t="str">
        <f aca="false">IF(LEN(A914&amp;"")=0,"",Base!M914)</f>
        <v/>
      </c>
      <c r="K914" s="1" t="n">
        <f aca="false">IF(OR(LEN(A914&amp;"")=0,$P$3=0),0,IF(AND(B914&gt;=Painel!$B$8,B914&lt;=Painel!$G$8,OR(Painel!$L$8="Todos",C914=Painel!$L$8),OR(Painel!$Q$8="Todos",D914=Painel!$Q$8),OR(Painel!$V$8="Todas",E914=Painel!$V$8)),1,0))</f>
        <v>0</v>
      </c>
      <c r="L914" s="61" t="str">
        <f aca="false">IF(LEN(A914&amp;"")=0,"",J914-I914)</f>
        <v/>
      </c>
      <c r="M914" s="1" t="n">
        <f aca="false">IF(LEN(A914&amp;"")=0,0,IF(COUNTIFS(Base!$A$7:$A$1006,A914)&gt;1,1,0))</f>
        <v>0</v>
      </c>
      <c r="N914" s="1" t="n">
        <f aca="false">IF(LEN(A914&amp;"")=0,0,IF(ABS(L914)&gt;0.005,1,0))</f>
        <v>0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customFormat="false" ht="23" hidden="false" customHeight="true" outlineLevel="0" collapsed="false">
      <c r="A915" s="1" t="str">
        <f aca="false">IF(LEN(Base!A915&amp;"")=0,"",Base!A915)</f>
        <v/>
      </c>
      <c r="B915" s="60" t="str">
        <f aca="false">IF(LEN(A915&amp;"")=0,"",Base!D915)</f>
        <v/>
      </c>
      <c r="C915" s="1" t="str">
        <f aca="false">IF(LEN(A915&amp;"")=0,"",Base!C915)</f>
        <v/>
      </c>
      <c r="D915" s="1" t="str">
        <f aca="false">IF(LEN(A915&amp;"")=0,"",Base!G915)</f>
        <v/>
      </c>
      <c r="E915" s="1" t="str">
        <f aca="false">IF(LEN(A915&amp;"")=0,"",Base!E915)</f>
        <v/>
      </c>
      <c r="F915" s="61" t="str">
        <f aca="false">IF(LEN(A915&amp;"")=0,"",IF(Base!I915="-",0,Base!I915))</f>
        <v/>
      </c>
      <c r="G915" s="61" t="str">
        <f aca="false">IF(LEN(A915&amp;"")=0,"",SUM(Base!F915,F915,Base!K915))</f>
        <v/>
      </c>
      <c r="H915" s="61" t="str">
        <f aca="false">IF(LEN(A915&amp;"")=0,"",Base!L915)</f>
        <v/>
      </c>
      <c r="I915" s="61" t="str">
        <f aca="false">IF(LEN(A915&amp;"")=0,"",G915-H915)</f>
        <v/>
      </c>
      <c r="J915" s="61" t="str">
        <f aca="false">IF(LEN(A915&amp;"")=0,"",Base!M915)</f>
        <v/>
      </c>
      <c r="K915" s="1" t="n">
        <f aca="false">IF(OR(LEN(A915&amp;"")=0,$P$3=0),0,IF(AND(B915&gt;=Painel!$B$8,B915&lt;=Painel!$G$8,OR(Painel!$L$8="Todos",C915=Painel!$L$8),OR(Painel!$Q$8="Todos",D915=Painel!$Q$8),OR(Painel!$V$8="Todas",E915=Painel!$V$8)),1,0))</f>
        <v>0</v>
      </c>
      <c r="L915" s="61" t="str">
        <f aca="false">IF(LEN(A915&amp;"")=0,"",J915-I915)</f>
        <v/>
      </c>
      <c r="M915" s="1" t="n">
        <f aca="false">IF(LEN(A915&amp;"")=0,0,IF(COUNTIFS(Base!$A$7:$A$1006,A915)&gt;1,1,0))</f>
        <v>0</v>
      </c>
      <c r="N915" s="1" t="n">
        <f aca="false">IF(LEN(A915&amp;"")=0,0,IF(ABS(L915)&gt;0.005,1,0))</f>
        <v>0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customFormat="false" ht="23" hidden="false" customHeight="true" outlineLevel="0" collapsed="false">
      <c r="A916" s="1" t="str">
        <f aca="false">IF(LEN(Base!A916&amp;"")=0,"",Base!A916)</f>
        <v/>
      </c>
      <c r="B916" s="60" t="str">
        <f aca="false">IF(LEN(A916&amp;"")=0,"",Base!D916)</f>
        <v/>
      </c>
      <c r="C916" s="1" t="str">
        <f aca="false">IF(LEN(A916&amp;"")=0,"",Base!C916)</f>
        <v/>
      </c>
      <c r="D916" s="1" t="str">
        <f aca="false">IF(LEN(A916&amp;"")=0,"",Base!G916)</f>
        <v/>
      </c>
      <c r="E916" s="1" t="str">
        <f aca="false">IF(LEN(A916&amp;"")=0,"",Base!E916)</f>
        <v/>
      </c>
      <c r="F916" s="61" t="str">
        <f aca="false">IF(LEN(A916&amp;"")=0,"",IF(Base!I916="-",0,Base!I916))</f>
        <v/>
      </c>
      <c r="G916" s="61" t="str">
        <f aca="false">IF(LEN(A916&amp;"")=0,"",SUM(Base!F916,F916,Base!K916))</f>
        <v/>
      </c>
      <c r="H916" s="61" t="str">
        <f aca="false">IF(LEN(A916&amp;"")=0,"",Base!L916)</f>
        <v/>
      </c>
      <c r="I916" s="61" t="str">
        <f aca="false">IF(LEN(A916&amp;"")=0,"",G916-H916)</f>
        <v/>
      </c>
      <c r="J916" s="61" t="str">
        <f aca="false">IF(LEN(A916&amp;"")=0,"",Base!M916)</f>
        <v/>
      </c>
      <c r="K916" s="1" t="n">
        <f aca="false">IF(OR(LEN(A916&amp;"")=0,$P$3=0),0,IF(AND(B916&gt;=Painel!$B$8,B916&lt;=Painel!$G$8,OR(Painel!$L$8="Todos",C916=Painel!$L$8),OR(Painel!$Q$8="Todos",D916=Painel!$Q$8),OR(Painel!$V$8="Todas",E916=Painel!$V$8)),1,0))</f>
        <v>0</v>
      </c>
      <c r="L916" s="61" t="str">
        <f aca="false">IF(LEN(A916&amp;"")=0,"",J916-I916)</f>
        <v/>
      </c>
      <c r="M916" s="1" t="n">
        <f aca="false">IF(LEN(A916&amp;"")=0,0,IF(COUNTIFS(Base!$A$7:$A$1006,A916)&gt;1,1,0))</f>
        <v>0</v>
      </c>
      <c r="N916" s="1" t="n">
        <f aca="false">IF(LEN(A916&amp;"")=0,0,IF(ABS(L916)&gt;0.005,1,0))</f>
        <v>0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customFormat="false" ht="23" hidden="false" customHeight="true" outlineLevel="0" collapsed="false">
      <c r="A917" s="1" t="str">
        <f aca="false">IF(LEN(Base!A917&amp;"")=0,"",Base!A917)</f>
        <v/>
      </c>
      <c r="B917" s="60" t="str">
        <f aca="false">IF(LEN(A917&amp;"")=0,"",Base!D917)</f>
        <v/>
      </c>
      <c r="C917" s="1" t="str">
        <f aca="false">IF(LEN(A917&amp;"")=0,"",Base!C917)</f>
        <v/>
      </c>
      <c r="D917" s="1" t="str">
        <f aca="false">IF(LEN(A917&amp;"")=0,"",Base!G917)</f>
        <v/>
      </c>
      <c r="E917" s="1" t="str">
        <f aca="false">IF(LEN(A917&amp;"")=0,"",Base!E917)</f>
        <v/>
      </c>
      <c r="F917" s="61" t="str">
        <f aca="false">IF(LEN(A917&amp;"")=0,"",IF(Base!I917="-",0,Base!I917))</f>
        <v/>
      </c>
      <c r="G917" s="61" t="str">
        <f aca="false">IF(LEN(A917&amp;"")=0,"",SUM(Base!F917,F917,Base!K917))</f>
        <v/>
      </c>
      <c r="H917" s="61" t="str">
        <f aca="false">IF(LEN(A917&amp;"")=0,"",Base!L917)</f>
        <v/>
      </c>
      <c r="I917" s="61" t="str">
        <f aca="false">IF(LEN(A917&amp;"")=0,"",G917-H917)</f>
        <v/>
      </c>
      <c r="J917" s="61" t="str">
        <f aca="false">IF(LEN(A917&amp;"")=0,"",Base!M917)</f>
        <v/>
      </c>
      <c r="K917" s="1" t="n">
        <f aca="false">IF(OR(LEN(A917&amp;"")=0,$P$3=0),0,IF(AND(B917&gt;=Painel!$B$8,B917&lt;=Painel!$G$8,OR(Painel!$L$8="Todos",C917=Painel!$L$8),OR(Painel!$Q$8="Todos",D917=Painel!$Q$8),OR(Painel!$V$8="Todas",E917=Painel!$V$8)),1,0))</f>
        <v>0</v>
      </c>
      <c r="L917" s="61" t="str">
        <f aca="false">IF(LEN(A917&amp;"")=0,"",J917-I917)</f>
        <v/>
      </c>
      <c r="M917" s="1" t="n">
        <f aca="false">IF(LEN(A917&amp;"")=0,0,IF(COUNTIFS(Base!$A$7:$A$1006,A917)&gt;1,1,0))</f>
        <v>0</v>
      </c>
      <c r="N917" s="1" t="n">
        <f aca="false">IF(LEN(A917&amp;"")=0,0,IF(ABS(L917)&gt;0.005,1,0))</f>
        <v>0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customFormat="false" ht="23" hidden="false" customHeight="true" outlineLevel="0" collapsed="false">
      <c r="A918" s="1" t="str">
        <f aca="false">IF(LEN(Base!A918&amp;"")=0,"",Base!A918)</f>
        <v/>
      </c>
      <c r="B918" s="60" t="str">
        <f aca="false">IF(LEN(A918&amp;"")=0,"",Base!D918)</f>
        <v/>
      </c>
      <c r="C918" s="1" t="str">
        <f aca="false">IF(LEN(A918&amp;"")=0,"",Base!C918)</f>
        <v/>
      </c>
      <c r="D918" s="1" t="str">
        <f aca="false">IF(LEN(A918&amp;"")=0,"",Base!G918)</f>
        <v/>
      </c>
      <c r="E918" s="1" t="str">
        <f aca="false">IF(LEN(A918&amp;"")=0,"",Base!E918)</f>
        <v/>
      </c>
      <c r="F918" s="61" t="str">
        <f aca="false">IF(LEN(A918&amp;"")=0,"",IF(Base!I918="-",0,Base!I918))</f>
        <v/>
      </c>
      <c r="G918" s="61" t="str">
        <f aca="false">IF(LEN(A918&amp;"")=0,"",SUM(Base!F918,F918,Base!K918))</f>
        <v/>
      </c>
      <c r="H918" s="61" t="str">
        <f aca="false">IF(LEN(A918&amp;"")=0,"",Base!L918)</f>
        <v/>
      </c>
      <c r="I918" s="61" t="str">
        <f aca="false">IF(LEN(A918&amp;"")=0,"",G918-H918)</f>
        <v/>
      </c>
      <c r="J918" s="61" t="str">
        <f aca="false">IF(LEN(A918&amp;"")=0,"",Base!M918)</f>
        <v/>
      </c>
      <c r="K918" s="1" t="n">
        <f aca="false">IF(OR(LEN(A918&amp;"")=0,$P$3=0),0,IF(AND(B918&gt;=Painel!$B$8,B918&lt;=Painel!$G$8,OR(Painel!$L$8="Todos",C918=Painel!$L$8),OR(Painel!$Q$8="Todos",D918=Painel!$Q$8),OR(Painel!$V$8="Todas",E918=Painel!$V$8)),1,0))</f>
        <v>0</v>
      </c>
      <c r="L918" s="61" t="str">
        <f aca="false">IF(LEN(A918&amp;"")=0,"",J918-I918)</f>
        <v/>
      </c>
      <c r="M918" s="1" t="n">
        <f aca="false">IF(LEN(A918&amp;"")=0,0,IF(COUNTIFS(Base!$A$7:$A$1006,A918)&gt;1,1,0))</f>
        <v>0</v>
      </c>
      <c r="N918" s="1" t="n">
        <f aca="false">IF(LEN(A918&amp;"")=0,0,IF(ABS(L918)&gt;0.005,1,0))</f>
        <v>0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customFormat="false" ht="23" hidden="false" customHeight="true" outlineLevel="0" collapsed="false">
      <c r="A919" s="1" t="str">
        <f aca="false">IF(LEN(Base!A919&amp;"")=0,"",Base!A919)</f>
        <v/>
      </c>
      <c r="B919" s="60" t="str">
        <f aca="false">IF(LEN(A919&amp;"")=0,"",Base!D919)</f>
        <v/>
      </c>
      <c r="C919" s="1" t="str">
        <f aca="false">IF(LEN(A919&amp;"")=0,"",Base!C919)</f>
        <v/>
      </c>
      <c r="D919" s="1" t="str">
        <f aca="false">IF(LEN(A919&amp;"")=0,"",Base!G919)</f>
        <v/>
      </c>
      <c r="E919" s="1" t="str">
        <f aca="false">IF(LEN(A919&amp;"")=0,"",Base!E919)</f>
        <v/>
      </c>
      <c r="F919" s="61" t="str">
        <f aca="false">IF(LEN(A919&amp;"")=0,"",IF(Base!I919="-",0,Base!I919))</f>
        <v/>
      </c>
      <c r="G919" s="61" t="str">
        <f aca="false">IF(LEN(A919&amp;"")=0,"",SUM(Base!F919,F919,Base!K919))</f>
        <v/>
      </c>
      <c r="H919" s="61" t="str">
        <f aca="false">IF(LEN(A919&amp;"")=0,"",Base!L919)</f>
        <v/>
      </c>
      <c r="I919" s="61" t="str">
        <f aca="false">IF(LEN(A919&amp;"")=0,"",G919-H919)</f>
        <v/>
      </c>
      <c r="J919" s="61" t="str">
        <f aca="false">IF(LEN(A919&amp;"")=0,"",Base!M919)</f>
        <v/>
      </c>
      <c r="K919" s="1" t="n">
        <f aca="false">IF(OR(LEN(A919&amp;"")=0,$P$3=0),0,IF(AND(B919&gt;=Painel!$B$8,B919&lt;=Painel!$G$8,OR(Painel!$L$8="Todos",C919=Painel!$L$8),OR(Painel!$Q$8="Todos",D919=Painel!$Q$8),OR(Painel!$V$8="Todas",E919=Painel!$V$8)),1,0))</f>
        <v>0</v>
      </c>
      <c r="L919" s="61" t="str">
        <f aca="false">IF(LEN(A919&amp;"")=0,"",J919-I919)</f>
        <v/>
      </c>
      <c r="M919" s="1" t="n">
        <f aca="false">IF(LEN(A919&amp;"")=0,0,IF(COUNTIFS(Base!$A$7:$A$1006,A919)&gt;1,1,0))</f>
        <v>0</v>
      </c>
      <c r="N919" s="1" t="n">
        <f aca="false">IF(LEN(A919&amp;"")=0,0,IF(ABS(L919)&gt;0.005,1,0))</f>
        <v>0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customFormat="false" ht="23" hidden="false" customHeight="true" outlineLevel="0" collapsed="false">
      <c r="A920" s="1" t="str">
        <f aca="false">IF(LEN(Base!A920&amp;"")=0,"",Base!A920)</f>
        <v/>
      </c>
      <c r="B920" s="60" t="str">
        <f aca="false">IF(LEN(A920&amp;"")=0,"",Base!D920)</f>
        <v/>
      </c>
      <c r="C920" s="1" t="str">
        <f aca="false">IF(LEN(A920&amp;"")=0,"",Base!C920)</f>
        <v/>
      </c>
      <c r="D920" s="1" t="str">
        <f aca="false">IF(LEN(A920&amp;"")=0,"",Base!G920)</f>
        <v/>
      </c>
      <c r="E920" s="1" t="str">
        <f aca="false">IF(LEN(A920&amp;"")=0,"",Base!E920)</f>
        <v/>
      </c>
      <c r="F920" s="61" t="str">
        <f aca="false">IF(LEN(A920&amp;"")=0,"",IF(Base!I920="-",0,Base!I920))</f>
        <v/>
      </c>
      <c r="G920" s="61" t="str">
        <f aca="false">IF(LEN(A920&amp;"")=0,"",SUM(Base!F920,F920,Base!K920))</f>
        <v/>
      </c>
      <c r="H920" s="61" t="str">
        <f aca="false">IF(LEN(A920&amp;"")=0,"",Base!L920)</f>
        <v/>
      </c>
      <c r="I920" s="61" t="str">
        <f aca="false">IF(LEN(A920&amp;"")=0,"",G920-H920)</f>
        <v/>
      </c>
      <c r="J920" s="61" t="str">
        <f aca="false">IF(LEN(A920&amp;"")=0,"",Base!M920)</f>
        <v/>
      </c>
      <c r="K920" s="1" t="n">
        <f aca="false">IF(OR(LEN(A920&amp;"")=0,$P$3=0),0,IF(AND(B920&gt;=Painel!$B$8,B920&lt;=Painel!$G$8,OR(Painel!$L$8="Todos",C920=Painel!$L$8),OR(Painel!$Q$8="Todos",D920=Painel!$Q$8),OR(Painel!$V$8="Todas",E920=Painel!$V$8)),1,0))</f>
        <v>0</v>
      </c>
      <c r="L920" s="61" t="str">
        <f aca="false">IF(LEN(A920&amp;"")=0,"",J920-I920)</f>
        <v/>
      </c>
      <c r="M920" s="1" t="n">
        <f aca="false">IF(LEN(A920&amp;"")=0,0,IF(COUNTIFS(Base!$A$7:$A$1006,A920)&gt;1,1,0))</f>
        <v>0</v>
      </c>
      <c r="N920" s="1" t="n">
        <f aca="false">IF(LEN(A920&amp;"")=0,0,IF(ABS(L920)&gt;0.005,1,0))</f>
        <v>0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customFormat="false" ht="23" hidden="false" customHeight="true" outlineLevel="0" collapsed="false">
      <c r="A921" s="1" t="str">
        <f aca="false">IF(LEN(Base!A921&amp;"")=0,"",Base!A921)</f>
        <v/>
      </c>
      <c r="B921" s="60" t="str">
        <f aca="false">IF(LEN(A921&amp;"")=0,"",Base!D921)</f>
        <v/>
      </c>
      <c r="C921" s="1" t="str">
        <f aca="false">IF(LEN(A921&amp;"")=0,"",Base!C921)</f>
        <v/>
      </c>
      <c r="D921" s="1" t="str">
        <f aca="false">IF(LEN(A921&amp;"")=0,"",Base!G921)</f>
        <v/>
      </c>
      <c r="E921" s="1" t="str">
        <f aca="false">IF(LEN(A921&amp;"")=0,"",Base!E921)</f>
        <v/>
      </c>
      <c r="F921" s="61" t="str">
        <f aca="false">IF(LEN(A921&amp;"")=0,"",IF(Base!I921="-",0,Base!I921))</f>
        <v/>
      </c>
      <c r="G921" s="61" t="str">
        <f aca="false">IF(LEN(A921&amp;"")=0,"",SUM(Base!F921,F921,Base!K921))</f>
        <v/>
      </c>
      <c r="H921" s="61" t="str">
        <f aca="false">IF(LEN(A921&amp;"")=0,"",Base!L921)</f>
        <v/>
      </c>
      <c r="I921" s="61" t="str">
        <f aca="false">IF(LEN(A921&amp;"")=0,"",G921-H921)</f>
        <v/>
      </c>
      <c r="J921" s="61" t="str">
        <f aca="false">IF(LEN(A921&amp;"")=0,"",Base!M921)</f>
        <v/>
      </c>
      <c r="K921" s="1" t="n">
        <f aca="false">IF(OR(LEN(A921&amp;"")=0,$P$3=0),0,IF(AND(B921&gt;=Painel!$B$8,B921&lt;=Painel!$G$8,OR(Painel!$L$8="Todos",C921=Painel!$L$8),OR(Painel!$Q$8="Todos",D921=Painel!$Q$8),OR(Painel!$V$8="Todas",E921=Painel!$V$8)),1,0))</f>
        <v>0</v>
      </c>
      <c r="L921" s="61" t="str">
        <f aca="false">IF(LEN(A921&amp;"")=0,"",J921-I921)</f>
        <v/>
      </c>
      <c r="M921" s="1" t="n">
        <f aca="false">IF(LEN(A921&amp;"")=0,0,IF(COUNTIFS(Base!$A$7:$A$1006,A921)&gt;1,1,0))</f>
        <v>0</v>
      </c>
      <c r="N921" s="1" t="n">
        <f aca="false">IF(LEN(A921&amp;"")=0,0,IF(ABS(L921)&gt;0.005,1,0))</f>
        <v>0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customFormat="false" ht="23" hidden="false" customHeight="true" outlineLevel="0" collapsed="false">
      <c r="A922" s="1" t="str">
        <f aca="false">IF(LEN(Base!A922&amp;"")=0,"",Base!A922)</f>
        <v/>
      </c>
      <c r="B922" s="60" t="str">
        <f aca="false">IF(LEN(A922&amp;"")=0,"",Base!D922)</f>
        <v/>
      </c>
      <c r="C922" s="1" t="str">
        <f aca="false">IF(LEN(A922&amp;"")=0,"",Base!C922)</f>
        <v/>
      </c>
      <c r="D922" s="1" t="str">
        <f aca="false">IF(LEN(A922&amp;"")=0,"",Base!G922)</f>
        <v/>
      </c>
      <c r="E922" s="1" t="str">
        <f aca="false">IF(LEN(A922&amp;"")=0,"",Base!E922)</f>
        <v/>
      </c>
      <c r="F922" s="61" t="str">
        <f aca="false">IF(LEN(A922&amp;"")=0,"",IF(Base!I922="-",0,Base!I922))</f>
        <v/>
      </c>
      <c r="G922" s="61" t="str">
        <f aca="false">IF(LEN(A922&amp;"")=0,"",SUM(Base!F922,F922,Base!K922))</f>
        <v/>
      </c>
      <c r="H922" s="61" t="str">
        <f aca="false">IF(LEN(A922&amp;"")=0,"",Base!L922)</f>
        <v/>
      </c>
      <c r="I922" s="61" t="str">
        <f aca="false">IF(LEN(A922&amp;"")=0,"",G922-H922)</f>
        <v/>
      </c>
      <c r="J922" s="61" t="str">
        <f aca="false">IF(LEN(A922&amp;"")=0,"",Base!M922)</f>
        <v/>
      </c>
      <c r="K922" s="1" t="n">
        <f aca="false">IF(OR(LEN(A922&amp;"")=0,$P$3=0),0,IF(AND(B922&gt;=Painel!$B$8,B922&lt;=Painel!$G$8,OR(Painel!$L$8="Todos",C922=Painel!$L$8),OR(Painel!$Q$8="Todos",D922=Painel!$Q$8),OR(Painel!$V$8="Todas",E922=Painel!$V$8)),1,0))</f>
        <v>0</v>
      </c>
      <c r="L922" s="61" t="str">
        <f aca="false">IF(LEN(A922&amp;"")=0,"",J922-I922)</f>
        <v/>
      </c>
      <c r="M922" s="1" t="n">
        <f aca="false">IF(LEN(A922&amp;"")=0,0,IF(COUNTIFS(Base!$A$7:$A$1006,A922)&gt;1,1,0))</f>
        <v>0</v>
      </c>
      <c r="N922" s="1" t="n">
        <f aca="false">IF(LEN(A922&amp;"")=0,0,IF(ABS(L922)&gt;0.005,1,0))</f>
        <v>0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customFormat="false" ht="23" hidden="false" customHeight="true" outlineLevel="0" collapsed="false">
      <c r="A923" s="1" t="str">
        <f aca="false">IF(LEN(Base!A923&amp;"")=0,"",Base!A923)</f>
        <v/>
      </c>
      <c r="B923" s="60" t="str">
        <f aca="false">IF(LEN(A923&amp;"")=0,"",Base!D923)</f>
        <v/>
      </c>
      <c r="C923" s="1" t="str">
        <f aca="false">IF(LEN(A923&amp;"")=0,"",Base!C923)</f>
        <v/>
      </c>
      <c r="D923" s="1" t="str">
        <f aca="false">IF(LEN(A923&amp;"")=0,"",Base!G923)</f>
        <v/>
      </c>
      <c r="E923" s="1" t="str">
        <f aca="false">IF(LEN(A923&amp;"")=0,"",Base!E923)</f>
        <v/>
      </c>
      <c r="F923" s="61" t="str">
        <f aca="false">IF(LEN(A923&amp;"")=0,"",IF(Base!I923="-",0,Base!I923))</f>
        <v/>
      </c>
      <c r="G923" s="61" t="str">
        <f aca="false">IF(LEN(A923&amp;"")=0,"",SUM(Base!F923,F923,Base!K923))</f>
        <v/>
      </c>
      <c r="H923" s="61" t="str">
        <f aca="false">IF(LEN(A923&amp;"")=0,"",Base!L923)</f>
        <v/>
      </c>
      <c r="I923" s="61" t="str">
        <f aca="false">IF(LEN(A923&amp;"")=0,"",G923-H923)</f>
        <v/>
      </c>
      <c r="J923" s="61" t="str">
        <f aca="false">IF(LEN(A923&amp;"")=0,"",Base!M923)</f>
        <v/>
      </c>
      <c r="K923" s="1" t="n">
        <f aca="false">IF(OR(LEN(A923&amp;"")=0,$P$3=0),0,IF(AND(B923&gt;=Painel!$B$8,B923&lt;=Painel!$G$8,OR(Painel!$L$8="Todos",C923=Painel!$L$8),OR(Painel!$Q$8="Todos",D923=Painel!$Q$8),OR(Painel!$V$8="Todas",E923=Painel!$V$8)),1,0))</f>
        <v>0</v>
      </c>
      <c r="L923" s="61" t="str">
        <f aca="false">IF(LEN(A923&amp;"")=0,"",J923-I923)</f>
        <v/>
      </c>
      <c r="M923" s="1" t="n">
        <f aca="false">IF(LEN(A923&amp;"")=0,0,IF(COUNTIFS(Base!$A$7:$A$1006,A923)&gt;1,1,0))</f>
        <v>0</v>
      </c>
      <c r="N923" s="1" t="n">
        <f aca="false">IF(LEN(A923&amp;"")=0,0,IF(ABS(L923)&gt;0.005,1,0))</f>
        <v>0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customFormat="false" ht="23" hidden="false" customHeight="true" outlineLevel="0" collapsed="false">
      <c r="A924" s="1" t="str">
        <f aca="false">IF(LEN(Base!A924&amp;"")=0,"",Base!A924)</f>
        <v/>
      </c>
      <c r="B924" s="60" t="str">
        <f aca="false">IF(LEN(A924&amp;"")=0,"",Base!D924)</f>
        <v/>
      </c>
      <c r="C924" s="1" t="str">
        <f aca="false">IF(LEN(A924&amp;"")=0,"",Base!C924)</f>
        <v/>
      </c>
      <c r="D924" s="1" t="str">
        <f aca="false">IF(LEN(A924&amp;"")=0,"",Base!G924)</f>
        <v/>
      </c>
      <c r="E924" s="1" t="str">
        <f aca="false">IF(LEN(A924&amp;"")=0,"",Base!E924)</f>
        <v/>
      </c>
      <c r="F924" s="61" t="str">
        <f aca="false">IF(LEN(A924&amp;"")=0,"",IF(Base!I924="-",0,Base!I924))</f>
        <v/>
      </c>
      <c r="G924" s="61" t="str">
        <f aca="false">IF(LEN(A924&amp;"")=0,"",SUM(Base!F924,F924,Base!K924))</f>
        <v/>
      </c>
      <c r="H924" s="61" t="str">
        <f aca="false">IF(LEN(A924&amp;"")=0,"",Base!L924)</f>
        <v/>
      </c>
      <c r="I924" s="61" t="str">
        <f aca="false">IF(LEN(A924&amp;"")=0,"",G924-H924)</f>
        <v/>
      </c>
      <c r="J924" s="61" t="str">
        <f aca="false">IF(LEN(A924&amp;"")=0,"",Base!M924)</f>
        <v/>
      </c>
      <c r="K924" s="1" t="n">
        <f aca="false">IF(OR(LEN(A924&amp;"")=0,$P$3=0),0,IF(AND(B924&gt;=Painel!$B$8,B924&lt;=Painel!$G$8,OR(Painel!$L$8="Todos",C924=Painel!$L$8),OR(Painel!$Q$8="Todos",D924=Painel!$Q$8),OR(Painel!$V$8="Todas",E924=Painel!$V$8)),1,0))</f>
        <v>0</v>
      </c>
      <c r="L924" s="61" t="str">
        <f aca="false">IF(LEN(A924&amp;"")=0,"",J924-I924)</f>
        <v/>
      </c>
      <c r="M924" s="1" t="n">
        <f aca="false">IF(LEN(A924&amp;"")=0,0,IF(COUNTIFS(Base!$A$7:$A$1006,A924)&gt;1,1,0))</f>
        <v>0</v>
      </c>
      <c r="N924" s="1" t="n">
        <f aca="false">IF(LEN(A924&amp;"")=0,0,IF(ABS(L924)&gt;0.005,1,0))</f>
        <v>0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customFormat="false" ht="23" hidden="false" customHeight="true" outlineLevel="0" collapsed="false">
      <c r="A925" s="1" t="str">
        <f aca="false">IF(LEN(Base!A925&amp;"")=0,"",Base!A925)</f>
        <v/>
      </c>
      <c r="B925" s="60" t="str">
        <f aca="false">IF(LEN(A925&amp;"")=0,"",Base!D925)</f>
        <v/>
      </c>
      <c r="C925" s="1" t="str">
        <f aca="false">IF(LEN(A925&amp;"")=0,"",Base!C925)</f>
        <v/>
      </c>
      <c r="D925" s="1" t="str">
        <f aca="false">IF(LEN(A925&amp;"")=0,"",Base!G925)</f>
        <v/>
      </c>
      <c r="E925" s="1" t="str">
        <f aca="false">IF(LEN(A925&amp;"")=0,"",Base!E925)</f>
        <v/>
      </c>
      <c r="F925" s="61" t="str">
        <f aca="false">IF(LEN(A925&amp;"")=0,"",IF(Base!I925="-",0,Base!I925))</f>
        <v/>
      </c>
      <c r="G925" s="61" t="str">
        <f aca="false">IF(LEN(A925&amp;"")=0,"",SUM(Base!F925,F925,Base!K925))</f>
        <v/>
      </c>
      <c r="H925" s="61" t="str">
        <f aca="false">IF(LEN(A925&amp;"")=0,"",Base!L925)</f>
        <v/>
      </c>
      <c r="I925" s="61" t="str">
        <f aca="false">IF(LEN(A925&amp;"")=0,"",G925-H925)</f>
        <v/>
      </c>
      <c r="J925" s="61" t="str">
        <f aca="false">IF(LEN(A925&amp;"")=0,"",Base!M925)</f>
        <v/>
      </c>
      <c r="K925" s="1" t="n">
        <f aca="false">IF(OR(LEN(A925&amp;"")=0,$P$3=0),0,IF(AND(B925&gt;=Painel!$B$8,B925&lt;=Painel!$G$8,OR(Painel!$L$8="Todos",C925=Painel!$L$8),OR(Painel!$Q$8="Todos",D925=Painel!$Q$8),OR(Painel!$V$8="Todas",E925=Painel!$V$8)),1,0))</f>
        <v>0</v>
      </c>
      <c r="L925" s="61" t="str">
        <f aca="false">IF(LEN(A925&amp;"")=0,"",J925-I925)</f>
        <v/>
      </c>
      <c r="M925" s="1" t="n">
        <f aca="false">IF(LEN(A925&amp;"")=0,0,IF(COUNTIFS(Base!$A$7:$A$1006,A925)&gt;1,1,0))</f>
        <v>0</v>
      </c>
      <c r="N925" s="1" t="n">
        <f aca="false">IF(LEN(A925&amp;"")=0,0,IF(ABS(L925)&gt;0.005,1,0))</f>
        <v>0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customFormat="false" ht="23" hidden="false" customHeight="true" outlineLevel="0" collapsed="false">
      <c r="A926" s="1" t="str">
        <f aca="false">IF(LEN(Base!A926&amp;"")=0,"",Base!A926)</f>
        <v/>
      </c>
      <c r="B926" s="60" t="str">
        <f aca="false">IF(LEN(A926&amp;"")=0,"",Base!D926)</f>
        <v/>
      </c>
      <c r="C926" s="1" t="str">
        <f aca="false">IF(LEN(A926&amp;"")=0,"",Base!C926)</f>
        <v/>
      </c>
      <c r="D926" s="1" t="str">
        <f aca="false">IF(LEN(A926&amp;"")=0,"",Base!G926)</f>
        <v/>
      </c>
      <c r="E926" s="1" t="str">
        <f aca="false">IF(LEN(A926&amp;"")=0,"",Base!E926)</f>
        <v/>
      </c>
      <c r="F926" s="61" t="str">
        <f aca="false">IF(LEN(A926&amp;"")=0,"",IF(Base!I926="-",0,Base!I926))</f>
        <v/>
      </c>
      <c r="G926" s="61" t="str">
        <f aca="false">IF(LEN(A926&amp;"")=0,"",SUM(Base!F926,F926,Base!K926))</f>
        <v/>
      </c>
      <c r="H926" s="61" t="str">
        <f aca="false">IF(LEN(A926&amp;"")=0,"",Base!L926)</f>
        <v/>
      </c>
      <c r="I926" s="61" t="str">
        <f aca="false">IF(LEN(A926&amp;"")=0,"",G926-H926)</f>
        <v/>
      </c>
      <c r="J926" s="61" t="str">
        <f aca="false">IF(LEN(A926&amp;"")=0,"",Base!M926)</f>
        <v/>
      </c>
      <c r="K926" s="1" t="n">
        <f aca="false">IF(OR(LEN(A926&amp;"")=0,$P$3=0),0,IF(AND(B926&gt;=Painel!$B$8,B926&lt;=Painel!$G$8,OR(Painel!$L$8="Todos",C926=Painel!$L$8),OR(Painel!$Q$8="Todos",D926=Painel!$Q$8),OR(Painel!$V$8="Todas",E926=Painel!$V$8)),1,0))</f>
        <v>0</v>
      </c>
      <c r="L926" s="61" t="str">
        <f aca="false">IF(LEN(A926&amp;"")=0,"",J926-I926)</f>
        <v/>
      </c>
      <c r="M926" s="1" t="n">
        <f aca="false">IF(LEN(A926&amp;"")=0,0,IF(COUNTIFS(Base!$A$7:$A$1006,A926)&gt;1,1,0))</f>
        <v>0</v>
      </c>
      <c r="N926" s="1" t="n">
        <f aca="false">IF(LEN(A926&amp;"")=0,0,IF(ABS(L926)&gt;0.005,1,0))</f>
        <v>0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customFormat="false" ht="23" hidden="false" customHeight="true" outlineLevel="0" collapsed="false">
      <c r="A927" s="1" t="str">
        <f aca="false">IF(LEN(Base!A927&amp;"")=0,"",Base!A927)</f>
        <v/>
      </c>
      <c r="B927" s="60" t="str">
        <f aca="false">IF(LEN(A927&amp;"")=0,"",Base!D927)</f>
        <v/>
      </c>
      <c r="C927" s="1" t="str">
        <f aca="false">IF(LEN(A927&amp;"")=0,"",Base!C927)</f>
        <v/>
      </c>
      <c r="D927" s="1" t="str">
        <f aca="false">IF(LEN(A927&amp;"")=0,"",Base!G927)</f>
        <v/>
      </c>
      <c r="E927" s="1" t="str">
        <f aca="false">IF(LEN(A927&amp;"")=0,"",Base!E927)</f>
        <v/>
      </c>
      <c r="F927" s="61" t="str">
        <f aca="false">IF(LEN(A927&amp;"")=0,"",IF(Base!I927="-",0,Base!I927))</f>
        <v/>
      </c>
      <c r="G927" s="61" t="str">
        <f aca="false">IF(LEN(A927&amp;"")=0,"",SUM(Base!F927,F927,Base!K927))</f>
        <v/>
      </c>
      <c r="H927" s="61" t="str">
        <f aca="false">IF(LEN(A927&amp;"")=0,"",Base!L927)</f>
        <v/>
      </c>
      <c r="I927" s="61" t="str">
        <f aca="false">IF(LEN(A927&amp;"")=0,"",G927-H927)</f>
        <v/>
      </c>
      <c r="J927" s="61" t="str">
        <f aca="false">IF(LEN(A927&amp;"")=0,"",Base!M927)</f>
        <v/>
      </c>
      <c r="K927" s="1" t="n">
        <f aca="false">IF(OR(LEN(A927&amp;"")=0,$P$3=0),0,IF(AND(B927&gt;=Painel!$B$8,B927&lt;=Painel!$G$8,OR(Painel!$L$8="Todos",C927=Painel!$L$8),OR(Painel!$Q$8="Todos",D927=Painel!$Q$8),OR(Painel!$V$8="Todas",E927=Painel!$V$8)),1,0))</f>
        <v>0</v>
      </c>
      <c r="L927" s="61" t="str">
        <f aca="false">IF(LEN(A927&amp;"")=0,"",J927-I927)</f>
        <v/>
      </c>
      <c r="M927" s="1" t="n">
        <f aca="false">IF(LEN(A927&amp;"")=0,0,IF(COUNTIFS(Base!$A$7:$A$1006,A927)&gt;1,1,0))</f>
        <v>0</v>
      </c>
      <c r="N927" s="1" t="n">
        <f aca="false">IF(LEN(A927&amp;"")=0,0,IF(ABS(L927)&gt;0.005,1,0))</f>
        <v>0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customFormat="false" ht="23" hidden="false" customHeight="true" outlineLevel="0" collapsed="false">
      <c r="A928" s="1" t="str">
        <f aca="false">IF(LEN(Base!A928&amp;"")=0,"",Base!A928)</f>
        <v/>
      </c>
      <c r="B928" s="60" t="str">
        <f aca="false">IF(LEN(A928&amp;"")=0,"",Base!D928)</f>
        <v/>
      </c>
      <c r="C928" s="1" t="str">
        <f aca="false">IF(LEN(A928&amp;"")=0,"",Base!C928)</f>
        <v/>
      </c>
      <c r="D928" s="1" t="str">
        <f aca="false">IF(LEN(A928&amp;"")=0,"",Base!G928)</f>
        <v/>
      </c>
      <c r="E928" s="1" t="str">
        <f aca="false">IF(LEN(A928&amp;"")=0,"",Base!E928)</f>
        <v/>
      </c>
      <c r="F928" s="61" t="str">
        <f aca="false">IF(LEN(A928&amp;"")=0,"",IF(Base!I928="-",0,Base!I928))</f>
        <v/>
      </c>
      <c r="G928" s="61" t="str">
        <f aca="false">IF(LEN(A928&amp;"")=0,"",SUM(Base!F928,F928,Base!K928))</f>
        <v/>
      </c>
      <c r="H928" s="61" t="str">
        <f aca="false">IF(LEN(A928&amp;"")=0,"",Base!L928)</f>
        <v/>
      </c>
      <c r="I928" s="61" t="str">
        <f aca="false">IF(LEN(A928&amp;"")=0,"",G928-H928)</f>
        <v/>
      </c>
      <c r="J928" s="61" t="str">
        <f aca="false">IF(LEN(A928&amp;"")=0,"",Base!M928)</f>
        <v/>
      </c>
      <c r="K928" s="1" t="n">
        <f aca="false">IF(OR(LEN(A928&amp;"")=0,$P$3=0),0,IF(AND(B928&gt;=Painel!$B$8,B928&lt;=Painel!$G$8,OR(Painel!$L$8="Todos",C928=Painel!$L$8),OR(Painel!$Q$8="Todos",D928=Painel!$Q$8),OR(Painel!$V$8="Todas",E928=Painel!$V$8)),1,0))</f>
        <v>0</v>
      </c>
      <c r="L928" s="61" t="str">
        <f aca="false">IF(LEN(A928&amp;"")=0,"",J928-I928)</f>
        <v/>
      </c>
      <c r="M928" s="1" t="n">
        <f aca="false">IF(LEN(A928&amp;"")=0,0,IF(COUNTIFS(Base!$A$7:$A$1006,A928)&gt;1,1,0))</f>
        <v>0</v>
      </c>
      <c r="N928" s="1" t="n">
        <f aca="false">IF(LEN(A928&amp;"")=0,0,IF(ABS(L928)&gt;0.005,1,0))</f>
        <v>0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customFormat="false" ht="23" hidden="false" customHeight="true" outlineLevel="0" collapsed="false">
      <c r="A929" s="1" t="str">
        <f aca="false">IF(LEN(Base!A929&amp;"")=0,"",Base!A929)</f>
        <v/>
      </c>
      <c r="B929" s="60" t="str">
        <f aca="false">IF(LEN(A929&amp;"")=0,"",Base!D929)</f>
        <v/>
      </c>
      <c r="C929" s="1" t="str">
        <f aca="false">IF(LEN(A929&amp;"")=0,"",Base!C929)</f>
        <v/>
      </c>
      <c r="D929" s="1" t="str">
        <f aca="false">IF(LEN(A929&amp;"")=0,"",Base!G929)</f>
        <v/>
      </c>
      <c r="E929" s="1" t="str">
        <f aca="false">IF(LEN(A929&amp;"")=0,"",Base!E929)</f>
        <v/>
      </c>
      <c r="F929" s="61" t="str">
        <f aca="false">IF(LEN(A929&amp;"")=0,"",IF(Base!I929="-",0,Base!I929))</f>
        <v/>
      </c>
      <c r="G929" s="61" t="str">
        <f aca="false">IF(LEN(A929&amp;"")=0,"",SUM(Base!F929,F929,Base!K929))</f>
        <v/>
      </c>
      <c r="H929" s="61" t="str">
        <f aca="false">IF(LEN(A929&amp;"")=0,"",Base!L929)</f>
        <v/>
      </c>
      <c r="I929" s="61" t="str">
        <f aca="false">IF(LEN(A929&amp;"")=0,"",G929-H929)</f>
        <v/>
      </c>
      <c r="J929" s="61" t="str">
        <f aca="false">IF(LEN(A929&amp;"")=0,"",Base!M929)</f>
        <v/>
      </c>
      <c r="K929" s="1" t="n">
        <f aca="false">IF(OR(LEN(A929&amp;"")=0,$P$3=0),0,IF(AND(B929&gt;=Painel!$B$8,B929&lt;=Painel!$G$8,OR(Painel!$L$8="Todos",C929=Painel!$L$8),OR(Painel!$Q$8="Todos",D929=Painel!$Q$8),OR(Painel!$V$8="Todas",E929=Painel!$V$8)),1,0))</f>
        <v>0</v>
      </c>
      <c r="L929" s="61" t="str">
        <f aca="false">IF(LEN(A929&amp;"")=0,"",J929-I929)</f>
        <v/>
      </c>
      <c r="M929" s="1" t="n">
        <f aca="false">IF(LEN(A929&amp;"")=0,0,IF(COUNTIFS(Base!$A$7:$A$1006,A929)&gt;1,1,0))</f>
        <v>0</v>
      </c>
      <c r="N929" s="1" t="n">
        <f aca="false">IF(LEN(A929&amp;"")=0,0,IF(ABS(L929)&gt;0.005,1,0))</f>
        <v>0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customFormat="false" ht="23" hidden="false" customHeight="true" outlineLevel="0" collapsed="false">
      <c r="A930" s="1" t="str">
        <f aca="false">IF(LEN(Base!A930&amp;"")=0,"",Base!A930)</f>
        <v/>
      </c>
      <c r="B930" s="60" t="str">
        <f aca="false">IF(LEN(A930&amp;"")=0,"",Base!D930)</f>
        <v/>
      </c>
      <c r="C930" s="1" t="str">
        <f aca="false">IF(LEN(A930&amp;"")=0,"",Base!C930)</f>
        <v/>
      </c>
      <c r="D930" s="1" t="str">
        <f aca="false">IF(LEN(A930&amp;"")=0,"",Base!G930)</f>
        <v/>
      </c>
      <c r="E930" s="1" t="str">
        <f aca="false">IF(LEN(A930&amp;"")=0,"",Base!E930)</f>
        <v/>
      </c>
      <c r="F930" s="61" t="str">
        <f aca="false">IF(LEN(A930&amp;"")=0,"",IF(Base!I930="-",0,Base!I930))</f>
        <v/>
      </c>
      <c r="G930" s="61" t="str">
        <f aca="false">IF(LEN(A930&amp;"")=0,"",SUM(Base!F930,F930,Base!K930))</f>
        <v/>
      </c>
      <c r="H930" s="61" t="str">
        <f aca="false">IF(LEN(A930&amp;"")=0,"",Base!L930)</f>
        <v/>
      </c>
      <c r="I930" s="61" t="str">
        <f aca="false">IF(LEN(A930&amp;"")=0,"",G930-H930)</f>
        <v/>
      </c>
      <c r="J930" s="61" t="str">
        <f aca="false">IF(LEN(A930&amp;"")=0,"",Base!M930)</f>
        <v/>
      </c>
      <c r="K930" s="1" t="n">
        <f aca="false">IF(OR(LEN(A930&amp;"")=0,$P$3=0),0,IF(AND(B930&gt;=Painel!$B$8,B930&lt;=Painel!$G$8,OR(Painel!$L$8="Todos",C930=Painel!$L$8),OR(Painel!$Q$8="Todos",D930=Painel!$Q$8),OR(Painel!$V$8="Todas",E930=Painel!$V$8)),1,0))</f>
        <v>0</v>
      </c>
      <c r="L930" s="61" t="str">
        <f aca="false">IF(LEN(A930&amp;"")=0,"",J930-I930)</f>
        <v/>
      </c>
      <c r="M930" s="1" t="n">
        <f aca="false">IF(LEN(A930&amp;"")=0,0,IF(COUNTIFS(Base!$A$7:$A$1006,A930)&gt;1,1,0))</f>
        <v>0</v>
      </c>
      <c r="N930" s="1" t="n">
        <f aca="false">IF(LEN(A930&amp;"")=0,0,IF(ABS(L930)&gt;0.005,1,0))</f>
        <v>0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customFormat="false" ht="23" hidden="false" customHeight="true" outlineLevel="0" collapsed="false">
      <c r="A931" s="1" t="str">
        <f aca="false">IF(LEN(Base!A931&amp;"")=0,"",Base!A931)</f>
        <v/>
      </c>
      <c r="B931" s="60" t="str">
        <f aca="false">IF(LEN(A931&amp;"")=0,"",Base!D931)</f>
        <v/>
      </c>
      <c r="C931" s="1" t="str">
        <f aca="false">IF(LEN(A931&amp;"")=0,"",Base!C931)</f>
        <v/>
      </c>
      <c r="D931" s="1" t="str">
        <f aca="false">IF(LEN(A931&amp;"")=0,"",Base!G931)</f>
        <v/>
      </c>
      <c r="E931" s="1" t="str">
        <f aca="false">IF(LEN(A931&amp;"")=0,"",Base!E931)</f>
        <v/>
      </c>
      <c r="F931" s="61" t="str">
        <f aca="false">IF(LEN(A931&amp;"")=0,"",IF(Base!I931="-",0,Base!I931))</f>
        <v/>
      </c>
      <c r="G931" s="61" t="str">
        <f aca="false">IF(LEN(A931&amp;"")=0,"",SUM(Base!F931,F931,Base!K931))</f>
        <v/>
      </c>
      <c r="H931" s="61" t="str">
        <f aca="false">IF(LEN(A931&amp;"")=0,"",Base!L931)</f>
        <v/>
      </c>
      <c r="I931" s="61" t="str">
        <f aca="false">IF(LEN(A931&amp;"")=0,"",G931-H931)</f>
        <v/>
      </c>
      <c r="J931" s="61" t="str">
        <f aca="false">IF(LEN(A931&amp;"")=0,"",Base!M931)</f>
        <v/>
      </c>
      <c r="K931" s="1" t="n">
        <f aca="false">IF(OR(LEN(A931&amp;"")=0,$P$3=0),0,IF(AND(B931&gt;=Painel!$B$8,B931&lt;=Painel!$G$8,OR(Painel!$L$8="Todos",C931=Painel!$L$8),OR(Painel!$Q$8="Todos",D931=Painel!$Q$8),OR(Painel!$V$8="Todas",E931=Painel!$V$8)),1,0))</f>
        <v>0</v>
      </c>
      <c r="L931" s="61" t="str">
        <f aca="false">IF(LEN(A931&amp;"")=0,"",J931-I931)</f>
        <v/>
      </c>
      <c r="M931" s="1" t="n">
        <f aca="false">IF(LEN(A931&amp;"")=0,0,IF(COUNTIFS(Base!$A$7:$A$1006,A931)&gt;1,1,0))</f>
        <v>0</v>
      </c>
      <c r="N931" s="1" t="n">
        <f aca="false">IF(LEN(A931&amp;"")=0,0,IF(ABS(L931)&gt;0.005,1,0))</f>
        <v>0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customFormat="false" ht="23" hidden="false" customHeight="true" outlineLevel="0" collapsed="false">
      <c r="A932" s="1" t="str">
        <f aca="false">IF(LEN(Base!A932&amp;"")=0,"",Base!A932)</f>
        <v/>
      </c>
      <c r="B932" s="60" t="str">
        <f aca="false">IF(LEN(A932&amp;"")=0,"",Base!D932)</f>
        <v/>
      </c>
      <c r="C932" s="1" t="str">
        <f aca="false">IF(LEN(A932&amp;"")=0,"",Base!C932)</f>
        <v/>
      </c>
      <c r="D932" s="1" t="str">
        <f aca="false">IF(LEN(A932&amp;"")=0,"",Base!G932)</f>
        <v/>
      </c>
      <c r="E932" s="1" t="str">
        <f aca="false">IF(LEN(A932&amp;"")=0,"",Base!E932)</f>
        <v/>
      </c>
      <c r="F932" s="61" t="str">
        <f aca="false">IF(LEN(A932&amp;"")=0,"",IF(Base!I932="-",0,Base!I932))</f>
        <v/>
      </c>
      <c r="G932" s="61" t="str">
        <f aca="false">IF(LEN(A932&amp;"")=0,"",SUM(Base!F932,F932,Base!K932))</f>
        <v/>
      </c>
      <c r="H932" s="61" t="str">
        <f aca="false">IF(LEN(A932&amp;"")=0,"",Base!L932)</f>
        <v/>
      </c>
      <c r="I932" s="61" t="str">
        <f aca="false">IF(LEN(A932&amp;"")=0,"",G932-H932)</f>
        <v/>
      </c>
      <c r="J932" s="61" t="str">
        <f aca="false">IF(LEN(A932&amp;"")=0,"",Base!M932)</f>
        <v/>
      </c>
      <c r="K932" s="1" t="n">
        <f aca="false">IF(OR(LEN(A932&amp;"")=0,$P$3=0),0,IF(AND(B932&gt;=Painel!$B$8,B932&lt;=Painel!$G$8,OR(Painel!$L$8="Todos",C932=Painel!$L$8),OR(Painel!$Q$8="Todos",D932=Painel!$Q$8),OR(Painel!$V$8="Todas",E932=Painel!$V$8)),1,0))</f>
        <v>0</v>
      </c>
      <c r="L932" s="61" t="str">
        <f aca="false">IF(LEN(A932&amp;"")=0,"",J932-I932)</f>
        <v/>
      </c>
      <c r="M932" s="1" t="n">
        <f aca="false">IF(LEN(A932&amp;"")=0,0,IF(COUNTIFS(Base!$A$7:$A$1006,A932)&gt;1,1,0))</f>
        <v>0</v>
      </c>
      <c r="N932" s="1" t="n">
        <f aca="false">IF(LEN(A932&amp;"")=0,0,IF(ABS(L932)&gt;0.005,1,0))</f>
        <v>0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customFormat="false" ht="23" hidden="false" customHeight="true" outlineLevel="0" collapsed="false">
      <c r="A933" s="1" t="str">
        <f aca="false">IF(LEN(Base!A933&amp;"")=0,"",Base!A933)</f>
        <v/>
      </c>
      <c r="B933" s="60" t="str">
        <f aca="false">IF(LEN(A933&amp;"")=0,"",Base!D933)</f>
        <v/>
      </c>
      <c r="C933" s="1" t="str">
        <f aca="false">IF(LEN(A933&amp;"")=0,"",Base!C933)</f>
        <v/>
      </c>
      <c r="D933" s="1" t="str">
        <f aca="false">IF(LEN(A933&amp;"")=0,"",Base!G933)</f>
        <v/>
      </c>
      <c r="E933" s="1" t="str">
        <f aca="false">IF(LEN(A933&amp;"")=0,"",Base!E933)</f>
        <v/>
      </c>
      <c r="F933" s="61" t="str">
        <f aca="false">IF(LEN(A933&amp;"")=0,"",IF(Base!I933="-",0,Base!I933))</f>
        <v/>
      </c>
      <c r="G933" s="61" t="str">
        <f aca="false">IF(LEN(A933&amp;"")=0,"",SUM(Base!F933,F933,Base!K933))</f>
        <v/>
      </c>
      <c r="H933" s="61" t="str">
        <f aca="false">IF(LEN(A933&amp;"")=0,"",Base!L933)</f>
        <v/>
      </c>
      <c r="I933" s="61" t="str">
        <f aca="false">IF(LEN(A933&amp;"")=0,"",G933-H933)</f>
        <v/>
      </c>
      <c r="J933" s="61" t="str">
        <f aca="false">IF(LEN(A933&amp;"")=0,"",Base!M933)</f>
        <v/>
      </c>
      <c r="K933" s="1" t="n">
        <f aca="false">IF(OR(LEN(A933&amp;"")=0,$P$3=0),0,IF(AND(B933&gt;=Painel!$B$8,B933&lt;=Painel!$G$8,OR(Painel!$L$8="Todos",C933=Painel!$L$8),OR(Painel!$Q$8="Todos",D933=Painel!$Q$8),OR(Painel!$V$8="Todas",E933=Painel!$V$8)),1,0))</f>
        <v>0</v>
      </c>
      <c r="L933" s="61" t="str">
        <f aca="false">IF(LEN(A933&amp;"")=0,"",J933-I933)</f>
        <v/>
      </c>
      <c r="M933" s="1" t="n">
        <f aca="false">IF(LEN(A933&amp;"")=0,0,IF(COUNTIFS(Base!$A$7:$A$1006,A933)&gt;1,1,0))</f>
        <v>0</v>
      </c>
      <c r="N933" s="1" t="n">
        <f aca="false">IF(LEN(A933&amp;"")=0,0,IF(ABS(L933)&gt;0.005,1,0))</f>
        <v>0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customFormat="false" ht="23" hidden="false" customHeight="true" outlineLevel="0" collapsed="false">
      <c r="A934" s="1" t="str">
        <f aca="false">IF(LEN(Base!A934&amp;"")=0,"",Base!A934)</f>
        <v/>
      </c>
      <c r="B934" s="60" t="str">
        <f aca="false">IF(LEN(A934&amp;"")=0,"",Base!D934)</f>
        <v/>
      </c>
      <c r="C934" s="1" t="str">
        <f aca="false">IF(LEN(A934&amp;"")=0,"",Base!C934)</f>
        <v/>
      </c>
      <c r="D934" s="1" t="str">
        <f aca="false">IF(LEN(A934&amp;"")=0,"",Base!G934)</f>
        <v/>
      </c>
      <c r="E934" s="1" t="str">
        <f aca="false">IF(LEN(A934&amp;"")=0,"",Base!E934)</f>
        <v/>
      </c>
      <c r="F934" s="61" t="str">
        <f aca="false">IF(LEN(A934&amp;"")=0,"",IF(Base!I934="-",0,Base!I934))</f>
        <v/>
      </c>
      <c r="G934" s="61" t="str">
        <f aca="false">IF(LEN(A934&amp;"")=0,"",SUM(Base!F934,F934,Base!K934))</f>
        <v/>
      </c>
      <c r="H934" s="61" t="str">
        <f aca="false">IF(LEN(A934&amp;"")=0,"",Base!L934)</f>
        <v/>
      </c>
      <c r="I934" s="61" t="str">
        <f aca="false">IF(LEN(A934&amp;"")=0,"",G934-H934)</f>
        <v/>
      </c>
      <c r="J934" s="61" t="str">
        <f aca="false">IF(LEN(A934&amp;"")=0,"",Base!M934)</f>
        <v/>
      </c>
      <c r="K934" s="1" t="n">
        <f aca="false">IF(OR(LEN(A934&amp;"")=0,$P$3=0),0,IF(AND(B934&gt;=Painel!$B$8,B934&lt;=Painel!$G$8,OR(Painel!$L$8="Todos",C934=Painel!$L$8),OR(Painel!$Q$8="Todos",D934=Painel!$Q$8),OR(Painel!$V$8="Todas",E934=Painel!$V$8)),1,0))</f>
        <v>0</v>
      </c>
      <c r="L934" s="61" t="str">
        <f aca="false">IF(LEN(A934&amp;"")=0,"",J934-I934)</f>
        <v/>
      </c>
      <c r="M934" s="1" t="n">
        <f aca="false">IF(LEN(A934&amp;"")=0,0,IF(COUNTIFS(Base!$A$7:$A$1006,A934)&gt;1,1,0))</f>
        <v>0</v>
      </c>
      <c r="N934" s="1" t="n">
        <f aca="false">IF(LEN(A934&amp;"")=0,0,IF(ABS(L934)&gt;0.005,1,0))</f>
        <v>0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customFormat="false" ht="23" hidden="false" customHeight="true" outlineLevel="0" collapsed="false">
      <c r="A935" s="1" t="str">
        <f aca="false">IF(LEN(Base!A935&amp;"")=0,"",Base!A935)</f>
        <v/>
      </c>
      <c r="B935" s="60" t="str">
        <f aca="false">IF(LEN(A935&amp;"")=0,"",Base!D935)</f>
        <v/>
      </c>
      <c r="C935" s="1" t="str">
        <f aca="false">IF(LEN(A935&amp;"")=0,"",Base!C935)</f>
        <v/>
      </c>
      <c r="D935" s="1" t="str">
        <f aca="false">IF(LEN(A935&amp;"")=0,"",Base!G935)</f>
        <v/>
      </c>
      <c r="E935" s="1" t="str">
        <f aca="false">IF(LEN(A935&amp;"")=0,"",Base!E935)</f>
        <v/>
      </c>
      <c r="F935" s="61" t="str">
        <f aca="false">IF(LEN(A935&amp;"")=0,"",IF(Base!I935="-",0,Base!I935))</f>
        <v/>
      </c>
      <c r="G935" s="61" t="str">
        <f aca="false">IF(LEN(A935&amp;"")=0,"",SUM(Base!F935,F935,Base!K935))</f>
        <v/>
      </c>
      <c r="H935" s="61" t="str">
        <f aca="false">IF(LEN(A935&amp;"")=0,"",Base!L935)</f>
        <v/>
      </c>
      <c r="I935" s="61" t="str">
        <f aca="false">IF(LEN(A935&amp;"")=0,"",G935-H935)</f>
        <v/>
      </c>
      <c r="J935" s="61" t="str">
        <f aca="false">IF(LEN(A935&amp;"")=0,"",Base!M935)</f>
        <v/>
      </c>
      <c r="K935" s="1" t="n">
        <f aca="false">IF(OR(LEN(A935&amp;"")=0,$P$3=0),0,IF(AND(B935&gt;=Painel!$B$8,B935&lt;=Painel!$G$8,OR(Painel!$L$8="Todos",C935=Painel!$L$8),OR(Painel!$Q$8="Todos",D935=Painel!$Q$8),OR(Painel!$V$8="Todas",E935=Painel!$V$8)),1,0))</f>
        <v>0</v>
      </c>
      <c r="L935" s="61" t="str">
        <f aca="false">IF(LEN(A935&amp;"")=0,"",J935-I935)</f>
        <v/>
      </c>
      <c r="M935" s="1" t="n">
        <f aca="false">IF(LEN(A935&amp;"")=0,0,IF(COUNTIFS(Base!$A$7:$A$1006,A935)&gt;1,1,0))</f>
        <v>0</v>
      </c>
      <c r="N935" s="1" t="n">
        <f aca="false">IF(LEN(A935&amp;"")=0,0,IF(ABS(L935)&gt;0.005,1,0))</f>
        <v>0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customFormat="false" ht="23" hidden="false" customHeight="true" outlineLevel="0" collapsed="false">
      <c r="A936" s="1" t="str">
        <f aca="false">IF(LEN(Base!A936&amp;"")=0,"",Base!A936)</f>
        <v/>
      </c>
      <c r="B936" s="60" t="str">
        <f aca="false">IF(LEN(A936&amp;"")=0,"",Base!D936)</f>
        <v/>
      </c>
      <c r="C936" s="1" t="str">
        <f aca="false">IF(LEN(A936&amp;"")=0,"",Base!C936)</f>
        <v/>
      </c>
      <c r="D936" s="1" t="str">
        <f aca="false">IF(LEN(A936&amp;"")=0,"",Base!G936)</f>
        <v/>
      </c>
      <c r="E936" s="1" t="str">
        <f aca="false">IF(LEN(A936&amp;"")=0,"",Base!E936)</f>
        <v/>
      </c>
      <c r="F936" s="61" t="str">
        <f aca="false">IF(LEN(A936&amp;"")=0,"",IF(Base!I936="-",0,Base!I936))</f>
        <v/>
      </c>
      <c r="G936" s="61" t="str">
        <f aca="false">IF(LEN(A936&amp;"")=0,"",SUM(Base!F936,F936,Base!K936))</f>
        <v/>
      </c>
      <c r="H936" s="61" t="str">
        <f aca="false">IF(LEN(A936&amp;"")=0,"",Base!L936)</f>
        <v/>
      </c>
      <c r="I936" s="61" t="str">
        <f aca="false">IF(LEN(A936&amp;"")=0,"",G936-H936)</f>
        <v/>
      </c>
      <c r="J936" s="61" t="str">
        <f aca="false">IF(LEN(A936&amp;"")=0,"",Base!M936)</f>
        <v/>
      </c>
      <c r="K936" s="1" t="n">
        <f aca="false">IF(OR(LEN(A936&amp;"")=0,$P$3=0),0,IF(AND(B936&gt;=Painel!$B$8,B936&lt;=Painel!$G$8,OR(Painel!$L$8="Todos",C936=Painel!$L$8),OR(Painel!$Q$8="Todos",D936=Painel!$Q$8),OR(Painel!$V$8="Todas",E936=Painel!$V$8)),1,0))</f>
        <v>0</v>
      </c>
      <c r="L936" s="61" t="str">
        <f aca="false">IF(LEN(A936&amp;"")=0,"",J936-I936)</f>
        <v/>
      </c>
      <c r="M936" s="1" t="n">
        <f aca="false">IF(LEN(A936&amp;"")=0,0,IF(COUNTIFS(Base!$A$7:$A$1006,A936)&gt;1,1,0))</f>
        <v>0</v>
      </c>
      <c r="N936" s="1" t="n">
        <f aca="false">IF(LEN(A936&amp;"")=0,0,IF(ABS(L936)&gt;0.005,1,0))</f>
        <v>0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customFormat="false" ht="23" hidden="false" customHeight="true" outlineLevel="0" collapsed="false">
      <c r="A937" s="1" t="str">
        <f aca="false">IF(LEN(Base!A937&amp;"")=0,"",Base!A937)</f>
        <v/>
      </c>
      <c r="B937" s="60" t="str">
        <f aca="false">IF(LEN(A937&amp;"")=0,"",Base!D937)</f>
        <v/>
      </c>
      <c r="C937" s="1" t="str">
        <f aca="false">IF(LEN(A937&amp;"")=0,"",Base!C937)</f>
        <v/>
      </c>
      <c r="D937" s="1" t="str">
        <f aca="false">IF(LEN(A937&amp;"")=0,"",Base!G937)</f>
        <v/>
      </c>
      <c r="E937" s="1" t="str">
        <f aca="false">IF(LEN(A937&amp;"")=0,"",Base!E937)</f>
        <v/>
      </c>
      <c r="F937" s="61" t="str">
        <f aca="false">IF(LEN(A937&amp;"")=0,"",IF(Base!I937="-",0,Base!I937))</f>
        <v/>
      </c>
      <c r="G937" s="61" t="str">
        <f aca="false">IF(LEN(A937&amp;"")=0,"",SUM(Base!F937,F937,Base!K937))</f>
        <v/>
      </c>
      <c r="H937" s="61" t="str">
        <f aca="false">IF(LEN(A937&amp;"")=0,"",Base!L937)</f>
        <v/>
      </c>
      <c r="I937" s="61" t="str">
        <f aca="false">IF(LEN(A937&amp;"")=0,"",G937-H937)</f>
        <v/>
      </c>
      <c r="J937" s="61" t="str">
        <f aca="false">IF(LEN(A937&amp;"")=0,"",Base!M937)</f>
        <v/>
      </c>
      <c r="K937" s="1" t="n">
        <f aca="false">IF(OR(LEN(A937&amp;"")=0,$P$3=0),0,IF(AND(B937&gt;=Painel!$B$8,B937&lt;=Painel!$G$8,OR(Painel!$L$8="Todos",C937=Painel!$L$8),OR(Painel!$Q$8="Todos",D937=Painel!$Q$8),OR(Painel!$V$8="Todas",E937=Painel!$V$8)),1,0))</f>
        <v>0</v>
      </c>
      <c r="L937" s="61" t="str">
        <f aca="false">IF(LEN(A937&amp;"")=0,"",J937-I937)</f>
        <v/>
      </c>
      <c r="M937" s="1" t="n">
        <f aca="false">IF(LEN(A937&amp;"")=0,0,IF(COUNTIFS(Base!$A$7:$A$1006,A937)&gt;1,1,0))</f>
        <v>0</v>
      </c>
      <c r="N937" s="1" t="n">
        <f aca="false">IF(LEN(A937&amp;"")=0,0,IF(ABS(L937)&gt;0.005,1,0))</f>
        <v>0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customFormat="false" ht="23" hidden="false" customHeight="true" outlineLevel="0" collapsed="false">
      <c r="A938" s="1" t="str">
        <f aca="false">IF(LEN(Base!A938&amp;"")=0,"",Base!A938)</f>
        <v/>
      </c>
      <c r="B938" s="60" t="str">
        <f aca="false">IF(LEN(A938&amp;"")=0,"",Base!D938)</f>
        <v/>
      </c>
      <c r="C938" s="1" t="str">
        <f aca="false">IF(LEN(A938&amp;"")=0,"",Base!C938)</f>
        <v/>
      </c>
      <c r="D938" s="1" t="str">
        <f aca="false">IF(LEN(A938&amp;"")=0,"",Base!G938)</f>
        <v/>
      </c>
      <c r="E938" s="1" t="str">
        <f aca="false">IF(LEN(A938&amp;"")=0,"",Base!E938)</f>
        <v/>
      </c>
      <c r="F938" s="61" t="str">
        <f aca="false">IF(LEN(A938&amp;"")=0,"",IF(Base!I938="-",0,Base!I938))</f>
        <v/>
      </c>
      <c r="G938" s="61" t="str">
        <f aca="false">IF(LEN(A938&amp;"")=0,"",SUM(Base!F938,F938,Base!K938))</f>
        <v/>
      </c>
      <c r="H938" s="61" t="str">
        <f aca="false">IF(LEN(A938&amp;"")=0,"",Base!L938)</f>
        <v/>
      </c>
      <c r="I938" s="61" t="str">
        <f aca="false">IF(LEN(A938&amp;"")=0,"",G938-H938)</f>
        <v/>
      </c>
      <c r="J938" s="61" t="str">
        <f aca="false">IF(LEN(A938&amp;"")=0,"",Base!M938)</f>
        <v/>
      </c>
      <c r="K938" s="1" t="n">
        <f aca="false">IF(OR(LEN(A938&amp;"")=0,$P$3=0),0,IF(AND(B938&gt;=Painel!$B$8,B938&lt;=Painel!$G$8,OR(Painel!$L$8="Todos",C938=Painel!$L$8),OR(Painel!$Q$8="Todos",D938=Painel!$Q$8),OR(Painel!$V$8="Todas",E938=Painel!$V$8)),1,0))</f>
        <v>0</v>
      </c>
      <c r="L938" s="61" t="str">
        <f aca="false">IF(LEN(A938&amp;"")=0,"",J938-I938)</f>
        <v/>
      </c>
      <c r="M938" s="1" t="n">
        <f aca="false">IF(LEN(A938&amp;"")=0,0,IF(COUNTIFS(Base!$A$7:$A$1006,A938)&gt;1,1,0))</f>
        <v>0</v>
      </c>
      <c r="N938" s="1" t="n">
        <f aca="false">IF(LEN(A938&amp;"")=0,0,IF(ABS(L938)&gt;0.005,1,0))</f>
        <v>0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customFormat="false" ht="23" hidden="false" customHeight="true" outlineLevel="0" collapsed="false">
      <c r="A939" s="1" t="str">
        <f aca="false">IF(LEN(Base!A939&amp;"")=0,"",Base!A939)</f>
        <v/>
      </c>
      <c r="B939" s="60" t="str">
        <f aca="false">IF(LEN(A939&amp;"")=0,"",Base!D939)</f>
        <v/>
      </c>
      <c r="C939" s="1" t="str">
        <f aca="false">IF(LEN(A939&amp;"")=0,"",Base!C939)</f>
        <v/>
      </c>
      <c r="D939" s="1" t="str">
        <f aca="false">IF(LEN(A939&amp;"")=0,"",Base!G939)</f>
        <v/>
      </c>
      <c r="E939" s="1" t="str">
        <f aca="false">IF(LEN(A939&amp;"")=0,"",Base!E939)</f>
        <v/>
      </c>
      <c r="F939" s="61" t="str">
        <f aca="false">IF(LEN(A939&amp;"")=0,"",IF(Base!I939="-",0,Base!I939))</f>
        <v/>
      </c>
      <c r="G939" s="61" t="str">
        <f aca="false">IF(LEN(A939&amp;"")=0,"",SUM(Base!F939,F939,Base!K939))</f>
        <v/>
      </c>
      <c r="H939" s="61" t="str">
        <f aca="false">IF(LEN(A939&amp;"")=0,"",Base!L939)</f>
        <v/>
      </c>
      <c r="I939" s="61" t="str">
        <f aca="false">IF(LEN(A939&amp;"")=0,"",G939-H939)</f>
        <v/>
      </c>
      <c r="J939" s="61" t="str">
        <f aca="false">IF(LEN(A939&amp;"")=0,"",Base!M939)</f>
        <v/>
      </c>
      <c r="K939" s="1" t="n">
        <f aca="false">IF(OR(LEN(A939&amp;"")=0,$P$3=0),0,IF(AND(B939&gt;=Painel!$B$8,B939&lt;=Painel!$G$8,OR(Painel!$L$8="Todos",C939=Painel!$L$8),OR(Painel!$Q$8="Todos",D939=Painel!$Q$8),OR(Painel!$V$8="Todas",E939=Painel!$V$8)),1,0))</f>
        <v>0</v>
      </c>
      <c r="L939" s="61" t="str">
        <f aca="false">IF(LEN(A939&amp;"")=0,"",J939-I939)</f>
        <v/>
      </c>
      <c r="M939" s="1" t="n">
        <f aca="false">IF(LEN(A939&amp;"")=0,0,IF(COUNTIFS(Base!$A$7:$A$1006,A939)&gt;1,1,0))</f>
        <v>0</v>
      </c>
      <c r="N939" s="1" t="n">
        <f aca="false">IF(LEN(A939&amp;"")=0,0,IF(ABS(L939)&gt;0.005,1,0))</f>
        <v>0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customFormat="false" ht="23" hidden="false" customHeight="true" outlineLevel="0" collapsed="false">
      <c r="A940" s="1" t="str">
        <f aca="false">IF(LEN(Base!A940&amp;"")=0,"",Base!A940)</f>
        <v/>
      </c>
      <c r="B940" s="60" t="str">
        <f aca="false">IF(LEN(A940&amp;"")=0,"",Base!D940)</f>
        <v/>
      </c>
      <c r="C940" s="1" t="str">
        <f aca="false">IF(LEN(A940&amp;"")=0,"",Base!C940)</f>
        <v/>
      </c>
      <c r="D940" s="1" t="str">
        <f aca="false">IF(LEN(A940&amp;"")=0,"",Base!G940)</f>
        <v/>
      </c>
      <c r="E940" s="1" t="str">
        <f aca="false">IF(LEN(A940&amp;"")=0,"",Base!E940)</f>
        <v/>
      </c>
      <c r="F940" s="61" t="str">
        <f aca="false">IF(LEN(A940&amp;"")=0,"",IF(Base!I940="-",0,Base!I940))</f>
        <v/>
      </c>
      <c r="G940" s="61" t="str">
        <f aca="false">IF(LEN(A940&amp;"")=0,"",SUM(Base!F940,F940,Base!K940))</f>
        <v/>
      </c>
      <c r="H940" s="61" t="str">
        <f aca="false">IF(LEN(A940&amp;"")=0,"",Base!L940)</f>
        <v/>
      </c>
      <c r="I940" s="61" t="str">
        <f aca="false">IF(LEN(A940&amp;"")=0,"",G940-H940)</f>
        <v/>
      </c>
      <c r="J940" s="61" t="str">
        <f aca="false">IF(LEN(A940&amp;"")=0,"",Base!M940)</f>
        <v/>
      </c>
      <c r="K940" s="1" t="n">
        <f aca="false">IF(OR(LEN(A940&amp;"")=0,$P$3=0),0,IF(AND(B940&gt;=Painel!$B$8,B940&lt;=Painel!$G$8,OR(Painel!$L$8="Todos",C940=Painel!$L$8),OR(Painel!$Q$8="Todos",D940=Painel!$Q$8),OR(Painel!$V$8="Todas",E940=Painel!$V$8)),1,0))</f>
        <v>0</v>
      </c>
      <c r="L940" s="61" t="str">
        <f aca="false">IF(LEN(A940&amp;"")=0,"",J940-I940)</f>
        <v/>
      </c>
      <c r="M940" s="1" t="n">
        <f aca="false">IF(LEN(A940&amp;"")=0,0,IF(COUNTIFS(Base!$A$7:$A$1006,A940)&gt;1,1,0))</f>
        <v>0</v>
      </c>
      <c r="N940" s="1" t="n">
        <f aca="false">IF(LEN(A940&amp;"")=0,0,IF(ABS(L940)&gt;0.005,1,0))</f>
        <v>0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customFormat="false" ht="23" hidden="false" customHeight="true" outlineLevel="0" collapsed="false">
      <c r="A941" s="1" t="str">
        <f aca="false">IF(LEN(Base!A941&amp;"")=0,"",Base!A941)</f>
        <v/>
      </c>
      <c r="B941" s="60" t="str">
        <f aca="false">IF(LEN(A941&amp;"")=0,"",Base!D941)</f>
        <v/>
      </c>
      <c r="C941" s="1" t="str">
        <f aca="false">IF(LEN(A941&amp;"")=0,"",Base!C941)</f>
        <v/>
      </c>
      <c r="D941" s="1" t="str">
        <f aca="false">IF(LEN(A941&amp;"")=0,"",Base!G941)</f>
        <v/>
      </c>
      <c r="E941" s="1" t="str">
        <f aca="false">IF(LEN(A941&amp;"")=0,"",Base!E941)</f>
        <v/>
      </c>
      <c r="F941" s="61" t="str">
        <f aca="false">IF(LEN(A941&amp;"")=0,"",IF(Base!I941="-",0,Base!I941))</f>
        <v/>
      </c>
      <c r="G941" s="61" t="str">
        <f aca="false">IF(LEN(A941&amp;"")=0,"",SUM(Base!F941,F941,Base!K941))</f>
        <v/>
      </c>
      <c r="H941" s="61" t="str">
        <f aca="false">IF(LEN(A941&amp;"")=0,"",Base!L941)</f>
        <v/>
      </c>
      <c r="I941" s="61" t="str">
        <f aca="false">IF(LEN(A941&amp;"")=0,"",G941-H941)</f>
        <v/>
      </c>
      <c r="J941" s="61" t="str">
        <f aca="false">IF(LEN(A941&amp;"")=0,"",Base!M941)</f>
        <v/>
      </c>
      <c r="K941" s="1" t="n">
        <f aca="false">IF(OR(LEN(A941&amp;"")=0,$P$3=0),0,IF(AND(B941&gt;=Painel!$B$8,B941&lt;=Painel!$G$8,OR(Painel!$L$8="Todos",C941=Painel!$L$8),OR(Painel!$Q$8="Todos",D941=Painel!$Q$8),OR(Painel!$V$8="Todas",E941=Painel!$V$8)),1,0))</f>
        <v>0</v>
      </c>
      <c r="L941" s="61" t="str">
        <f aca="false">IF(LEN(A941&amp;"")=0,"",J941-I941)</f>
        <v/>
      </c>
      <c r="M941" s="1" t="n">
        <f aca="false">IF(LEN(A941&amp;"")=0,0,IF(COUNTIFS(Base!$A$7:$A$1006,A941)&gt;1,1,0))</f>
        <v>0</v>
      </c>
      <c r="N941" s="1" t="n">
        <f aca="false">IF(LEN(A941&amp;"")=0,0,IF(ABS(L941)&gt;0.005,1,0))</f>
        <v>0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customFormat="false" ht="23" hidden="false" customHeight="true" outlineLevel="0" collapsed="false">
      <c r="A942" s="1" t="str">
        <f aca="false">IF(LEN(Base!A942&amp;"")=0,"",Base!A942)</f>
        <v/>
      </c>
      <c r="B942" s="60" t="str">
        <f aca="false">IF(LEN(A942&amp;"")=0,"",Base!D942)</f>
        <v/>
      </c>
      <c r="C942" s="1" t="str">
        <f aca="false">IF(LEN(A942&amp;"")=0,"",Base!C942)</f>
        <v/>
      </c>
      <c r="D942" s="1" t="str">
        <f aca="false">IF(LEN(A942&amp;"")=0,"",Base!G942)</f>
        <v/>
      </c>
      <c r="E942" s="1" t="str">
        <f aca="false">IF(LEN(A942&amp;"")=0,"",Base!E942)</f>
        <v/>
      </c>
      <c r="F942" s="61" t="str">
        <f aca="false">IF(LEN(A942&amp;"")=0,"",IF(Base!I942="-",0,Base!I942))</f>
        <v/>
      </c>
      <c r="G942" s="61" t="str">
        <f aca="false">IF(LEN(A942&amp;"")=0,"",SUM(Base!F942,F942,Base!K942))</f>
        <v/>
      </c>
      <c r="H942" s="61" t="str">
        <f aca="false">IF(LEN(A942&amp;"")=0,"",Base!L942)</f>
        <v/>
      </c>
      <c r="I942" s="61" t="str">
        <f aca="false">IF(LEN(A942&amp;"")=0,"",G942-H942)</f>
        <v/>
      </c>
      <c r="J942" s="61" t="str">
        <f aca="false">IF(LEN(A942&amp;"")=0,"",Base!M942)</f>
        <v/>
      </c>
      <c r="K942" s="1" t="n">
        <f aca="false">IF(OR(LEN(A942&amp;"")=0,$P$3=0),0,IF(AND(B942&gt;=Painel!$B$8,B942&lt;=Painel!$G$8,OR(Painel!$L$8="Todos",C942=Painel!$L$8),OR(Painel!$Q$8="Todos",D942=Painel!$Q$8),OR(Painel!$V$8="Todas",E942=Painel!$V$8)),1,0))</f>
        <v>0</v>
      </c>
      <c r="L942" s="61" t="str">
        <f aca="false">IF(LEN(A942&amp;"")=0,"",J942-I942)</f>
        <v/>
      </c>
      <c r="M942" s="1" t="n">
        <f aca="false">IF(LEN(A942&amp;"")=0,0,IF(COUNTIFS(Base!$A$7:$A$1006,A942)&gt;1,1,0))</f>
        <v>0</v>
      </c>
      <c r="N942" s="1" t="n">
        <f aca="false">IF(LEN(A942&amp;"")=0,0,IF(ABS(L942)&gt;0.005,1,0))</f>
        <v>0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customFormat="false" ht="23" hidden="false" customHeight="true" outlineLevel="0" collapsed="false">
      <c r="A943" s="1" t="str">
        <f aca="false">IF(LEN(Base!A943&amp;"")=0,"",Base!A943)</f>
        <v/>
      </c>
      <c r="B943" s="60" t="str">
        <f aca="false">IF(LEN(A943&amp;"")=0,"",Base!D943)</f>
        <v/>
      </c>
      <c r="C943" s="1" t="str">
        <f aca="false">IF(LEN(A943&amp;"")=0,"",Base!C943)</f>
        <v/>
      </c>
      <c r="D943" s="1" t="str">
        <f aca="false">IF(LEN(A943&amp;"")=0,"",Base!G943)</f>
        <v/>
      </c>
      <c r="E943" s="1" t="str">
        <f aca="false">IF(LEN(A943&amp;"")=0,"",Base!E943)</f>
        <v/>
      </c>
      <c r="F943" s="61" t="str">
        <f aca="false">IF(LEN(A943&amp;"")=0,"",IF(Base!I943="-",0,Base!I943))</f>
        <v/>
      </c>
      <c r="G943" s="61" t="str">
        <f aca="false">IF(LEN(A943&amp;"")=0,"",SUM(Base!F943,F943,Base!K943))</f>
        <v/>
      </c>
      <c r="H943" s="61" t="str">
        <f aca="false">IF(LEN(A943&amp;"")=0,"",Base!L943)</f>
        <v/>
      </c>
      <c r="I943" s="61" t="str">
        <f aca="false">IF(LEN(A943&amp;"")=0,"",G943-H943)</f>
        <v/>
      </c>
      <c r="J943" s="61" t="str">
        <f aca="false">IF(LEN(A943&amp;"")=0,"",Base!M943)</f>
        <v/>
      </c>
      <c r="K943" s="1" t="n">
        <f aca="false">IF(OR(LEN(A943&amp;"")=0,$P$3=0),0,IF(AND(B943&gt;=Painel!$B$8,B943&lt;=Painel!$G$8,OR(Painel!$L$8="Todos",C943=Painel!$L$8),OR(Painel!$Q$8="Todos",D943=Painel!$Q$8),OR(Painel!$V$8="Todas",E943=Painel!$V$8)),1,0))</f>
        <v>0</v>
      </c>
      <c r="L943" s="61" t="str">
        <f aca="false">IF(LEN(A943&amp;"")=0,"",J943-I943)</f>
        <v/>
      </c>
      <c r="M943" s="1" t="n">
        <f aca="false">IF(LEN(A943&amp;"")=0,0,IF(COUNTIFS(Base!$A$7:$A$1006,A943)&gt;1,1,0))</f>
        <v>0</v>
      </c>
      <c r="N943" s="1" t="n">
        <f aca="false">IF(LEN(A943&amp;"")=0,0,IF(ABS(L943)&gt;0.005,1,0))</f>
        <v>0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customFormat="false" ht="23" hidden="false" customHeight="true" outlineLevel="0" collapsed="false">
      <c r="A944" s="1" t="str">
        <f aca="false">IF(LEN(Base!A944&amp;"")=0,"",Base!A944)</f>
        <v/>
      </c>
      <c r="B944" s="60" t="str">
        <f aca="false">IF(LEN(A944&amp;"")=0,"",Base!D944)</f>
        <v/>
      </c>
      <c r="C944" s="1" t="str">
        <f aca="false">IF(LEN(A944&amp;"")=0,"",Base!C944)</f>
        <v/>
      </c>
      <c r="D944" s="1" t="str">
        <f aca="false">IF(LEN(A944&amp;"")=0,"",Base!G944)</f>
        <v/>
      </c>
      <c r="E944" s="1" t="str">
        <f aca="false">IF(LEN(A944&amp;"")=0,"",Base!E944)</f>
        <v/>
      </c>
      <c r="F944" s="61" t="str">
        <f aca="false">IF(LEN(A944&amp;"")=0,"",IF(Base!I944="-",0,Base!I944))</f>
        <v/>
      </c>
      <c r="G944" s="61" t="str">
        <f aca="false">IF(LEN(A944&amp;"")=0,"",SUM(Base!F944,F944,Base!K944))</f>
        <v/>
      </c>
      <c r="H944" s="61" t="str">
        <f aca="false">IF(LEN(A944&amp;"")=0,"",Base!L944)</f>
        <v/>
      </c>
      <c r="I944" s="61" t="str">
        <f aca="false">IF(LEN(A944&amp;"")=0,"",G944-H944)</f>
        <v/>
      </c>
      <c r="J944" s="61" t="str">
        <f aca="false">IF(LEN(A944&amp;"")=0,"",Base!M944)</f>
        <v/>
      </c>
      <c r="K944" s="1" t="n">
        <f aca="false">IF(OR(LEN(A944&amp;"")=0,$P$3=0),0,IF(AND(B944&gt;=Painel!$B$8,B944&lt;=Painel!$G$8,OR(Painel!$L$8="Todos",C944=Painel!$L$8),OR(Painel!$Q$8="Todos",D944=Painel!$Q$8),OR(Painel!$V$8="Todas",E944=Painel!$V$8)),1,0))</f>
        <v>0</v>
      </c>
      <c r="L944" s="61" t="str">
        <f aca="false">IF(LEN(A944&amp;"")=0,"",J944-I944)</f>
        <v/>
      </c>
      <c r="M944" s="1" t="n">
        <f aca="false">IF(LEN(A944&amp;"")=0,0,IF(COUNTIFS(Base!$A$7:$A$1006,A944)&gt;1,1,0))</f>
        <v>0</v>
      </c>
      <c r="N944" s="1" t="n">
        <f aca="false">IF(LEN(A944&amp;"")=0,0,IF(ABS(L944)&gt;0.005,1,0))</f>
        <v>0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customFormat="false" ht="23" hidden="false" customHeight="true" outlineLevel="0" collapsed="false">
      <c r="A945" s="1" t="str">
        <f aca="false">IF(LEN(Base!A945&amp;"")=0,"",Base!A945)</f>
        <v/>
      </c>
      <c r="B945" s="60" t="str">
        <f aca="false">IF(LEN(A945&amp;"")=0,"",Base!D945)</f>
        <v/>
      </c>
      <c r="C945" s="1" t="str">
        <f aca="false">IF(LEN(A945&amp;"")=0,"",Base!C945)</f>
        <v/>
      </c>
      <c r="D945" s="1" t="str">
        <f aca="false">IF(LEN(A945&amp;"")=0,"",Base!G945)</f>
        <v/>
      </c>
      <c r="E945" s="1" t="str">
        <f aca="false">IF(LEN(A945&amp;"")=0,"",Base!E945)</f>
        <v/>
      </c>
      <c r="F945" s="61" t="str">
        <f aca="false">IF(LEN(A945&amp;"")=0,"",IF(Base!I945="-",0,Base!I945))</f>
        <v/>
      </c>
      <c r="G945" s="61" t="str">
        <f aca="false">IF(LEN(A945&amp;"")=0,"",SUM(Base!F945,F945,Base!K945))</f>
        <v/>
      </c>
      <c r="H945" s="61" t="str">
        <f aca="false">IF(LEN(A945&amp;"")=0,"",Base!L945)</f>
        <v/>
      </c>
      <c r="I945" s="61" t="str">
        <f aca="false">IF(LEN(A945&amp;"")=0,"",G945-H945)</f>
        <v/>
      </c>
      <c r="J945" s="61" t="str">
        <f aca="false">IF(LEN(A945&amp;"")=0,"",Base!M945)</f>
        <v/>
      </c>
      <c r="K945" s="1" t="n">
        <f aca="false">IF(OR(LEN(A945&amp;"")=0,$P$3=0),0,IF(AND(B945&gt;=Painel!$B$8,B945&lt;=Painel!$G$8,OR(Painel!$L$8="Todos",C945=Painel!$L$8),OR(Painel!$Q$8="Todos",D945=Painel!$Q$8),OR(Painel!$V$8="Todas",E945=Painel!$V$8)),1,0))</f>
        <v>0</v>
      </c>
      <c r="L945" s="61" t="str">
        <f aca="false">IF(LEN(A945&amp;"")=0,"",J945-I945)</f>
        <v/>
      </c>
      <c r="M945" s="1" t="n">
        <f aca="false">IF(LEN(A945&amp;"")=0,0,IF(COUNTIFS(Base!$A$7:$A$1006,A945)&gt;1,1,0))</f>
        <v>0</v>
      </c>
      <c r="N945" s="1" t="n">
        <f aca="false">IF(LEN(A945&amp;"")=0,0,IF(ABS(L945)&gt;0.005,1,0))</f>
        <v>0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customFormat="false" ht="23" hidden="false" customHeight="true" outlineLevel="0" collapsed="false">
      <c r="A946" s="1" t="str">
        <f aca="false">IF(LEN(Base!A946&amp;"")=0,"",Base!A946)</f>
        <v/>
      </c>
      <c r="B946" s="60" t="str">
        <f aca="false">IF(LEN(A946&amp;"")=0,"",Base!D946)</f>
        <v/>
      </c>
      <c r="C946" s="1" t="str">
        <f aca="false">IF(LEN(A946&amp;"")=0,"",Base!C946)</f>
        <v/>
      </c>
      <c r="D946" s="1" t="str">
        <f aca="false">IF(LEN(A946&amp;"")=0,"",Base!G946)</f>
        <v/>
      </c>
      <c r="E946" s="1" t="str">
        <f aca="false">IF(LEN(A946&amp;"")=0,"",Base!E946)</f>
        <v/>
      </c>
      <c r="F946" s="61" t="str">
        <f aca="false">IF(LEN(A946&amp;"")=0,"",IF(Base!I946="-",0,Base!I946))</f>
        <v/>
      </c>
      <c r="G946" s="61" t="str">
        <f aca="false">IF(LEN(A946&amp;"")=0,"",SUM(Base!F946,F946,Base!K946))</f>
        <v/>
      </c>
      <c r="H946" s="61" t="str">
        <f aca="false">IF(LEN(A946&amp;"")=0,"",Base!L946)</f>
        <v/>
      </c>
      <c r="I946" s="61" t="str">
        <f aca="false">IF(LEN(A946&amp;"")=0,"",G946-H946)</f>
        <v/>
      </c>
      <c r="J946" s="61" t="str">
        <f aca="false">IF(LEN(A946&amp;"")=0,"",Base!M946)</f>
        <v/>
      </c>
      <c r="K946" s="1" t="n">
        <f aca="false">IF(OR(LEN(A946&amp;"")=0,$P$3=0),0,IF(AND(B946&gt;=Painel!$B$8,B946&lt;=Painel!$G$8,OR(Painel!$L$8="Todos",C946=Painel!$L$8),OR(Painel!$Q$8="Todos",D946=Painel!$Q$8),OR(Painel!$V$8="Todas",E946=Painel!$V$8)),1,0))</f>
        <v>0</v>
      </c>
      <c r="L946" s="61" t="str">
        <f aca="false">IF(LEN(A946&amp;"")=0,"",J946-I946)</f>
        <v/>
      </c>
      <c r="M946" s="1" t="n">
        <f aca="false">IF(LEN(A946&amp;"")=0,0,IF(COUNTIFS(Base!$A$7:$A$1006,A946)&gt;1,1,0))</f>
        <v>0</v>
      </c>
      <c r="N946" s="1" t="n">
        <f aca="false">IF(LEN(A946&amp;"")=0,0,IF(ABS(L946)&gt;0.005,1,0))</f>
        <v>0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customFormat="false" ht="23" hidden="false" customHeight="true" outlineLevel="0" collapsed="false">
      <c r="A947" s="1" t="str">
        <f aca="false">IF(LEN(Base!A947&amp;"")=0,"",Base!A947)</f>
        <v/>
      </c>
      <c r="B947" s="60" t="str">
        <f aca="false">IF(LEN(A947&amp;"")=0,"",Base!D947)</f>
        <v/>
      </c>
      <c r="C947" s="1" t="str">
        <f aca="false">IF(LEN(A947&amp;"")=0,"",Base!C947)</f>
        <v/>
      </c>
      <c r="D947" s="1" t="str">
        <f aca="false">IF(LEN(A947&amp;"")=0,"",Base!G947)</f>
        <v/>
      </c>
      <c r="E947" s="1" t="str">
        <f aca="false">IF(LEN(A947&amp;"")=0,"",Base!E947)</f>
        <v/>
      </c>
      <c r="F947" s="61" t="str">
        <f aca="false">IF(LEN(A947&amp;"")=0,"",IF(Base!I947="-",0,Base!I947))</f>
        <v/>
      </c>
      <c r="G947" s="61" t="str">
        <f aca="false">IF(LEN(A947&amp;"")=0,"",SUM(Base!F947,F947,Base!K947))</f>
        <v/>
      </c>
      <c r="H947" s="61" t="str">
        <f aca="false">IF(LEN(A947&amp;"")=0,"",Base!L947)</f>
        <v/>
      </c>
      <c r="I947" s="61" t="str">
        <f aca="false">IF(LEN(A947&amp;"")=0,"",G947-H947)</f>
        <v/>
      </c>
      <c r="J947" s="61" t="str">
        <f aca="false">IF(LEN(A947&amp;"")=0,"",Base!M947)</f>
        <v/>
      </c>
      <c r="K947" s="1" t="n">
        <f aca="false">IF(OR(LEN(A947&amp;"")=0,$P$3=0),0,IF(AND(B947&gt;=Painel!$B$8,B947&lt;=Painel!$G$8,OR(Painel!$L$8="Todos",C947=Painel!$L$8),OR(Painel!$Q$8="Todos",D947=Painel!$Q$8),OR(Painel!$V$8="Todas",E947=Painel!$V$8)),1,0))</f>
        <v>0</v>
      </c>
      <c r="L947" s="61" t="str">
        <f aca="false">IF(LEN(A947&amp;"")=0,"",J947-I947)</f>
        <v/>
      </c>
      <c r="M947" s="1" t="n">
        <f aca="false">IF(LEN(A947&amp;"")=0,0,IF(COUNTIFS(Base!$A$7:$A$1006,A947)&gt;1,1,0))</f>
        <v>0</v>
      </c>
      <c r="N947" s="1" t="n">
        <f aca="false">IF(LEN(A947&amp;"")=0,0,IF(ABS(L947)&gt;0.005,1,0))</f>
        <v>0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customFormat="false" ht="23" hidden="false" customHeight="true" outlineLevel="0" collapsed="false">
      <c r="A948" s="1" t="str">
        <f aca="false">IF(LEN(Base!A948&amp;"")=0,"",Base!A948)</f>
        <v/>
      </c>
      <c r="B948" s="60" t="str">
        <f aca="false">IF(LEN(A948&amp;"")=0,"",Base!D948)</f>
        <v/>
      </c>
      <c r="C948" s="1" t="str">
        <f aca="false">IF(LEN(A948&amp;"")=0,"",Base!C948)</f>
        <v/>
      </c>
      <c r="D948" s="1" t="str">
        <f aca="false">IF(LEN(A948&amp;"")=0,"",Base!G948)</f>
        <v/>
      </c>
      <c r="E948" s="1" t="str">
        <f aca="false">IF(LEN(A948&amp;"")=0,"",Base!E948)</f>
        <v/>
      </c>
      <c r="F948" s="61" t="str">
        <f aca="false">IF(LEN(A948&amp;"")=0,"",IF(Base!I948="-",0,Base!I948))</f>
        <v/>
      </c>
      <c r="G948" s="61" t="str">
        <f aca="false">IF(LEN(A948&amp;"")=0,"",SUM(Base!F948,F948,Base!K948))</f>
        <v/>
      </c>
      <c r="H948" s="61" t="str">
        <f aca="false">IF(LEN(A948&amp;"")=0,"",Base!L948)</f>
        <v/>
      </c>
      <c r="I948" s="61" t="str">
        <f aca="false">IF(LEN(A948&amp;"")=0,"",G948-H948)</f>
        <v/>
      </c>
      <c r="J948" s="61" t="str">
        <f aca="false">IF(LEN(A948&amp;"")=0,"",Base!M948)</f>
        <v/>
      </c>
      <c r="K948" s="1" t="n">
        <f aca="false">IF(OR(LEN(A948&amp;"")=0,$P$3=0),0,IF(AND(B948&gt;=Painel!$B$8,B948&lt;=Painel!$G$8,OR(Painel!$L$8="Todos",C948=Painel!$L$8),OR(Painel!$Q$8="Todos",D948=Painel!$Q$8),OR(Painel!$V$8="Todas",E948=Painel!$V$8)),1,0))</f>
        <v>0</v>
      </c>
      <c r="L948" s="61" t="str">
        <f aca="false">IF(LEN(A948&amp;"")=0,"",J948-I948)</f>
        <v/>
      </c>
      <c r="M948" s="1" t="n">
        <f aca="false">IF(LEN(A948&amp;"")=0,0,IF(COUNTIFS(Base!$A$7:$A$1006,A948)&gt;1,1,0))</f>
        <v>0</v>
      </c>
      <c r="N948" s="1" t="n">
        <f aca="false">IF(LEN(A948&amp;"")=0,0,IF(ABS(L948)&gt;0.005,1,0))</f>
        <v>0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customFormat="false" ht="23" hidden="false" customHeight="true" outlineLevel="0" collapsed="false">
      <c r="A949" s="1" t="str">
        <f aca="false">IF(LEN(Base!A949&amp;"")=0,"",Base!A949)</f>
        <v/>
      </c>
      <c r="B949" s="60" t="str">
        <f aca="false">IF(LEN(A949&amp;"")=0,"",Base!D949)</f>
        <v/>
      </c>
      <c r="C949" s="1" t="str">
        <f aca="false">IF(LEN(A949&amp;"")=0,"",Base!C949)</f>
        <v/>
      </c>
      <c r="D949" s="1" t="str">
        <f aca="false">IF(LEN(A949&amp;"")=0,"",Base!G949)</f>
        <v/>
      </c>
      <c r="E949" s="1" t="str">
        <f aca="false">IF(LEN(A949&amp;"")=0,"",Base!E949)</f>
        <v/>
      </c>
      <c r="F949" s="61" t="str">
        <f aca="false">IF(LEN(A949&amp;"")=0,"",IF(Base!I949="-",0,Base!I949))</f>
        <v/>
      </c>
      <c r="G949" s="61" t="str">
        <f aca="false">IF(LEN(A949&amp;"")=0,"",SUM(Base!F949,F949,Base!K949))</f>
        <v/>
      </c>
      <c r="H949" s="61" t="str">
        <f aca="false">IF(LEN(A949&amp;"")=0,"",Base!L949)</f>
        <v/>
      </c>
      <c r="I949" s="61" t="str">
        <f aca="false">IF(LEN(A949&amp;"")=0,"",G949-H949)</f>
        <v/>
      </c>
      <c r="J949" s="61" t="str">
        <f aca="false">IF(LEN(A949&amp;"")=0,"",Base!M949)</f>
        <v/>
      </c>
      <c r="K949" s="1" t="n">
        <f aca="false">IF(OR(LEN(A949&amp;"")=0,$P$3=0),0,IF(AND(B949&gt;=Painel!$B$8,B949&lt;=Painel!$G$8,OR(Painel!$L$8="Todos",C949=Painel!$L$8),OR(Painel!$Q$8="Todos",D949=Painel!$Q$8),OR(Painel!$V$8="Todas",E949=Painel!$V$8)),1,0))</f>
        <v>0</v>
      </c>
      <c r="L949" s="61" t="str">
        <f aca="false">IF(LEN(A949&amp;"")=0,"",J949-I949)</f>
        <v/>
      </c>
      <c r="M949" s="1" t="n">
        <f aca="false">IF(LEN(A949&amp;"")=0,0,IF(COUNTIFS(Base!$A$7:$A$1006,A949)&gt;1,1,0))</f>
        <v>0</v>
      </c>
      <c r="N949" s="1" t="n">
        <f aca="false">IF(LEN(A949&amp;"")=0,0,IF(ABS(L949)&gt;0.005,1,0))</f>
        <v>0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customFormat="false" ht="23" hidden="false" customHeight="true" outlineLevel="0" collapsed="false">
      <c r="A950" s="1" t="str">
        <f aca="false">IF(LEN(Base!A950&amp;"")=0,"",Base!A950)</f>
        <v/>
      </c>
      <c r="B950" s="60" t="str">
        <f aca="false">IF(LEN(A950&amp;"")=0,"",Base!D950)</f>
        <v/>
      </c>
      <c r="C950" s="1" t="str">
        <f aca="false">IF(LEN(A950&amp;"")=0,"",Base!C950)</f>
        <v/>
      </c>
      <c r="D950" s="1" t="str">
        <f aca="false">IF(LEN(A950&amp;"")=0,"",Base!G950)</f>
        <v/>
      </c>
      <c r="E950" s="1" t="str">
        <f aca="false">IF(LEN(A950&amp;"")=0,"",Base!E950)</f>
        <v/>
      </c>
      <c r="F950" s="61" t="str">
        <f aca="false">IF(LEN(A950&amp;"")=0,"",IF(Base!I950="-",0,Base!I950))</f>
        <v/>
      </c>
      <c r="G950" s="61" t="str">
        <f aca="false">IF(LEN(A950&amp;"")=0,"",SUM(Base!F950,F950,Base!K950))</f>
        <v/>
      </c>
      <c r="H950" s="61" t="str">
        <f aca="false">IF(LEN(A950&amp;"")=0,"",Base!L950)</f>
        <v/>
      </c>
      <c r="I950" s="61" t="str">
        <f aca="false">IF(LEN(A950&amp;"")=0,"",G950-H950)</f>
        <v/>
      </c>
      <c r="J950" s="61" t="str">
        <f aca="false">IF(LEN(A950&amp;"")=0,"",Base!M950)</f>
        <v/>
      </c>
      <c r="K950" s="1" t="n">
        <f aca="false">IF(OR(LEN(A950&amp;"")=0,$P$3=0),0,IF(AND(B950&gt;=Painel!$B$8,B950&lt;=Painel!$G$8,OR(Painel!$L$8="Todos",C950=Painel!$L$8),OR(Painel!$Q$8="Todos",D950=Painel!$Q$8),OR(Painel!$V$8="Todas",E950=Painel!$V$8)),1,0))</f>
        <v>0</v>
      </c>
      <c r="L950" s="61" t="str">
        <f aca="false">IF(LEN(A950&amp;"")=0,"",J950-I950)</f>
        <v/>
      </c>
      <c r="M950" s="1" t="n">
        <f aca="false">IF(LEN(A950&amp;"")=0,0,IF(COUNTIFS(Base!$A$7:$A$1006,A950)&gt;1,1,0))</f>
        <v>0</v>
      </c>
      <c r="N950" s="1" t="n">
        <f aca="false">IF(LEN(A950&amp;"")=0,0,IF(ABS(L950)&gt;0.005,1,0))</f>
        <v>0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customFormat="false" ht="23" hidden="false" customHeight="true" outlineLevel="0" collapsed="false">
      <c r="A951" s="1" t="str">
        <f aca="false">IF(LEN(Base!A951&amp;"")=0,"",Base!A951)</f>
        <v/>
      </c>
      <c r="B951" s="60" t="str">
        <f aca="false">IF(LEN(A951&amp;"")=0,"",Base!D951)</f>
        <v/>
      </c>
      <c r="C951" s="1" t="str">
        <f aca="false">IF(LEN(A951&amp;"")=0,"",Base!C951)</f>
        <v/>
      </c>
      <c r="D951" s="1" t="str">
        <f aca="false">IF(LEN(A951&amp;"")=0,"",Base!G951)</f>
        <v/>
      </c>
      <c r="E951" s="1" t="str">
        <f aca="false">IF(LEN(A951&amp;"")=0,"",Base!E951)</f>
        <v/>
      </c>
      <c r="F951" s="61" t="str">
        <f aca="false">IF(LEN(A951&amp;"")=0,"",IF(Base!I951="-",0,Base!I951))</f>
        <v/>
      </c>
      <c r="G951" s="61" t="str">
        <f aca="false">IF(LEN(A951&amp;"")=0,"",SUM(Base!F951,F951,Base!K951))</f>
        <v/>
      </c>
      <c r="H951" s="61" t="str">
        <f aca="false">IF(LEN(A951&amp;"")=0,"",Base!L951)</f>
        <v/>
      </c>
      <c r="I951" s="61" t="str">
        <f aca="false">IF(LEN(A951&amp;"")=0,"",G951-H951)</f>
        <v/>
      </c>
      <c r="J951" s="61" t="str">
        <f aca="false">IF(LEN(A951&amp;"")=0,"",Base!M951)</f>
        <v/>
      </c>
      <c r="K951" s="1" t="n">
        <f aca="false">IF(OR(LEN(A951&amp;"")=0,$P$3=0),0,IF(AND(B951&gt;=Painel!$B$8,B951&lt;=Painel!$G$8,OR(Painel!$L$8="Todos",C951=Painel!$L$8),OR(Painel!$Q$8="Todos",D951=Painel!$Q$8),OR(Painel!$V$8="Todas",E951=Painel!$V$8)),1,0))</f>
        <v>0</v>
      </c>
      <c r="L951" s="61" t="str">
        <f aca="false">IF(LEN(A951&amp;"")=0,"",J951-I951)</f>
        <v/>
      </c>
      <c r="M951" s="1" t="n">
        <f aca="false">IF(LEN(A951&amp;"")=0,0,IF(COUNTIFS(Base!$A$7:$A$1006,A951)&gt;1,1,0))</f>
        <v>0</v>
      </c>
      <c r="N951" s="1" t="n">
        <f aca="false">IF(LEN(A951&amp;"")=0,0,IF(ABS(L951)&gt;0.005,1,0))</f>
        <v>0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customFormat="false" ht="23" hidden="false" customHeight="true" outlineLevel="0" collapsed="false">
      <c r="A952" s="1" t="str">
        <f aca="false">IF(LEN(Base!A952&amp;"")=0,"",Base!A952)</f>
        <v/>
      </c>
      <c r="B952" s="60" t="str">
        <f aca="false">IF(LEN(A952&amp;"")=0,"",Base!D952)</f>
        <v/>
      </c>
      <c r="C952" s="1" t="str">
        <f aca="false">IF(LEN(A952&amp;"")=0,"",Base!C952)</f>
        <v/>
      </c>
      <c r="D952" s="1" t="str">
        <f aca="false">IF(LEN(A952&amp;"")=0,"",Base!G952)</f>
        <v/>
      </c>
      <c r="E952" s="1" t="str">
        <f aca="false">IF(LEN(A952&amp;"")=0,"",Base!E952)</f>
        <v/>
      </c>
      <c r="F952" s="61" t="str">
        <f aca="false">IF(LEN(A952&amp;"")=0,"",IF(Base!I952="-",0,Base!I952))</f>
        <v/>
      </c>
      <c r="G952" s="61" t="str">
        <f aca="false">IF(LEN(A952&amp;"")=0,"",SUM(Base!F952,F952,Base!K952))</f>
        <v/>
      </c>
      <c r="H952" s="61" t="str">
        <f aca="false">IF(LEN(A952&amp;"")=0,"",Base!L952)</f>
        <v/>
      </c>
      <c r="I952" s="61" t="str">
        <f aca="false">IF(LEN(A952&amp;"")=0,"",G952-H952)</f>
        <v/>
      </c>
      <c r="J952" s="61" t="str">
        <f aca="false">IF(LEN(A952&amp;"")=0,"",Base!M952)</f>
        <v/>
      </c>
      <c r="K952" s="1" t="n">
        <f aca="false">IF(OR(LEN(A952&amp;"")=0,$P$3=0),0,IF(AND(B952&gt;=Painel!$B$8,B952&lt;=Painel!$G$8,OR(Painel!$L$8="Todos",C952=Painel!$L$8),OR(Painel!$Q$8="Todos",D952=Painel!$Q$8),OR(Painel!$V$8="Todas",E952=Painel!$V$8)),1,0))</f>
        <v>0</v>
      </c>
      <c r="L952" s="61" t="str">
        <f aca="false">IF(LEN(A952&amp;"")=0,"",J952-I952)</f>
        <v/>
      </c>
      <c r="M952" s="1" t="n">
        <f aca="false">IF(LEN(A952&amp;"")=0,0,IF(COUNTIFS(Base!$A$7:$A$1006,A952)&gt;1,1,0))</f>
        <v>0</v>
      </c>
      <c r="N952" s="1" t="n">
        <f aca="false">IF(LEN(A952&amp;"")=0,0,IF(ABS(L952)&gt;0.005,1,0))</f>
        <v>0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customFormat="false" ht="23" hidden="false" customHeight="true" outlineLevel="0" collapsed="false">
      <c r="A953" s="1" t="str">
        <f aca="false">IF(LEN(Base!A953&amp;"")=0,"",Base!A953)</f>
        <v/>
      </c>
      <c r="B953" s="60" t="str">
        <f aca="false">IF(LEN(A953&amp;"")=0,"",Base!D953)</f>
        <v/>
      </c>
      <c r="C953" s="1" t="str">
        <f aca="false">IF(LEN(A953&amp;"")=0,"",Base!C953)</f>
        <v/>
      </c>
      <c r="D953" s="1" t="str">
        <f aca="false">IF(LEN(A953&amp;"")=0,"",Base!G953)</f>
        <v/>
      </c>
      <c r="E953" s="1" t="str">
        <f aca="false">IF(LEN(A953&amp;"")=0,"",Base!E953)</f>
        <v/>
      </c>
      <c r="F953" s="61" t="str">
        <f aca="false">IF(LEN(A953&amp;"")=0,"",IF(Base!I953="-",0,Base!I953))</f>
        <v/>
      </c>
      <c r="G953" s="61" t="str">
        <f aca="false">IF(LEN(A953&amp;"")=0,"",SUM(Base!F953,F953,Base!K953))</f>
        <v/>
      </c>
      <c r="H953" s="61" t="str">
        <f aca="false">IF(LEN(A953&amp;"")=0,"",Base!L953)</f>
        <v/>
      </c>
      <c r="I953" s="61" t="str">
        <f aca="false">IF(LEN(A953&amp;"")=0,"",G953-H953)</f>
        <v/>
      </c>
      <c r="J953" s="61" t="str">
        <f aca="false">IF(LEN(A953&amp;"")=0,"",Base!M953)</f>
        <v/>
      </c>
      <c r="K953" s="1" t="n">
        <f aca="false">IF(OR(LEN(A953&amp;"")=0,$P$3=0),0,IF(AND(B953&gt;=Painel!$B$8,B953&lt;=Painel!$G$8,OR(Painel!$L$8="Todos",C953=Painel!$L$8),OR(Painel!$Q$8="Todos",D953=Painel!$Q$8),OR(Painel!$V$8="Todas",E953=Painel!$V$8)),1,0))</f>
        <v>0</v>
      </c>
      <c r="L953" s="61" t="str">
        <f aca="false">IF(LEN(A953&amp;"")=0,"",J953-I953)</f>
        <v/>
      </c>
      <c r="M953" s="1" t="n">
        <f aca="false">IF(LEN(A953&amp;"")=0,0,IF(COUNTIFS(Base!$A$7:$A$1006,A953)&gt;1,1,0))</f>
        <v>0</v>
      </c>
      <c r="N953" s="1" t="n">
        <f aca="false">IF(LEN(A953&amp;"")=0,0,IF(ABS(L953)&gt;0.005,1,0))</f>
        <v>0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customFormat="false" ht="23" hidden="false" customHeight="true" outlineLevel="0" collapsed="false">
      <c r="A954" s="1" t="str">
        <f aca="false">IF(LEN(Base!A954&amp;"")=0,"",Base!A954)</f>
        <v/>
      </c>
      <c r="B954" s="60" t="str">
        <f aca="false">IF(LEN(A954&amp;"")=0,"",Base!D954)</f>
        <v/>
      </c>
      <c r="C954" s="1" t="str">
        <f aca="false">IF(LEN(A954&amp;"")=0,"",Base!C954)</f>
        <v/>
      </c>
      <c r="D954" s="1" t="str">
        <f aca="false">IF(LEN(A954&amp;"")=0,"",Base!G954)</f>
        <v/>
      </c>
      <c r="E954" s="1" t="str">
        <f aca="false">IF(LEN(A954&amp;"")=0,"",Base!E954)</f>
        <v/>
      </c>
      <c r="F954" s="61" t="str">
        <f aca="false">IF(LEN(A954&amp;"")=0,"",IF(Base!I954="-",0,Base!I954))</f>
        <v/>
      </c>
      <c r="G954" s="61" t="str">
        <f aca="false">IF(LEN(A954&amp;"")=0,"",SUM(Base!F954,F954,Base!K954))</f>
        <v/>
      </c>
      <c r="H954" s="61" t="str">
        <f aca="false">IF(LEN(A954&amp;"")=0,"",Base!L954)</f>
        <v/>
      </c>
      <c r="I954" s="61" t="str">
        <f aca="false">IF(LEN(A954&amp;"")=0,"",G954-H954)</f>
        <v/>
      </c>
      <c r="J954" s="61" t="str">
        <f aca="false">IF(LEN(A954&amp;"")=0,"",Base!M954)</f>
        <v/>
      </c>
      <c r="K954" s="1" t="n">
        <f aca="false">IF(OR(LEN(A954&amp;"")=0,$P$3=0),0,IF(AND(B954&gt;=Painel!$B$8,B954&lt;=Painel!$G$8,OR(Painel!$L$8="Todos",C954=Painel!$L$8),OR(Painel!$Q$8="Todos",D954=Painel!$Q$8),OR(Painel!$V$8="Todas",E954=Painel!$V$8)),1,0))</f>
        <v>0</v>
      </c>
      <c r="L954" s="61" t="str">
        <f aca="false">IF(LEN(A954&amp;"")=0,"",J954-I954)</f>
        <v/>
      </c>
      <c r="M954" s="1" t="n">
        <f aca="false">IF(LEN(A954&amp;"")=0,0,IF(COUNTIFS(Base!$A$7:$A$1006,A954)&gt;1,1,0))</f>
        <v>0</v>
      </c>
      <c r="N954" s="1" t="n">
        <f aca="false">IF(LEN(A954&amp;"")=0,0,IF(ABS(L954)&gt;0.005,1,0))</f>
        <v>0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customFormat="false" ht="23" hidden="false" customHeight="true" outlineLevel="0" collapsed="false">
      <c r="A955" s="1" t="str">
        <f aca="false">IF(LEN(Base!A955&amp;"")=0,"",Base!A955)</f>
        <v/>
      </c>
      <c r="B955" s="60" t="str">
        <f aca="false">IF(LEN(A955&amp;"")=0,"",Base!D955)</f>
        <v/>
      </c>
      <c r="C955" s="1" t="str">
        <f aca="false">IF(LEN(A955&amp;"")=0,"",Base!C955)</f>
        <v/>
      </c>
      <c r="D955" s="1" t="str">
        <f aca="false">IF(LEN(A955&amp;"")=0,"",Base!G955)</f>
        <v/>
      </c>
      <c r="E955" s="1" t="str">
        <f aca="false">IF(LEN(A955&amp;"")=0,"",Base!E955)</f>
        <v/>
      </c>
      <c r="F955" s="61" t="str">
        <f aca="false">IF(LEN(A955&amp;"")=0,"",IF(Base!I955="-",0,Base!I955))</f>
        <v/>
      </c>
      <c r="G955" s="61" t="str">
        <f aca="false">IF(LEN(A955&amp;"")=0,"",SUM(Base!F955,F955,Base!K955))</f>
        <v/>
      </c>
      <c r="H955" s="61" t="str">
        <f aca="false">IF(LEN(A955&amp;"")=0,"",Base!L955)</f>
        <v/>
      </c>
      <c r="I955" s="61" t="str">
        <f aca="false">IF(LEN(A955&amp;"")=0,"",G955-H955)</f>
        <v/>
      </c>
      <c r="J955" s="61" t="str">
        <f aca="false">IF(LEN(A955&amp;"")=0,"",Base!M955)</f>
        <v/>
      </c>
      <c r="K955" s="1" t="n">
        <f aca="false">IF(OR(LEN(A955&amp;"")=0,$P$3=0),0,IF(AND(B955&gt;=Painel!$B$8,B955&lt;=Painel!$G$8,OR(Painel!$L$8="Todos",C955=Painel!$L$8),OR(Painel!$Q$8="Todos",D955=Painel!$Q$8),OR(Painel!$V$8="Todas",E955=Painel!$V$8)),1,0))</f>
        <v>0</v>
      </c>
      <c r="L955" s="61" t="str">
        <f aca="false">IF(LEN(A955&amp;"")=0,"",J955-I955)</f>
        <v/>
      </c>
      <c r="M955" s="1" t="n">
        <f aca="false">IF(LEN(A955&amp;"")=0,0,IF(COUNTIFS(Base!$A$7:$A$1006,A955)&gt;1,1,0))</f>
        <v>0</v>
      </c>
      <c r="N955" s="1" t="n">
        <f aca="false">IF(LEN(A955&amp;"")=0,0,IF(ABS(L955)&gt;0.005,1,0))</f>
        <v>0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customFormat="false" ht="23" hidden="false" customHeight="true" outlineLevel="0" collapsed="false">
      <c r="A956" s="1" t="str">
        <f aca="false">IF(LEN(Base!A956&amp;"")=0,"",Base!A956)</f>
        <v/>
      </c>
      <c r="B956" s="60" t="str">
        <f aca="false">IF(LEN(A956&amp;"")=0,"",Base!D956)</f>
        <v/>
      </c>
      <c r="C956" s="1" t="str">
        <f aca="false">IF(LEN(A956&amp;"")=0,"",Base!C956)</f>
        <v/>
      </c>
      <c r="D956" s="1" t="str">
        <f aca="false">IF(LEN(A956&amp;"")=0,"",Base!G956)</f>
        <v/>
      </c>
      <c r="E956" s="1" t="str">
        <f aca="false">IF(LEN(A956&amp;"")=0,"",Base!E956)</f>
        <v/>
      </c>
      <c r="F956" s="61" t="str">
        <f aca="false">IF(LEN(A956&amp;"")=0,"",IF(Base!I956="-",0,Base!I956))</f>
        <v/>
      </c>
      <c r="G956" s="61" t="str">
        <f aca="false">IF(LEN(A956&amp;"")=0,"",SUM(Base!F956,F956,Base!K956))</f>
        <v/>
      </c>
      <c r="H956" s="61" t="str">
        <f aca="false">IF(LEN(A956&amp;"")=0,"",Base!L956)</f>
        <v/>
      </c>
      <c r="I956" s="61" t="str">
        <f aca="false">IF(LEN(A956&amp;"")=0,"",G956-H956)</f>
        <v/>
      </c>
      <c r="J956" s="61" t="str">
        <f aca="false">IF(LEN(A956&amp;"")=0,"",Base!M956)</f>
        <v/>
      </c>
      <c r="K956" s="1" t="n">
        <f aca="false">IF(OR(LEN(A956&amp;"")=0,$P$3=0),0,IF(AND(B956&gt;=Painel!$B$8,B956&lt;=Painel!$G$8,OR(Painel!$L$8="Todos",C956=Painel!$L$8),OR(Painel!$Q$8="Todos",D956=Painel!$Q$8),OR(Painel!$V$8="Todas",E956=Painel!$V$8)),1,0))</f>
        <v>0</v>
      </c>
      <c r="L956" s="61" t="str">
        <f aca="false">IF(LEN(A956&amp;"")=0,"",J956-I956)</f>
        <v/>
      </c>
      <c r="M956" s="1" t="n">
        <f aca="false">IF(LEN(A956&amp;"")=0,0,IF(COUNTIFS(Base!$A$7:$A$1006,A956)&gt;1,1,0))</f>
        <v>0</v>
      </c>
      <c r="N956" s="1" t="n">
        <f aca="false">IF(LEN(A956&amp;"")=0,0,IF(ABS(L956)&gt;0.005,1,0))</f>
        <v>0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customFormat="false" ht="23" hidden="false" customHeight="true" outlineLevel="0" collapsed="false">
      <c r="A957" s="1" t="str">
        <f aca="false">IF(LEN(Base!A957&amp;"")=0,"",Base!A957)</f>
        <v/>
      </c>
      <c r="B957" s="60" t="str">
        <f aca="false">IF(LEN(A957&amp;"")=0,"",Base!D957)</f>
        <v/>
      </c>
      <c r="C957" s="1" t="str">
        <f aca="false">IF(LEN(A957&amp;"")=0,"",Base!C957)</f>
        <v/>
      </c>
      <c r="D957" s="1" t="str">
        <f aca="false">IF(LEN(A957&amp;"")=0,"",Base!G957)</f>
        <v/>
      </c>
      <c r="E957" s="1" t="str">
        <f aca="false">IF(LEN(A957&amp;"")=0,"",Base!E957)</f>
        <v/>
      </c>
      <c r="F957" s="61" t="str">
        <f aca="false">IF(LEN(A957&amp;"")=0,"",IF(Base!I957="-",0,Base!I957))</f>
        <v/>
      </c>
      <c r="G957" s="61" t="str">
        <f aca="false">IF(LEN(A957&amp;"")=0,"",SUM(Base!F957,F957,Base!K957))</f>
        <v/>
      </c>
      <c r="H957" s="61" t="str">
        <f aca="false">IF(LEN(A957&amp;"")=0,"",Base!L957)</f>
        <v/>
      </c>
      <c r="I957" s="61" t="str">
        <f aca="false">IF(LEN(A957&amp;"")=0,"",G957-H957)</f>
        <v/>
      </c>
      <c r="J957" s="61" t="str">
        <f aca="false">IF(LEN(A957&amp;"")=0,"",Base!M957)</f>
        <v/>
      </c>
      <c r="K957" s="1" t="n">
        <f aca="false">IF(OR(LEN(A957&amp;"")=0,$P$3=0),0,IF(AND(B957&gt;=Painel!$B$8,B957&lt;=Painel!$G$8,OR(Painel!$L$8="Todos",C957=Painel!$L$8),OR(Painel!$Q$8="Todos",D957=Painel!$Q$8),OR(Painel!$V$8="Todas",E957=Painel!$V$8)),1,0))</f>
        <v>0</v>
      </c>
      <c r="L957" s="61" t="str">
        <f aca="false">IF(LEN(A957&amp;"")=0,"",J957-I957)</f>
        <v/>
      </c>
      <c r="M957" s="1" t="n">
        <f aca="false">IF(LEN(A957&amp;"")=0,0,IF(COUNTIFS(Base!$A$7:$A$1006,A957)&gt;1,1,0))</f>
        <v>0</v>
      </c>
      <c r="N957" s="1" t="n">
        <f aca="false">IF(LEN(A957&amp;"")=0,0,IF(ABS(L957)&gt;0.005,1,0))</f>
        <v>0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customFormat="false" ht="23" hidden="false" customHeight="true" outlineLevel="0" collapsed="false">
      <c r="A958" s="1" t="str">
        <f aca="false">IF(LEN(Base!A958&amp;"")=0,"",Base!A958)</f>
        <v/>
      </c>
      <c r="B958" s="60" t="str">
        <f aca="false">IF(LEN(A958&amp;"")=0,"",Base!D958)</f>
        <v/>
      </c>
      <c r="C958" s="1" t="str">
        <f aca="false">IF(LEN(A958&amp;"")=0,"",Base!C958)</f>
        <v/>
      </c>
      <c r="D958" s="1" t="str">
        <f aca="false">IF(LEN(A958&amp;"")=0,"",Base!G958)</f>
        <v/>
      </c>
      <c r="E958" s="1" t="str">
        <f aca="false">IF(LEN(A958&amp;"")=0,"",Base!E958)</f>
        <v/>
      </c>
      <c r="F958" s="61" t="str">
        <f aca="false">IF(LEN(A958&amp;"")=0,"",IF(Base!I958="-",0,Base!I958))</f>
        <v/>
      </c>
      <c r="G958" s="61" t="str">
        <f aca="false">IF(LEN(A958&amp;"")=0,"",SUM(Base!F958,F958,Base!K958))</f>
        <v/>
      </c>
      <c r="H958" s="61" t="str">
        <f aca="false">IF(LEN(A958&amp;"")=0,"",Base!L958)</f>
        <v/>
      </c>
      <c r="I958" s="61" t="str">
        <f aca="false">IF(LEN(A958&amp;"")=0,"",G958-H958)</f>
        <v/>
      </c>
      <c r="J958" s="61" t="str">
        <f aca="false">IF(LEN(A958&amp;"")=0,"",Base!M958)</f>
        <v/>
      </c>
      <c r="K958" s="1" t="n">
        <f aca="false">IF(OR(LEN(A958&amp;"")=0,$P$3=0),0,IF(AND(B958&gt;=Painel!$B$8,B958&lt;=Painel!$G$8,OR(Painel!$L$8="Todos",C958=Painel!$L$8),OR(Painel!$Q$8="Todos",D958=Painel!$Q$8),OR(Painel!$V$8="Todas",E958=Painel!$V$8)),1,0))</f>
        <v>0</v>
      </c>
      <c r="L958" s="61" t="str">
        <f aca="false">IF(LEN(A958&amp;"")=0,"",J958-I958)</f>
        <v/>
      </c>
      <c r="M958" s="1" t="n">
        <f aca="false">IF(LEN(A958&amp;"")=0,0,IF(COUNTIFS(Base!$A$7:$A$1006,A958)&gt;1,1,0))</f>
        <v>0</v>
      </c>
      <c r="N958" s="1" t="n">
        <f aca="false">IF(LEN(A958&amp;"")=0,0,IF(ABS(L958)&gt;0.005,1,0))</f>
        <v>0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customFormat="false" ht="23" hidden="false" customHeight="true" outlineLevel="0" collapsed="false">
      <c r="A959" s="1" t="str">
        <f aca="false">IF(LEN(Base!A959&amp;"")=0,"",Base!A959)</f>
        <v/>
      </c>
      <c r="B959" s="60" t="str">
        <f aca="false">IF(LEN(A959&amp;"")=0,"",Base!D959)</f>
        <v/>
      </c>
      <c r="C959" s="1" t="str">
        <f aca="false">IF(LEN(A959&amp;"")=0,"",Base!C959)</f>
        <v/>
      </c>
      <c r="D959" s="1" t="str">
        <f aca="false">IF(LEN(A959&amp;"")=0,"",Base!G959)</f>
        <v/>
      </c>
      <c r="E959" s="1" t="str">
        <f aca="false">IF(LEN(A959&amp;"")=0,"",Base!E959)</f>
        <v/>
      </c>
      <c r="F959" s="61" t="str">
        <f aca="false">IF(LEN(A959&amp;"")=0,"",IF(Base!I959="-",0,Base!I959))</f>
        <v/>
      </c>
      <c r="G959" s="61" t="str">
        <f aca="false">IF(LEN(A959&amp;"")=0,"",SUM(Base!F959,F959,Base!K959))</f>
        <v/>
      </c>
      <c r="H959" s="61" t="str">
        <f aca="false">IF(LEN(A959&amp;"")=0,"",Base!L959)</f>
        <v/>
      </c>
      <c r="I959" s="61" t="str">
        <f aca="false">IF(LEN(A959&amp;"")=0,"",G959-H959)</f>
        <v/>
      </c>
      <c r="J959" s="61" t="str">
        <f aca="false">IF(LEN(A959&amp;"")=0,"",Base!M959)</f>
        <v/>
      </c>
      <c r="K959" s="1" t="n">
        <f aca="false">IF(OR(LEN(A959&amp;"")=0,$P$3=0),0,IF(AND(B959&gt;=Painel!$B$8,B959&lt;=Painel!$G$8,OR(Painel!$L$8="Todos",C959=Painel!$L$8),OR(Painel!$Q$8="Todos",D959=Painel!$Q$8),OR(Painel!$V$8="Todas",E959=Painel!$V$8)),1,0))</f>
        <v>0</v>
      </c>
      <c r="L959" s="61" t="str">
        <f aca="false">IF(LEN(A959&amp;"")=0,"",J959-I959)</f>
        <v/>
      </c>
      <c r="M959" s="1" t="n">
        <f aca="false">IF(LEN(A959&amp;"")=0,0,IF(COUNTIFS(Base!$A$7:$A$1006,A959)&gt;1,1,0))</f>
        <v>0</v>
      </c>
      <c r="N959" s="1" t="n">
        <f aca="false">IF(LEN(A959&amp;"")=0,0,IF(ABS(L959)&gt;0.005,1,0))</f>
        <v>0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customFormat="false" ht="23" hidden="false" customHeight="true" outlineLevel="0" collapsed="false">
      <c r="A960" s="1" t="str">
        <f aca="false">IF(LEN(Base!A960&amp;"")=0,"",Base!A960)</f>
        <v/>
      </c>
      <c r="B960" s="60" t="str">
        <f aca="false">IF(LEN(A960&amp;"")=0,"",Base!D960)</f>
        <v/>
      </c>
      <c r="C960" s="1" t="str">
        <f aca="false">IF(LEN(A960&amp;"")=0,"",Base!C960)</f>
        <v/>
      </c>
      <c r="D960" s="1" t="str">
        <f aca="false">IF(LEN(A960&amp;"")=0,"",Base!G960)</f>
        <v/>
      </c>
      <c r="E960" s="1" t="str">
        <f aca="false">IF(LEN(A960&amp;"")=0,"",Base!E960)</f>
        <v/>
      </c>
      <c r="F960" s="61" t="str">
        <f aca="false">IF(LEN(A960&amp;"")=0,"",IF(Base!I960="-",0,Base!I960))</f>
        <v/>
      </c>
      <c r="G960" s="61" t="str">
        <f aca="false">IF(LEN(A960&amp;"")=0,"",SUM(Base!F960,F960,Base!K960))</f>
        <v/>
      </c>
      <c r="H960" s="61" t="str">
        <f aca="false">IF(LEN(A960&amp;"")=0,"",Base!L960)</f>
        <v/>
      </c>
      <c r="I960" s="61" t="str">
        <f aca="false">IF(LEN(A960&amp;"")=0,"",G960-H960)</f>
        <v/>
      </c>
      <c r="J960" s="61" t="str">
        <f aca="false">IF(LEN(A960&amp;"")=0,"",Base!M960)</f>
        <v/>
      </c>
      <c r="K960" s="1" t="n">
        <f aca="false">IF(OR(LEN(A960&amp;"")=0,$P$3=0),0,IF(AND(B960&gt;=Painel!$B$8,B960&lt;=Painel!$G$8,OR(Painel!$L$8="Todos",C960=Painel!$L$8),OR(Painel!$Q$8="Todos",D960=Painel!$Q$8),OR(Painel!$V$8="Todas",E960=Painel!$V$8)),1,0))</f>
        <v>0</v>
      </c>
      <c r="L960" s="61" t="str">
        <f aca="false">IF(LEN(A960&amp;"")=0,"",J960-I960)</f>
        <v/>
      </c>
      <c r="M960" s="1" t="n">
        <f aca="false">IF(LEN(A960&amp;"")=0,0,IF(COUNTIFS(Base!$A$7:$A$1006,A960)&gt;1,1,0))</f>
        <v>0</v>
      </c>
      <c r="N960" s="1" t="n">
        <f aca="false">IF(LEN(A960&amp;"")=0,0,IF(ABS(L960)&gt;0.005,1,0))</f>
        <v>0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customFormat="false" ht="23" hidden="false" customHeight="true" outlineLevel="0" collapsed="false">
      <c r="A961" s="1" t="str">
        <f aca="false">IF(LEN(Base!A961&amp;"")=0,"",Base!A961)</f>
        <v/>
      </c>
      <c r="B961" s="60" t="str">
        <f aca="false">IF(LEN(A961&amp;"")=0,"",Base!D961)</f>
        <v/>
      </c>
      <c r="C961" s="1" t="str">
        <f aca="false">IF(LEN(A961&amp;"")=0,"",Base!C961)</f>
        <v/>
      </c>
      <c r="D961" s="1" t="str">
        <f aca="false">IF(LEN(A961&amp;"")=0,"",Base!G961)</f>
        <v/>
      </c>
      <c r="E961" s="1" t="str">
        <f aca="false">IF(LEN(A961&amp;"")=0,"",Base!E961)</f>
        <v/>
      </c>
      <c r="F961" s="61" t="str">
        <f aca="false">IF(LEN(A961&amp;"")=0,"",IF(Base!I961="-",0,Base!I961))</f>
        <v/>
      </c>
      <c r="G961" s="61" t="str">
        <f aca="false">IF(LEN(A961&amp;"")=0,"",SUM(Base!F961,F961,Base!K961))</f>
        <v/>
      </c>
      <c r="H961" s="61" t="str">
        <f aca="false">IF(LEN(A961&amp;"")=0,"",Base!L961)</f>
        <v/>
      </c>
      <c r="I961" s="61" t="str">
        <f aca="false">IF(LEN(A961&amp;"")=0,"",G961-H961)</f>
        <v/>
      </c>
      <c r="J961" s="61" t="str">
        <f aca="false">IF(LEN(A961&amp;"")=0,"",Base!M961)</f>
        <v/>
      </c>
      <c r="K961" s="1" t="n">
        <f aca="false">IF(OR(LEN(A961&amp;"")=0,$P$3=0),0,IF(AND(B961&gt;=Painel!$B$8,B961&lt;=Painel!$G$8,OR(Painel!$L$8="Todos",C961=Painel!$L$8),OR(Painel!$Q$8="Todos",D961=Painel!$Q$8),OR(Painel!$V$8="Todas",E961=Painel!$V$8)),1,0))</f>
        <v>0</v>
      </c>
      <c r="L961" s="61" t="str">
        <f aca="false">IF(LEN(A961&amp;"")=0,"",J961-I961)</f>
        <v/>
      </c>
      <c r="M961" s="1" t="n">
        <f aca="false">IF(LEN(A961&amp;"")=0,0,IF(COUNTIFS(Base!$A$7:$A$1006,A961)&gt;1,1,0))</f>
        <v>0</v>
      </c>
      <c r="N961" s="1" t="n">
        <f aca="false">IF(LEN(A961&amp;"")=0,0,IF(ABS(L961)&gt;0.005,1,0))</f>
        <v>0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customFormat="false" ht="23" hidden="false" customHeight="true" outlineLevel="0" collapsed="false">
      <c r="A962" s="1" t="str">
        <f aca="false">IF(LEN(Base!A962&amp;"")=0,"",Base!A962)</f>
        <v/>
      </c>
      <c r="B962" s="60" t="str">
        <f aca="false">IF(LEN(A962&amp;"")=0,"",Base!D962)</f>
        <v/>
      </c>
      <c r="C962" s="1" t="str">
        <f aca="false">IF(LEN(A962&amp;"")=0,"",Base!C962)</f>
        <v/>
      </c>
      <c r="D962" s="1" t="str">
        <f aca="false">IF(LEN(A962&amp;"")=0,"",Base!G962)</f>
        <v/>
      </c>
      <c r="E962" s="1" t="str">
        <f aca="false">IF(LEN(A962&amp;"")=0,"",Base!E962)</f>
        <v/>
      </c>
      <c r="F962" s="61" t="str">
        <f aca="false">IF(LEN(A962&amp;"")=0,"",IF(Base!I962="-",0,Base!I962))</f>
        <v/>
      </c>
      <c r="G962" s="61" t="str">
        <f aca="false">IF(LEN(A962&amp;"")=0,"",SUM(Base!F962,F962,Base!K962))</f>
        <v/>
      </c>
      <c r="H962" s="61" t="str">
        <f aca="false">IF(LEN(A962&amp;"")=0,"",Base!L962)</f>
        <v/>
      </c>
      <c r="I962" s="61" t="str">
        <f aca="false">IF(LEN(A962&amp;"")=0,"",G962-H962)</f>
        <v/>
      </c>
      <c r="J962" s="61" t="str">
        <f aca="false">IF(LEN(A962&amp;"")=0,"",Base!M962)</f>
        <v/>
      </c>
      <c r="K962" s="1" t="n">
        <f aca="false">IF(OR(LEN(A962&amp;"")=0,$P$3=0),0,IF(AND(B962&gt;=Painel!$B$8,B962&lt;=Painel!$G$8,OR(Painel!$L$8="Todos",C962=Painel!$L$8),OR(Painel!$Q$8="Todos",D962=Painel!$Q$8),OR(Painel!$V$8="Todas",E962=Painel!$V$8)),1,0))</f>
        <v>0</v>
      </c>
      <c r="L962" s="61" t="str">
        <f aca="false">IF(LEN(A962&amp;"")=0,"",J962-I962)</f>
        <v/>
      </c>
      <c r="M962" s="1" t="n">
        <f aca="false">IF(LEN(A962&amp;"")=0,0,IF(COUNTIFS(Base!$A$7:$A$1006,A962)&gt;1,1,0))</f>
        <v>0</v>
      </c>
      <c r="N962" s="1" t="n">
        <f aca="false">IF(LEN(A962&amp;"")=0,0,IF(ABS(L962)&gt;0.005,1,0))</f>
        <v>0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customFormat="false" ht="23" hidden="false" customHeight="true" outlineLevel="0" collapsed="false">
      <c r="A963" s="1" t="str">
        <f aca="false">IF(LEN(Base!A963&amp;"")=0,"",Base!A963)</f>
        <v/>
      </c>
      <c r="B963" s="60" t="str">
        <f aca="false">IF(LEN(A963&amp;"")=0,"",Base!D963)</f>
        <v/>
      </c>
      <c r="C963" s="1" t="str">
        <f aca="false">IF(LEN(A963&amp;"")=0,"",Base!C963)</f>
        <v/>
      </c>
      <c r="D963" s="1" t="str">
        <f aca="false">IF(LEN(A963&amp;"")=0,"",Base!G963)</f>
        <v/>
      </c>
      <c r="E963" s="1" t="str">
        <f aca="false">IF(LEN(A963&amp;"")=0,"",Base!E963)</f>
        <v/>
      </c>
      <c r="F963" s="61" t="str">
        <f aca="false">IF(LEN(A963&amp;"")=0,"",IF(Base!I963="-",0,Base!I963))</f>
        <v/>
      </c>
      <c r="G963" s="61" t="str">
        <f aca="false">IF(LEN(A963&amp;"")=0,"",SUM(Base!F963,F963,Base!K963))</f>
        <v/>
      </c>
      <c r="H963" s="61" t="str">
        <f aca="false">IF(LEN(A963&amp;"")=0,"",Base!L963)</f>
        <v/>
      </c>
      <c r="I963" s="61" t="str">
        <f aca="false">IF(LEN(A963&amp;"")=0,"",G963-H963)</f>
        <v/>
      </c>
      <c r="J963" s="61" t="str">
        <f aca="false">IF(LEN(A963&amp;"")=0,"",Base!M963)</f>
        <v/>
      </c>
      <c r="K963" s="1" t="n">
        <f aca="false">IF(OR(LEN(A963&amp;"")=0,$P$3=0),0,IF(AND(B963&gt;=Painel!$B$8,B963&lt;=Painel!$G$8,OR(Painel!$L$8="Todos",C963=Painel!$L$8),OR(Painel!$Q$8="Todos",D963=Painel!$Q$8),OR(Painel!$V$8="Todas",E963=Painel!$V$8)),1,0))</f>
        <v>0</v>
      </c>
      <c r="L963" s="61" t="str">
        <f aca="false">IF(LEN(A963&amp;"")=0,"",J963-I963)</f>
        <v/>
      </c>
      <c r="M963" s="1" t="n">
        <f aca="false">IF(LEN(A963&amp;"")=0,0,IF(COUNTIFS(Base!$A$7:$A$1006,A963)&gt;1,1,0))</f>
        <v>0</v>
      </c>
      <c r="N963" s="1" t="n">
        <f aca="false">IF(LEN(A963&amp;"")=0,0,IF(ABS(L963)&gt;0.005,1,0))</f>
        <v>0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customFormat="false" ht="23" hidden="false" customHeight="true" outlineLevel="0" collapsed="false">
      <c r="A964" s="1" t="str">
        <f aca="false">IF(LEN(Base!A964&amp;"")=0,"",Base!A964)</f>
        <v/>
      </c>
      <c r="B964" s="60" t="str">
        <f aca="false">IF(LEN(A964&amp;"")=0,"",Base!D964)</f>
        <v/>
      </c>
      <c r="C964" s="1" t="str">
        <f aca="false">IF(LEN(A964&amp;"")=0,"",Base!C964)</f>
        <v/>
      </c>
      <c r="D964" s="1" t="str">
        <f aca="false">IF(LEN(A964&amp;"")=0,"",Base!G964)</f>
        <v/>
      </c>
      <c r="E964" s="1" t="str">
        <f aca="false">IF(LEN(A964&amp;"")=0,"",Base!E964)</f>
        <v/>
      </c>
      <c r="F964" s="61" t="str">
        <f aca="false">IF(LEN(A964&amp;"")=0,"",IF(Base!I964="-",0,Base!I964))</f>
        <v/>
      </c>
      <c r="G964" s="61" t="str">
        <f aca="false">IF(LEN(A964&amp;"")=0,"",SUM(Base!F964,F964,Base!K964))</f>
        <v/>
      </c>
      <c r="H964" s="61" t="str">
        <f aca="false">IF(LEN(A964&amp;"")=0,"",Base!L964)</f>
        <v/>
      </c>
      <c r="I964" s="61" t="str">
        <f aca="false">IF(LEN(A964&amp;"")=0,"",G964-H964)</f>
        <v/>
      </c>
      <c r="J964" s="61" t="str">
        <f aca="false">IF(LEN(A964&amp;"")=0,"",Base!M964)</f>
        <v/>
      </c>
      <c r="K964" s="1" t="n">
        <f aca="false">IF(OR(LEN(A964&amp;"")=0,$P$3=0),0,IF(AND(B964&gt;=Painel!$B$8,B964&lt;=Painel!$G$8,OR(Painel!$L$8="Todos",C964=Painel!$L$8),OR(Painel!$Q$8="Todos",D964=Painel!$Q$8),OR(Painel!$V$8="Todas",E964=Painel!$V$8)),1,0))</f>
        <v>0</v>
      </c>
      <c r="L964" s="61" t="str">
        <f aca="false">IF(LEN(A964&amp;"")=0,"",J964-I964)</f>
        <v/>
      </c>
      <c r="M964" s="1" t="n">
        <f aca="false">IF(LEN(A964&amp;"")=0,0,IF(COUNTIFS(Base!$A$7:$A$1006,A964)&gt;1,1,0))</f>
        <v>0</v>
      </c>
      <c r="N964" s="1" t="n">
        <f aca="false">IF(LEN(A964&amp;"")=0,0,IF(ABS(L964)&gt;0.005,1,0))</f>
        <v>0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customFormat="false" ht="23" hidden="false" customHeight="true" outlineLevel="0" collapsed="false">
      <c r="A965" s="1" t="str">
        <f aca="false">IF(LEN(Base!A965&amp;"")=0,"",Base!A965)</f>
        <v/>
      </c>
      <c r="B965" s="60" t="str">
        <f aca="false">IF(LEN(A965&amp;"")=0,"",Base!D965)</f>
        <v/>
      </c>
      <c r="C965" s="1" t="str">
        <f aca="false">IF(LEN(A965&amp;"")=0,"",Base!C965)</f>
        <v/>
      </c>
      <c r="D965" s="1" t="str">
        <f aca="false">IF(LEN(A965&amp;"")=0,"",Base!G965)</f>
        <v/>
      </c>
      <c r="E965" s="1" t="str">
        <f aca="false">IF(LEN(A965&amp;"")=0,"",Base!E965)</f>
        <v/>
      </c>
      <c r="F965" s="61" t="str">
        <f aca="false">IF(LEN(A965&amp;"")=0,"",IF(Base!I965="-",0,Base!I965))</f>
        <v/>
      </c>
      <c r="G965" s="61" t="str">
        <f aca="false">IF(LEN(A965&amp;"")=0,"",SUM(Base!F965,F965,Base!K965))</f>
        <v/>
      </c>
      <c r="H965" s="61" t="str">
        <f aca="false">IF(LEN(A965&amp;"")=0,"",Base!L965)</f>
        <v/>
      </c>
      <c r="I965" s="61" t="str">
        <f aca="false">IF(LEN(A965&amp;"")=0,"",G965-H965)</f>
        <v/>
      </c>
      <c r="J965" s="61" t="str">
        <f aca="false">IF(LEN(A965&amp;"")=0,"",Base!M965)</f>
        <v/>
      </c>
      <c r="K965" s="1" t="n">
        <f aca="false">IF(OR(LEN(A965&amp;"")=0,$P$3=0),0,IF(AND(B965&gt;=Painel!$B$8,B965&lt;=Painel!$G$8,OR(Painel!$L$8="Todos",C965=Painel!$L$8),OR(Painel!$Q$8="Todos",D965=Painel!$Q$8),OR(Painel!$V$8="Todas",E965=Painel!$V$8)),1,0))</f>
        <v>0</v>
      </c>
      <c r="L965" s="61" t="str">
        <f aca="false">IF(LEN(A965&amp;"")=0,"",J965-I965)</f>
        <v/>
      </c>
      <c r="M965" s="1" t="n">
        <f aca="false">IF(LEN(A965&amp;"")=0,0,IF(COUNTIFS(Base!$A$7:$A$1006,A965)&gt;1,1,0))</f>
        <v>0</v>
      </c>
      <c r="N965" s="1" t="n">
        <f aca="false">IF(LEN(A965&amp;"")=0,0,IF(ABS(L965)&gt;0.005,1,0))</f>
        <v>0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customFormat="false" ht="23" hidden="false" customHeight="true" outlineLevel="0" collapsed="false">
      <c r="A966" s="1" t="str">
        <f aca="false">IF(LEN(Base!A966&amp;"")=0,"",Base!A966)</f>
        <v/>
      </c>
      <c r="B966" s="60" t="str">
        <f aca="false">IF(LEN(A966&amp;"")=0,"",Base!D966)</f>
        <v/>
      </c>
      <c r="C966" s="1" t="str">
        <f aca="false">IF(LEN(A966&amp;"")=0,"",Base!C966)</f>
        <v/>
      </c>
      <c r="D966" s="1" t="str">
        <f aca="false">IF(LEN(A966&amp;"")=0,"",Base!G966)</f>
        <v/>
      </c>
      <c r="E966" s="1" t="str">
        <f aca="false">IF(LEN(A966&amp;"")=0,"",Base!E966)</f>
        <v/>
      </c>
      <c r="F966" s="61" t="str">
        <f aca="false">IF(LEN(A966&amp;"")=0,"",IF(Base!I966="-",0,Base!I966))</f>
        <v/>
      </c>
      <c r="G966" s="61" t="str">
        <f aca="false">IF(LEN(A966&amp;"")=0,"",SUM(Base!F966,F966,Base!K966))</f>
        <v/>
      </c>
      <c r="H966" s="61" t="str">
        <f aca="false">IF(LEN(A966&amp;"")=0,"",Base!L966)</f>
        <v/>
      </c>
      <c r="I966" s="61" t="str">
        <f aca="false">IF(LEN(A966&amp;"")=0,"",G966-H966)</f>
        <v/>
      </c>
      <c r="J966" s="61" t="str">
        <f aca="false">IF(LEN(A966&amp;"")=0,"",Base!M966)</f>
        <v/>
      </c>
      <c r="K966" s="1" t="n">
        <f aca="false">IF(OR(LEN(A966&amp;"")=0,$P$3=0),0,IF(AND(B966&gt;=Painel!$B$8,B966&lt;=Painel!$G$8,OR(Painel!$L$8="Todos",C966=Painel!$L$8),OR(Painel!$Q$8="Todos",D966=Painel!$Q$8),OR(Painel!$V$8="Todas",E966=Painel!$V$8)),1,0))</f>
        <v>0</v>
      </c>
      <c r="L966" s="61" t="str">
        <f aca="false">IF(LEN(A966&amp;"")=0,"",J966-I966)</f>
        <v/>
      </c>
      <c r="M966" s="1" t="n">
        <f aca="false">IF(LEN(A966&amp;"")=0,0,IF(COUNTIFS(Base!$A$7:$A$1006,A966)&gt;1,1,0))</f>
        <v>0</v>
      </c>
      <c r="N966" s="1" t="n">
        <f aca="false">IF(LEN(A966&amp;"")=0,0,IF(ABS(L966)&gt;0.005,1,0))</f>
        <v>0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customFormat="false" ht="23" hidden="false" customHeight="true" outlineLevel="0" collapsed="false">
      <c r="A967" s="1" t="str">
        <f aca="false">IF(LEN(Base!A967&amp;"")=0,"",Base!A967)</f>
        <v/>
      </c>
      <c r="B967" s="60" t="str">
        <f aca="false">IF(LEN(A967&amp;"")=0,"",Base!D967)</f>
        <v/>
      </c>
      <c r="C967" s="1" t="str">
        <f aca="false">IF(LEN(A967&amp;"")=0,"",Base!C967)</f>
        <v/>
      </c>
      <c r="D967" s="1" t="str">
        <f aca="false">IF(LEN(A967&amp;"")=0,"",Base!G967)</f>
        <v/>
      </c>
      <c r="E967" s="1" t="str">
        <f aca="false">IF(LEN(A967&amp;"")=0,"",Base!E967)</f>
        <v/>
      </c>
      <c r="F967" s="61" t="str">
        <f aca="false">IF(LEN(A967&amp;"")=0,"",IF(Base!I967="-",0,Base!I967))</f>
        <v/>
      </c>
      <c r="G967" s="61" t="str">
        <f aca="false">IF(LEN(A967&amp;"")=0,"",SUM(Base!F967,F967,Base!K967))</f>
        <v/>
      </c>
      <c r="H967" s="61" t="str">
        <f aca="false">IF(LEN(A967&amp;"")=0,"",Base!L967)</f>
        <v/>
      </c>
      <c r="I967" s="61" t="str">
        <f aca="false">IF(LEN(A967&amp;"")=0,"",G967-H967)</f>
        <v/>
      </c>
      <c r="J967" s="61" t="str">
        <f aca="false">IF(LEN(A967&amp;"")=0,"",Base!M967)</f>
        <v/>
      </c>
      <c r="K967" s="1" t="n">
        <f aca="false">IF(OR(LEN(A967&amp;"")=0,$P$3=0),0,IF(AND(B967&gt;=Painel!$B$8,B967&lt;=Painel!$G$8,OR(Painel!$L$8="Todos",C967=Painel!$L$8),OR(Painel!$Q$8="Todos",D967=Painel!$Q$8),OR(Painel!$V$8="Todas",E967=Painel!$V$8)),1,0))</f>
        <v>0</v>
      </c>
      <c r="L967" s="61" t="str">
        <f aca="false">IF(LEN(A967&amp;"")=0,"",J967-I967)</f>
        <v/>
      </c>
      <c r="M967" s="1" t="n">
        <f aca="false">IF(LEN(A967&amp;"")=0,0,IF(COUNTIFS(Base!$A$7:$A$1006,A967)&gt;1,1,0))</f>
        <v>0</v>
      </c>
      <c r="N967" s="1" t="n">
        <f aca="false">IF(LEN(A967&amp;"")=0,0,IF(ABS(L967)&gt;0.005,1,0))</f>
        <v>0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customFormat="false" ht="23" hidden="false" customHeight="true" outlineLevel="0" collapsed="false">
      <c r="A968" s="1" t="str">
        <f aca="false">IF(LEN(Base!A968&amp;"")=0,"",Base!A968)</f>
        <v/>
      </c>
      <c r="B968" s="60" t="str">
        <f aca="false">IF(LEN(A968&amp;"")=0,"",Base!D968)</f>
        <v/>
      </c>
      <c r="C968" s="1" t="str">
        <f aca="false">IF(LEN(A968&amp;"")=0,"",Base!C968)</f>
        <v/>
      </c>
      <c r="D968" s="1" t="str">
        <f aca="false">IF(LEN(A968&amp;"")=0,"",Base!G968)</f>
        <v/>
      </c>
      <c r="E968" s="1" t="str">
        <f aca="false">IF(LEN(A968&amp;"")=0,"",Base!E968)</f>
        <v/>
      </c>
      <c r="F968" s="61" t="str">
        <f aca="false">IF(LEN(A968&amp;"")=0,"",IF(Base!I968="-",0,Base!I968))</f>
        <v/>
      </c>
      <c r="G968" s="61" t="str">
        <f aca="false">IF(LEN(A968&amp;"")=0,"",SUM(Base!F968,F968,Base!K968))</f>
        <v/>
      </c>
      <c r="H968" s="61" t="str">
        <f aca="false">IF(LEN(A968&amp;"")=0,"",Base!L968)</f>
        <v/>
      </c>
      <c r="I968" s="61" t="str">
        <f aca="false">IF(LEN(A968&amp;"")=0,"",G968-H968)</f>
        <v/>
      </c>
      <c r="J968" s="61" t="str">
        <f aca="false">IF(LEN(A968&amp;"")=0,"",Base!M968)</f>
        <v/>
      </c>
      <c r="K968" s="1" t="n">
        <f aca="false">IF(OR(LEN(A968&amp;"")=0,$P$3=0),0,IF(AND(B968&gt;=Painel!$B$8,B968&lt;=Painel!$G$8,OR(Painel!$L$8="Todos",C968=Painel!$L$8),OR(Painel!$Q$8="Todos",D968=Painel!$Q$8),OR(Painel!$V$8="Todas",E968=Painel!$V$8)),1,0))</f>
        <v>0</v>
      </c>
      <c r="L968" s="61" t="str">
        <f aca="false">IF(LEN(A968&amp;"")=0,"",J968-I968)</f>
        <v/>
      </c>
      <c r="M968" s="1" t="n">
        <f aca="false">IF(LEN(A968&amp;"")=0,0,IF(COUNTIFS(Base!$A$7:$A$1006,A968)&gt;1,1,0))</f>
        <v>0</v>
      </c>
      <c r="N968" s="1" t="n">
        <f aca="false">IF(LEN(A968&amp;"")=0,0,IF(ABS(L968)&gt;0.005,1,0))</f>
        <v>0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customFormat="false" ht="23" hidden="false" customHeight="true" outlineLevel="0" collapsed="false">
      <c r="A969" s="1" t="str">
        <f aca="false">IF(LEN(Base!A969&amp;"")=0,"",Base!A969)</f>
        <v/>
      </c>
      <c r="B969" s="60" t="str">
        <f aca="false">IF(LEN(A969&amp;"")=0,"",Base!D969)</f>
        <v/>
      </c>
      <c r="C969" s="1" t="str">
        <f aca="false">IF(LEN(A969&amp;"")=0,"",Base!C969)</f>
        <v/>
      </c>
      <c r="D969" s="1" t="str">
        <f aca="false">IF(LEN(A969&amp;"")=0,"",Base!G969)</f>
        <v/>
      </c>
      <c r="E969" s="1" t="str">
        <f aca="false">IF(LEN(A969&amp;"")=0,"",Base!E969)</f>
        <v/>
      </c>
      <c r="F969" s="61" t="str">
        <f aca="false">IF(LEN(A969&amp;"")=0,"",IF(Base!I969="-",0,Base!I969))</f>
        <v/>
      </c>
      <c r="G969" s="61" t="str">
        <f aca="false">IF(LEN(A969&amp;"")=0,"",SUM(Base!F969,F969,Base!K969))</f>
        <v/>
      </c>
      <c r="H969" s="61" t="str">
        <f aca="false">IF(LEN(A969&amp;"")=0,"",Base!L969)</f>
        <v/>
      </c>
      <c r="I969" s="61" t="str">
        <f aca="false">IF(LEN(A969&amp;"")=0,"",G969-H969)</f>
        <v/>
      </c>
      <c r="J969" s="61" t="str">
        <f aca="false">IF(LEN(A969&amp;"")=0,"",Base!M969)</f>
        <v/>
      </c>
      <c r="K969" s="1" t="n">
        <f aca="false">IF(OR(LEN(A969&amp;"")=0,$P$3=0),0,IF(AND(B969&gt;=Painel!$B$8,B969&lt;=Painel!$G$8,OR(Painel!$L$8="Todos",C969=Painel!$L$8),OR(Painel!$Q$8="Todos",D969=Painel!$Q$8),OR(Painel!$V$8="Todas",E969=Painel!$V$8)),1,0))</f>
        <v>0</v>
      </c>
      <c r="L969" s="61" t="str">
        <f aca="false">IF(LEN(A969&amp;"")=0,"",J969-I969)</f>
        <v/>
      </c>
      <c r="M969" s="1" t="n">
        <f aca="false">IF(LEN(A969&amp;"")=0,0,IF(COUNTIFS(Base!$A$7:$A$1006,A969)&gt;1,1,0))</f>
        <v>0</v>
      </c>
      <c r="N969" s="1" t="n">
        <f aca="false">IF(LEN(A969&amp;"")=0,0,IF(ABS(L969)&gt;0.005,1,0))</f>
        <v>0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customFormat="false" ht="23" hidden="false" customHeight="true" outlineLevel="0" collapsed="false">
      <c r="A970" s="1" t="str">
        <f aca="false">IF(LEN(Base!A970&amp;"")=0,"",Base!A970)</f>
        <v/>
      </c>
      <c r="B970" s="60" t="str">
        <f aca="false">IF(LEN(A970&amp;"")=0,"",Base!D970)</f>
        <v/>
      </c>
      <c r="C970" s="1" t="str">
        <f aca="false">IF(LEN(A970&amp;"")=0,"",Base!C970)</f>
        <v/>
      </c>
      <c r="D970" s="1" t="str">
        <f aca="false">IF(LEN(A970&amp;"")=0,"",Base!G970)</f>
        <v/>
      </c>
      <c r="E970" s="1" t="str">
        <f aca="false">IF(LEN(A970&amp;"")=0,"",Base!E970)</f>
        <v/>
      </c>
      <c r="F970" s="61" t="str">
        <f aca="false">IF(LEN(A970&amp;"")=0,"",IF(Base!I970="-",0,Base!I970))</f>
        <v/>
      </c>
      <c r="G970" s="61" t="str">
        <f aca="false">IF(LEN(A970&amp;"")=0,"",SUM(Base!F970,F970,Base!K970))</f>
        <v/>
      </c>
      <c r="H970" s="61" t="str">
        <f aca="false">IF(LEN(A970&amp;"")=0,"",Base!L970)</f>
        <v/>
      </c>
      <c r="I970" s="61" t="str">
        <f aca="false">IF(LEN(A970&amp;"")=0,"",G970-H970)</f>
        <v/>
      </c>
      <c r="J970" s="61" t="str">
        <f aca="false">IF(LEN(A970&amp;"")=0,"",Base!M970)</f>
        <v/>
      </c>
      <c r="K970" s="1" t="n">
        <f aca="false">IF(OR(LEN(A970&amp;"")=0,$P$3=0),0,IF(AND(B970&gt;=Painel!$B$8,B970&lt;=Painel!$G$8,OR(Painel!$L$8="Todos",C970=Painel!$L$8),OR(Painel!$Q$8="Todos",D970=Painel!$Q$8),OR(Painel!$V$8="Todas",E970=Painel!$V$8)),1,0))</f>
        <v>0</v>
      </c>
      <c r="L970" s="61" t="str">
        <f aca="false">IF(LEN(A970&amp;"")=0,"",J970-I970)</f>
        <v/>
      </c>
      <c r="M970" s="1" t="n">
        <f aca="false">IF(LEN(A970&amp;"")=0,0,IF(COUNTIFS(Base!$A$7:$A$1006,A970)&gt;1,1,0))</f>
        <v>0</v>
      </c>
      <c r="N970" s="1" t="n">
        <f aca="false">IF(LEN(A970&amp;"")=0,0,IF(ABS(L970)&gt;0.005,1,0))</f>
        <v>0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customFormat="false" ht="23" hidden="false" customHeight="true" outlineLevel="0" collapsed="false">
      <c r="A971" s="1" t="str">
        <f aca="false">IF(LEN(Base!A971&amp;"")=0,"",Base!A971)</f>
        <v/>
      </c>
      <c r="B971" s="60" t="str">
        <f aca="false">IF(LEN(A971&amp;"")=0,"",Base!D971)</f>
        <v/>
      </c>
      <c r="C971" s="1" t="str">
        <f aca="false">IF(LEN(A971&amp;"")=0,"",Base!C971)</f>
        <v/>
      </c>
      <c r="D971" s="1" t="str">
        <f aca="false">IF(LEN(A971&amp;"")=0,"",Base!G971)</f>
        <v/>
      </c>
      <c r="E971" s="1" t="str">
        <f aca="false">IF(LEN(A971&amp;"")=0,"",Base!E971)</f>
        <v/>
      </c>
      <c r="F971" s="61" t="str">
        <f aca="false">IF(LEN(A971&amp;"")=0,"",IF(Base!I971="-",0,Base!I971))</f>
        <v/>
      </c>
      <c r="G971" s="61" t="str">
        <f aca="false">IF(LEN(A971&amp;"")=0,"",SUM(Base!F971,F971,Base!K971))</f>
        <v/>
      </c>
      <c r="H971" s="61" t="str">
        <f aca="false">IF(LEN(A971&amp;"")=0,"",Base!L971)</f>
        <v/>
      </c>
      <c r="I971" s="61" t="str">
        <f aca="false">IF(LEN(A971&amp;"")=0,"",G971-H971)</f>
        <v/>
      </c>
      <c r="J971" s="61" t="str">
        <f aca="false">IF(LEN(A971&amp;"")=0,"",Base!M971)</f>
        <v/>
      </c>
      <c r="K971" s="1" t="n">
        <f aca="false">IF(OR(LEN(A971&amp;"")=0,$P$3=0),0,IF(AND(B971&gt;=Painel!$B$8,B971&lt;=Painel!$G$8,OR(Painel!$L$8="Todos",C971=Painel!$L$8),OR(Painel!$Q$8="Todos",D971=Painel!$Q$8),OR(Painel!$V$8="Todas",E971=Painel!$V$8)),1,0))</f>
        <v>0</v>
      </c>
      <c r="L971" s="61" t="str">
        <f aca="false">IF(LEN(A971&amp;"")=0,"",J971-I971)</f>
        <v/>
      </c>
      <c r="M971" s="1" t="n">
        <f aca="false">IF(LEN(A971&amp;"")=0,0,IF(COUNTIFS(Base!$A$7:$A$1006,A971)&gt;1,1,0))</f>
        <v>0</v>
      </c>
      <c r="N971" s="1" t="n">
        <f aca="false">IF(LEN(A971&amp;"")=0,0,IF(ABS(L971)&gt;0.005,1,0))</f>
        <v>0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customFormat="false" ht="23" hidden="false" customHeight="true" outlineLevel="0" collapsed="false">
      <c r="A972" s="1" t="str">
        <f aca="false">IF(LEN(Base!A972&amp;"")=0,"",Base!A972)</f>
        <v/>
      </c>
      <c r="B972" s="60" t="str">
        <f aca="false">IF(LEN(A972&amp;"")=0,"",Base!D972)</f>
        <v/>
      </c>
      <c r="C972" s="1" t="str">
        <f aca="false">IF(LEN(A972&amp;"")=0,"",Base!C972)</f>
        <v/>
      </c>
      <c r="D972" s="1" t="str">
        <f aca="false">IF(LEN(A972&amp;"")=0,"",Base!G972)</f>
        <v/>
      </c>
      <c r="E972" s="1" t="str">
        <f aca="false">IF(LEN(A972&amp;"")=0,"",Base!E972)</f>
        <v/>
      </c>
      <c r="F972" s="61" t="str">
        <f aca="false">IF(LEN(A972&amp;"")=0,"",IF(Base!I972="-",0,Base!I972))</f>
        <v/>
      </c>
      <c r="G972" s="61" t="str">
        <f aca="false">IF(LEN(A972&amp;"")=0,"",SUM(Base!F972,F972,Base!K972))</f>
        <v/>
      </c>
      <c r="H972" s="61" t="str">
        <f aca="false">IF(LEN(A972&amp;"")=0,"",Base!L972)</f>
        <v/>
      </c>
      <c r="I972" s="61" t="str">
        <f aca="false">IF(LEN(A972&amp;"")=0,"",G972-H972)</f>
        <v/>
      </c>
      <c r="J972" s="61" t="str">
        <f aca="false">IF(LEN(A972&amp;"")=0,"",Base!M972)</f>
        <v/>
      </c>
      <c r="K972" s="1" t="n">
        <f aca="false">IF(OR(LEN(A972&amp;"")=0,$P$3=0),0,IF(AND(B972&gt;=Painel!$B$8,B972&lt;=Painel!$G$8,OR(Painel!$L$8="Todos",C972=Painel!$L$8),OR(Painel!$Q$8="Todos",D972=Painel!$Q$8),OR(Painel!$V$8="Todas",E972=Painel!$V$8)),1,0))</f>
        <v>0</v>
      </c>
      <c r="L972" s="61" t="str">
        <f aca="false">IF(LEN(A972&amp;"")=0,"",J972-I972)</f>
        <v/>
      </c>
      <c r="M972" s="1" t="n">
        <f aca="false">IF(LEN(A972&amp;"")=0,0,IF(COUNTIFS(Base!$A$7:$A$1006,A972)&gt;1,1,0))</f>
        <v>0</v>
      </c>
      <c r="N972" s="1" t="n">
        <f aca="false">IF(LEN(A972&amp;"")=0,0,IF(ABS(L972)&gt;0.005,1,0))</f>
        <v>0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customFormat="false" ht="23" hidden="false" customHeight="true" outlineLevel="0" collapsed="false">
      <c r="A973" s="1" t="str">
        <f aca="false">IF(LEN(Base!A973&amp;"")=0,"",Base!A973)</f>
        <v/>
      </c>
      <c r="B973" s="60" t="str">
        <f aca="false">IF(LEN(A973&amp;"")=0,"",Base!D973)</f>
        <v/>
      </c>
      <c r="C973" s="1" t="str">
        <f aca="false">IF(LEN(A973&amp;"")=0,"",Base!C973)</f>
        <v/>
      </c>
      <c r="D973" s="1" t="str">
        <f aca="false">IF(LEN(A973&amp;"")=0,"",Base!G973)</f>
        <v/>
      </c>
      <c r="E973" s="1" t="str">
        <f aca="false">IF(LEN(A973&amp;"")=0,"",Base!E973)</f>
        <v/>
      </c>
      <c r="F973" s="61" t="str">
        <f aca="false">IF(LEN(A973&amp;"")=0,"",IF(Base!I973="-",0,Base!I973))</f>
        <v/>
      </c>
      <c r="G973" s="61" t="str">
        <f aca="false">IF(LEN(A973&amp;"")=0,"",SUM(Base!F973,F973,Base!K973))</f>
        <v/>
      </c>
      <c r="H973" s="61" t="str">
        <f aca="false">IF(LEN(A973&amp;"")=0,"",Base!L973)</f>
        <v/>
      </c>
      <c r="I973" s="61" t="str">
        <f aca="false">IF(LEN(A973&amp;"")=0,"",G973-H973)</f>
        <v/>
      </c>
      <c r="J973" s="61" t="str">
        <f aca="false">IF(LEN(A973&amp;"")=0,"",Base!M973)</f>
        <v/>
      </c>
      <c r="K973" s="1" t="n">
        <f aca="false">IF(OR(LEN(A973&amp;"")=0,$P$3=0),0,IF(AND(B973&gt;=Painel!$B$8,B973&lt;=Painel!$G$8,OR(Painel!$L$8="Todos",C973=Painel!$L$8),OR(Painel!$Q$8="Todos",D973=Painel!$Q$8),OR(Painel!$V$8="Todas",E973=Painel!$V$8)),1,0))</f>
        <v>0</v>
      </c>
      <c r="L973" s="61" t="str">
        <f aca="false">IF(LEN(A973&amp;"")=0,"",J973-I973)</f>
        <v/>
      </c>
      <c r="M973" s="1" t="n">
        <f aca="false">IF(LEN(A973&amp;"")=0,0,IF(COUNTIFS(Base!$A$7:$A$1006,A973)&gt;1,1,0))</f>
        <v>0</v>
      </c>
      <c r="N973" s="1" t="n">
        <f aca="false">IF(LEN(A973&amp;"")=0,0,IF(ABS(L973)&gt;0.005,1,0))</f>
        <v>0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customFormat="false" ht="23" hidden="false" customHeight="true" outlineLevel="0" collapsed="false">
      <c r="A974" s="1" t="str">
        <f aca="false">IF(LEN(Base!A974&amp;"")=0,"",Base!A974)</f>
        <v/>
      </c>
      <c r="B974" s="60" t="str">
        <f aca="false">IF(LEN(A974&amp;"")=0,"",Base!D974)</f>
        <v/>
      </c>
      <c r="C974" s="1" t="str">
        <f aca="false">IF(LEN(A974&amp;"")=0,"",Base!C974)</f>
        <v/>
      </c>
      <c r="D974" s="1" t="str">
        <f aca="false">IF(LEN(A974&amp;"")=0,"",Base!G974)</f>
        <v/>
      </c>
      <c r="E974" s="1" t="str">
        <f aca="false">IF(LEN(A974&amp;"")=0,"",Base!E974)</f>
        <v/>
      </c>
      <c r="F974" s="61" t="str">
        <f aca="false">IF(LEN(A974&amp;"")=0,"",IF(Base!I974="-",0,Base!I974))</f>
        <v/>
      </c>
      <c r="G974" s="61" t="str">
        <f aca="false">IF(LEN(A974&amp;"")=0,"",SUM(Base!F974,F974,Base!K974))</f>
        <v/>
      </c>
      <c r="H974" s="61" t="str">
        <f aca="false">IF(LEN(A974&amp;"")=0,"",Base!L974)</f>
        <v/>
      </c>
      <c r="I974" s="61" t="str">
        <f aca="false">IF(LEN(A974&amp;"")=0,"",G974-H974)</f>
        <v/>
      </c>
      <c r="J974" s="61" t="str">
        <f aca="false">IF(LEN(A974&amp;"")=0,"",Base!M974)</f>
        <v/>
      </c>
      <c r="K974" s="1" t="n">
        <f aca="false">IF(OR(LEN(A974&amp;"")=0,$P$3=0),0,IF(AND(B974&gt;=Painel!$B$8,B974&lt;=Painel!$G$8,OR(Painel!$L$8="Todos",C974=Painel!$L$8),OR(Painel!$Q$8="Todos",D974=Painel!$Q$8),OR(Painel!$V$8="Todas",E974=Painel!$V$8)),1,0))</f>
        <v>0</v>
      </c>
      <c r="L974" s="61" t="str">
        <f aca="false">IF(LEN(A974&amp;"")=0,"",J974-I974)</f>
        <v/>
      </c>
      <c r="M974" s="1" t="n">
        <f aca="false">IF(LEN(A974&amp;"")=0,0,IF(COUNTIFS(Base!$A$7:$A$1006,A974)&gt;1,1,0))</f>
        <v>0</v>
      </c>
      <c r="N974" s="1" t="n">
        <f aca="false">IF(LEN(A974&amp;"")=0,0,IF(ABS(L974)&gt;0.005,1,0))</f>
        <v>0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customFormat="false" ht="23" hidden="false" customHeight="true" outlineLevel="0" collapsed="false">
      <c r="A975" s="1" t="str">
        <f aca="false">IF(LEN(Base!A975&amp;"")=0,"",Base!A975)</f>
        <v/>
      </c>
      <c r="B975" s="60" t="str">
        <f aca="false">IF(LEN(A975&amp;"")=0,"",Base!D975)</f>
        <v/>
      </c>
      <c r="C975" s="1" t="str">
        <f aca="false">IF(LEN(A975&amp;"")=0,"",Base!C975)</f>
        <v/>
      </c>
      <c r="D975" s="1" t="str">
        <f aca="false">IF(LEN(A975&amp;"")=0,"",Base!G975)</f>
        <v/>
      </c>
      <c r="E975" s="1" t="str">
        <f aca="false">IF(LEN(A975&amp;"")=0,"",Base!E975)</f>
        <v/>
      </c>
      <c r="F975" s="61" t="str">
        <f aca="false">IF(LEN(A975&amp;"")=0,"",IF(Base!I975="-",0,Base!I975))</f>
        <v/>
      </c>
      <c r="G975" s="61" t="str">
        <f aca="false">IF(LEN(A975&amp;"")=0,"",SUM(Base!F975,F975,Base!K975))</f>
        <v/>
      </c>
      <c r="H975" s="61" t="str">
        <f aca="false">IF(LEN(A975&amp;"")=0,"",Base!L975)</f>
        <v/>
      </c>
      <c r="I975" s="61" t="str">
        <f aca="false">IF(LEN(A975&amp;"")=0,"",G975-H975)</f>
        <v/>
      </c>
      <c r="J975" s="61" t="str">
        <f aca="false">IF(LEN(A975&amp;"")=0,"",Base!M975)</f>
        <v/>
      </c>
      <c r="K975" s="1" t="n">
        <f aca="false">IF(OR(LEN(A975&amp;"")=0,$P$3=0),0,IF(AND(B975&gt;=Painel!$B$8,B975&lt;=Painel!$G$8,OR(Painel!$L$8="Todos",C975=Painel!$L$8),OR(Painel!$Q$8="Todos",D975=Painel!$Q$8),OR(Painel!$V$8="Todas",E975=Painel!$V$8)),1,0))</f>
        <v>0</v>
      </c>
      <c r="L975" s="61" t="str">
        <f aca="false">IF(LEN(A975&amp;"")=0,"",J975-I975)</f>
        <v/>
      </c>
      <c r="M975" s="1" t="n">
        <f aca="false">IF(LEN(A975&amp;"")=0,0,IF(COUNTIFS(Base!$A$7:$A$1006,A975)&gt;1,1,0))</f>
        <v>0</v>
      </c>
      <c r="N975" s="1" t="n">
        <f aca="false">IF(LEN(A975&amp;"")=0,0,IF(ABS(L975)&gt;0.005,1,0))</f>
        <v>0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customFormat="false" ht="23" hidden="false" customHeight="true" outlineLevel="0" collapsed="false">
      <c r="A976" s="1" t="str">
        <f aca="false">IF(LEN(Base!A976&amp;"")=0,"",Base!A976)</f>
        <v/>
      </c>
      <c r="B976" s="60" t="str">
        <f aca="false">IF(LEN(A976&amp;"")=0,"",Base!D976)</f>
        <v/>
      </c>
      <c r="C976" s="1" t="str">
        <f aca="false">IF(LEN(A976&amp;"")=0,"",Base!C976)</f>
        <v/>
      </c>
      <c r="D976" s="1" t="str">
        <f aca="false">IF(LEN(A976&amp;"")=0,"",Base!G976)</f>
        <v/>
      </c>
      <c r="E976" s="1" t="str">
        <f aca="false">IF(LEN(A976&amp;"")=0,"",Base!E976)</f>
        <v/>
      </c>
      <c r="F976" s="61" t="str">
        <f aca="false">IF(LEN(A976&amp;"")=0,"",IF(Base!I976="-",0,Base!I976))</f>
        <v/>
      </c>
      <c r="G976" s="61" t="str">
        <f aca="false">IF(LEN(A976&amp;"")=0,"",SUM(Base!F976,F976,Base!K976))</f>
        <v/>
      </c>
      <c r="H976" s="61" t="str">
        <f aca="false">IF(LEN(A976&amp;"")=0,"",Base!L976)</f>
        <v/>
      </c>
      <c r="I976" s="61" t="str">
        <f aca="false">IF(LEN(A976&amp;"")=0,"",G976-H976)</f>
        <v/>
      </c>
      <c r="J976" s="61" t="str">
        <f aca="false">IF(LEN(A976&amp;"")=0,"",Base!M976)</f>
        <v/>
      </c>
      <c r="K976" s="1" t="n">
        <f aca="false">IF(OR(LEN(A976&amp;"")=0,$P$3=0),0,IF(AND(B976&gt;=Painel!$B$8,B976&lt;=Painel!$G$8,OR(Painel!$L$8="Todos",C976=Painel!$L$8),OR(Painel!$Q$8="Todos",D976=Painel!$Q$8),OR(Painel!$V$8="Todas",E976=Painel!$V$8)),1,0))</f>
        <v>0</v>
      </c>
      <c r="L976" s="61" t="str">
        <f aca="false">IF(LEN(A976&amp;"")=0,"",J976-I976)</f>
        <v/>
      </c>
      <c r="M976" s="1" t="n">
        <f aca="false">IF(LEN(A976&amp;"")=0,0,IF(COUNTIFS(Base!$A$7:$A$1006,A976)&gt;1,1,0))</f>
        <v>0</v>
      </c>
      <c r="N976" s="1" t="n">
        <f aca="false">IF(LEN(A976&amp;"")=0,0,IF(ABS(L976)&gt;0.005,1,0))</f>
        <v>0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customFormat="false" ht="23" hidden="false" customHeight="true" outlineLevel="0" collapsed="false">
      <c r="A977" s="1" t="str">
        <f aca="false">IF(LEN(Base!A977&amp;"")=0,"",Base!A977)</f>
        <v/>
      </c>
      <c r="B977" s="60" t="str">
        <f aca="false">IF(LEN(A977&amp;"")=0,"",Base!D977)</f>
        <v/>
      </c>
      <c r="C977" s="1" t="str">
        <f aca="false">IF(LEN(A977&amp;"")=0,"",Base!C977)</f>
        <v/>
      </c>
      <c r="D977" s="1" t="str">
        <f aca="false">IF(LEN(A977&amp;"")=0,"",Base!G977)</f>
        <v/>
      </c>
      <c r="E977" s="1" t="str">
        <f aca="false">IF(LEN(A977&amp;"")=0,"",Base!E977)</f>
        <v/>
      </c>
      <c r="F977" s="61" t="str">
        <f aca="false">IF(LEN(A977&amp;"")=0,"",IF(Base!I977="-",0,Base!I977))</f>
        <v/>
      </c>
      <c r="G977" s="61" t="str">
        <f aca="false">IF(LEN(A977&amp;"")=0,"",SUM(Base!F977,F977,Base!K977))</f>
        <v/>
      </c>
      <c r="H977" s="61" t="str">
        <f aca="false">IF(LEN(A977&amp;"")=0,"",Base!L977)</f>
        <v/>
      </c>
      <c r="I977" s="61" t="str">
        <f aca="false">IF(LEN(A977&amp;"")=0,"",G977-H977)</f>
        <v/>
      </c>
      <c r="J977" s="61" t="str">
        <f aca="false">IF(LEN(A977&amp;"")=0,"",Base!M977)</f>
        <v/>
      </c>
      <c r="K977" s="1" t="n">
        <f aca="false">IF(OR(LEN(A977&amp;"")=0,$P$3=0),0,IF(AND(B977&gt;=Painel!$B$8,B977&lt;=Painel!$G$8,OR(Painel!$L$8="Todos",C977=Painel!$L$8),OR(Painel!$Q$8="Todos",D977=Painel!$Q$8),OR(Painel!$V$8="Todas",E977=Painel!$V$8)),1,0))</f>
        <v>0</v>
      </c>
      <c r="L977" s="61" t="str">
        <f aca="false">IF(LEN(A977&amp;"")=0,"",J977-I977)</f>
        <v/>
      </c>
      <c r="M977" s="1" t="n">
        <f aca="false">IF(LEN(A977&amp;"")=0,0,IF(COUNTIFS(Base!$A$7:$A$1006,A977)&gt;1,1,0))</f>
        <v>0</v>
      </c>
      <c r="N977" s="1" t="n">
        <f aca="false">IF(LEN(A977&amp;"")=0,0,IF(ABS(L977)&gt;0.005,1,0))</f>
        <v>0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customFormat="false" ht="23" hidden="false" customHeight="true" outlineLevel="0" collapsed="false">
      <c r="A978" s="1" t="str">
        <f aca="false">IF(LEN(Base!A978&amp;"")=0,"",Base!A978)</f>
        <v/>
      </c>
      <c r="B978" s="60" t="str">
        <f aca="false">IF(LEN(A978&amp;"")=0,"",Base!D978)</f>
        <v/>
      </c>
      <c r="C978" s="1" t="str">
        <f aca="false">IF(LEN(A978&amp;"")=0,"",Base!C978)</f>
        <v/>
      </c>
      <c r="D978" s="1" t="str">
        <f aca="false">IF(LEN(A978&amp;"")=0,"",Base!G978)</f>
        <v/>
      </c>
      <c r="E978" s="1" t="str">
        <f aca="false">IF(LEN(A978&amp;"")=0,"",Base!E978)</f>
        <v/>
      </c>
      <c r="F978" s="61" t="str">
        <f aca="false">IF(LEN(A978&amp;"")=0,"",IF(Base!I978="-",0,Base!I978))</f>
        <v/>
      </c>
      <c r="G978" s="61" t="str">
        <f aca="false">IF(LEN(A978&amp;"")=0,"",SUM(Base!F978,F978,Base!K978))</f>
        <v/>
      </c>
      <c r="H978" s="61" t="str">
        <f aca="false">IF(LEN(A978&amp;"")=0,"",Base!L978)</f>
        <v/>
      </c>
      <c r="I978" s="61" t="str">
        <f aca="false">IF(LEN(A978&amp;"")=0,"",G978-H978)</f>
        <v/>
      </c>
      <c r="J978" s="61" t="str">
        <f aca="false">IF(LEN(A978&amp;"")=0,"",Base!M978)</f>
        <v/>
      </c>
      <c r="K978" s="1" t="n">
        <f aca="false">IF(OR(LEN(A978&amp;"")=0,$P$3=0),0,IF(AND(B978&gt;=Painel!$B$8,B978&lt;=Painel!$G$8,OR(Painel!$L$8="Todos",C978=Painel!$L$8),OR(Painel!$Q$8="Todos",D978=Painel!$Q$8),OR(Painel!$V$8="Todas",E978=Painel!$V$8)),1,0))</f>
        <v>0</v>
      </c>
      <c r="L978" s="61" t="str">
        <f aca="false">IF(LEN(A978&amp;"")=0,"",J978-I978)</f>
        <v/>
      </c>
      <c r="M978" s="1" t="n">
        <f aca="false">IF(LEN(A978&amp;"")=0,0,IF(COUNTIFS(Base!$A$7:$A$1006,A978)&gt;1,1,0))</f>
        <v>0</v>
      </c>
      <c r="N978" s="1" t="n">
        <f aca="false">IF(LEN(A978&amp;"")=0,0,IF(ABS(L978)&gt;0.005,1,0))</f>
        <v>0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customFormat="false" ht="23" hidden="false" customHeight="true" outlineLevel="0" collapsed="false">
      <c r="A979" s="1" t="str">
        <f aca="false">IF(LEN(Base!A979&amp;"")=0,"",Base!A979)</f>
        <v/>
      </c>
      <c r="B979" s="60" t="str">
        <f aca="false">IF(LEN(A979&amp;"")=0,"",Base!D979)</f>
        <v/>
      </c>
      <c r="C979" s="1" t="str">
        <f aca="false">IF(LEN(A979&amp;"")=0,"",Base!C979)</f>
        <v/>
      </c>
      <c r="D979" s="1" t="str">
        <f aca="false">IF(LEN(A979&amp;"")=0,"",Base!G979)</f>
        <v/>
      </c>
      <c r="E979" s="1" t="str">
        <f aca="false">IF(LEN(A979&amp;"")=0,"",Base!E979)</f>
        <v/>
      </c>
      <c r="F979" s="61" t="str">
        <f aca="false">IF(LEN(A979&amp;"")=0,"",IF(Base!I979="-",0,Base!I979))</f>
        <v/>
      </c>
      <c r="G979" s="61" t="str">
        <f aca="false">IF(LEN(A979&amp;"")=0,"",SUM(Base!F979,F979,Base!K979))</f>
        <v/>
      </c>
      <c r="H979" s="61" t="str">
        <f aca="false">IF(LEN(A979&amp;"")=0,"",Base!L979)</f>
        <v/>
      </c>
      <c r="I979" s="61" t="str">
        <f aca="false">IF(LEN(A979&amp;"")=0,"",G979-H979)</f>
        <v/>
      </c>
      <c r="J979" s="61" t="str">
        <f aca="false">IF(LEN(A979&amp;"")=0,"",Base!M979)</f>
        <v/>
      </c>
      <c r="K979" s="1" t="n">
        <f aca="false">IF(OR(LEN(A979&amp;"")=0,$P$3=0),0,IF(AND(B979&gt;=Painel!$B$8,B979&lt;=Painel!$G$8,OR(Painel!$L$8="Todos",C979=Painel!$L$8),OR(Painel!$Q$8="Todos",D979=Painel!$Q$8),OR(Painel!$V$8="Todas",E979=Painel!$V$8)),1,0))</f>
        <v>0</v>
      </c>
      <c r="L979" s="61" t="str">
        <f aca="false">IF(LEN(A979&amp;"")=0,"",J979-I979)</f>
        <v/>
      </c>
      <c r="M979" s="1" t="n">
        <f aca="false">IF(LEN(A979&amp;"")=0,0,IF(COUNTIFS(Base!$A$7:$A$1006,A979)&gt;1,1,0))</f>
        <v>0</v>
      </c>
      <c r="N979" s="1" t="n">
        <f aca="false">IF(LEN(A979&amp;"")=0,0,IF(ABS(L979)&gt;0.005,1,0))</f>
        <v>0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customFormat="false" ht="23" hidden="false" customHeight="true" outlineLevel="0" collapsed="false">
      <c r="A980" s="1" t="str">
        <f aca="false">IF(LEN(Base!A980&amp;"")=0,"",Base!A980)</f>
        <v/>
      </c>
      <c r="B980" s="60" t="str">
        <f aca="false">IF(LEN(A980&amp;"")=0,"",Base!D980)</f>
        <v/>
      </c>
      <c r="C980" s="1" t="str">
        <f aca="false">IF(LEN(A980&amp;"")=0,"",Base!C980)</f>
        <v/>
      </c>
      <c r="D980" s="1" t="str">
        <f aca="false">IF(LEN(A980&amp;"")=0,"",Base!G980)</f>
        <v/>
      </c>
      <c r="E980" s="1" t="str">
        <f aca="false">IF(LEN(A980&amp;"")=0,"",Base!E980)</f>
        <v/>
      </c>
      <c r="F980" s="61" t="str">
        <f aca="false">IF(LEN(A980&amp;"")=0,"",IF(Base!I980="-",0,Base!I980))</f>
        <v/>
      </c>
      <c r="G980" s="61" t="str">
        <f aca="false">IF(LEN(A980&amp;"")=0,"",SUM(Base!F980,F980,Base!K980))</f>
        <v/>
      </c>
      <c r="H980" s="61" t="str">
        <f aca="false">IF(LEN(A980&amp;"")=0,"",Base!L980)</f>
        <v/>
      </c>
      <c r="I980" s="61" t="str">
        <f aca="false">IF(LEN(A980&amp;"")=0,"",G980-H980)</f>
        <v/>
      </c>
      <c r="J980" s="61" t="str">
        <f aca="false">IF(LEN(A980&amp;"")=0,"",Base!M980)</f>
        <v/>
      </c>
      <c r="K980" s="1" t="n">
        <f aca="false">IF(OR(LEN(A980&amp;"")=0,$P$3=0),0,IF(AND(B980&gt;=Painel!$B$8,B980&lt;=Painel!$G$8,OR(Painel!$L$8="Todos",C980=Painel!$L$8),OR(Painel!$Q$8="Todos",D980=Painel!$Q$8),OR(Painel!$V$8="Todas",E980=Painel!$V$8)),1,0))</f>
        <v>0</v>
      </c>
      <c r="L980" s="61" t="str">
        <f aca="false">IF(LEN(A980&amp;"")=0,"",J980-I980)</f>
        <v/>
      </c>
      <c r="M980" s="1" t="n">
        <f aca="false">IF(LEN(A980&amp;"")=0,0,IF(COUNTIFS(Base!$A$7:$A$1006,A980)&gt;1,1,0))</f>
        <v>0</v>
      </c>
      <c r="N980" s="1" t="n">
        <f aca="false">IF(LEN(A980&amp;"")=0,0,IF(ABS(L980)&gt;0.005,1,0))</f>
        <v>0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customFormat="false" ht="23" hidden="false" customHeight="true" outlineLevel="0" collapsed="false">
      <c r="A981" s="1" t="str">
        <f aca="false">IF(LEN(Base!A981&amp;"")=0,"",Base!A981)</f>
        <v/>
      </c>
      <c r="B981" s="60" t="str">
        <f aca="false">IF(LEN(A981&amp;"")=0,"",Base!D981)</f>
        <v/>
      </c>
      <c r="C981" s="1" t="str">
        <f aca="false">IF(LEN(A981&amp;"")=0,"",Base!C981)</f>
        <v/>
      </c>
      <c r="D981" s="1" t="str">
        <f aca="false">IF(LEN(A981&amp;"")=0,"",Base!G981)</f>
        <v/>
      </c>
      <c r="E981" s="1" t="str">
        <f aca="false">IF(LEN(A981&amp;"")=0,"",Base!E981)</f>
        <v/>
      </c>
      <c r="F981" s="61" t="str">
        <f aca="false">IF(LEN(A981&amp;"")=0,"",IF(Base!I981="-",0,Base!I981))</f>
        <v/>
      </c>
      <c r="G981" s="61" t="str">
        <f aca="false">IF(LEN(A981&amp;"")=0,"",SUM(Base!F981,F981,Base!K981))</f>
        <v/>
      </c>
      <c r="H981" s="61" t="str">
        <f aca="false">IF(LEN(A981&amp;"")=0,"",Base!L981)</f>
        <v/>
      </c>
      <c r="I981" s="61" t="str">
        <f aca="false">IF(LEN(A981&amp;"")=0,"",G981-H981)</f>
        <v/>
      </c>
      <c r="J981" s="61" t="str">
        <f aca="false">IF(LEN(A981&amp;"")=0,"",Base!M981)</f>
        <v/>
      </c>
      <c r="K981" s="1" t="n">
        <f aca="false">IF(OR(LEN(A981&amp;"")=0,$P$3=0),0,IF(AND(B981&gt;=Painel!$B$8,B981&lt;=Painel!$G$8,OR(Painel!$L$8="Todos",C981=Painel!$L$8),OR(Painel!$Q$8="Todos",D981=Painel!$Q$8),OR(Painel!$V$8="Todas",E981=Painel!$V$8)),1,0))</f>
        <v>0</v>
      </c>
      <c r="L981" s="61" t="str">
        <f aca="false">IF(LEN(A981&amp;"")=0,"",J981-I981)</f>
        <v/>
      </c>
      <c r="M981" s="1" t="n">
        <f aca="false">IF(LEN(A981&amp;"")=0,0,IF(COUNTIFS(Base!$A$7:$A$1006,A981)&gt;1,1,0))</f>
        <v>0</v>
      </c>
      <c r="N981" s="1" t="n">
        <f aca="false">IF(LEN(A981&amp;"")=0,0,IF(ABS(L981)&gt;0.005,1,0))</f>
        <v>0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customFormat="false" ht="23" hidden="false" customHeight="true" outlineLevel="0" collapsed="false">
      <c r="A982" s="1" t="str">
        <f aca="false">IF(LEN(Base!A982&amp;"")=0,"",Base!A982)</f>
        <v/>
      </c>
      <c r="B982" s="60" t="str">
        <f aca="false">IF(LEN(A982&amp;"")=0,"",Base!D982)</f>
        <v/>
      </c>
      <c r="C982" s="1" t="str">
        <f aca="false">IF(LEN(A982&amp;"")=0,"",Base!C982)</f>
        <v/>
      </c>
      <c r="D982" s="1" t="str">
        <f aca="false">IF(LEN(A982&amp;"")=0,"",Base!G982)</f>
        <v/>
      </c>
      <c r="E982" s="1" t="str">
        <f aca="false">IF(LEN(A982&amp;"")=0,"",Base!E982)</f>
        <v/>
      </c>
      <c r="F982" s="61" t="str">
        <f aca="false">IF(LEN(A982&amp;"")=0,"",IF(Base!I982="-",0,Base!I982))</f>
        <v/>
      </c>
      <c r="G982" s="61" t="str">
        <f aca="false">IF(LEN(A982&amp;"")=0,"",SUM(Base!F982,F982,Base!K982))</f>
        <v/>
      </c>
      <c r="H982" s="61" t="str">
        <f aca="false">IF(LEN(A982&amp;"")=0,"",Base!L982)</f>
        <v/>
      </c>
      <c r="I982" s="61" t="str">
        <f aca="false">IF(LEN(A982&amp;"")=0,"",G982-H982)</f>
        <v/>
      </c>
      <c r="J982" s="61" t="str">
        <f aca="false">IF(LEN(A982&amp;"")=0,"",Base!M982)</f>
        <v/>
      </c>
      <c r="K982" s="1" t="n">
        <f aca="false">IF(OR(LEN(A982&amp;"")=0,$P$3=0),0,IF(AND(B982&gt;=Painel!$B$8,B982&lt;=Painel!$G$8,OR(Painel!$L$8="Todos",C982=Painel!$L$8),OR(Painel!$Q$8="Todos",D982=Painel!$Q$8),OR(Painel!$V$8="Todas",E982=Painel!$V$8)),1,0))</f>
        <v>0</v>
      </c>
      <c r="L982" s="61" t="str">
        <f aca="false">IF(LEN(A982&amp;"")=0,"",J982-I982)</f>
        <v/>
      </c>
      <c r="M982" s="1" t="n">
        <f aca="false">IF(LEN(A982&amp;"")=0,0,IF(COUNTIFS(Base!$A$7:$A$1006,A982)&gt;1,1,0))</f>
        <v>0</v>
      </c>
      <c r="N982" s="1" t="n">
        <f aca="false">IF(LEN(A982&amp;"")=0,0,IF(ABS(L982)&gt;0.005,1,0))</f>
        <v>0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customFormat="false" ht="23" hidden="false" customHeight="true" outlineLevel="0" collapsed="false">
      <c r="A983" s="1" t="str">
        <f aca="false">IF(LEN(Base!A983&amp;"")=0,"",Base!A983)</f>
        <v/>
      </c>
      <c r="B983" s="60" t="str">
        <f aca="false">IF(LEN(A983&amp;"")=0,"",Base!D983)</f>
        <v/>
      </c>
      <c r="C983" s="1" t="str">
        <f aca="false">IF(LEN(A983&amp;"")=0,"",Base!C983)</f>
        <v/>
      </c>
      <c r="D983" s="1" t="str">
        <f aca="false">IF(LEN(A983&amp;"")=0,"",Base!G983)</f>
        <v/>
      </c>
      <c r="E983" s="1" t="str">
        <f aca="false">IF(LEN(A983&amp;"")=0,"",Base!E983)</f>
        <v/>
      </c>
      <c r="F983" s="61" t="str">
        <f aca="false">IF(LEN(A983&amp;"")=0,"",IF(Base!I983="-",0,Base!I983))</f>
        <v/>
      </c>
      <c r="G983" s="61" t="str">
        <f aca="false">IF(LEN(A983&amp;"")=0,"",SUM(Base!F983,F983,Base!K983))</f>
        <v/>
      </c>
      <c r="H983" s="61" t="str">
        <f aca="false">IF(LEN(A983&amp;"")=0,"",Base!L983)</f>
        <v/>
      </c>
      <c r="I983" s="61" t="str">
        <f aca="false">IF(LEN(A983&amp;"")=0,"",G983-H983)</f>
        <v/>
      </c>
      <c r="J983" s="61" t="str">
        <f aca="false">IF(LEN(A983&amp;"")=0,"",Base!M983)</f>
        <v/>
      </c>
      <c r="K983" s="1" t="n">
        <f aca="false">IF(OR(LEN(A983&amp;"")=0,$P$3=0),0,IF(AND(B983&gt;=Painel!$B$8,B983&lt;=Painel!$G$8,OR(Painel!$L$8="Todos",C983=Painel!$L$8),OR(Painel!$Q$8="Todos",D983=Painel!$Q$8),OR(Painel!$V$8="Todas",E983=Painel!$V$8)),1,0))</f>
        <v>0</v>
      </c>
      <c r="L983" s="61" t="str">
        <f aca="false">IF(LEN(A983&amp;"")=0,"",J983-I983)</f>
        <v/>
      </c>
      <c r="M983" s="1" t="n">
        <f aca="false">IF(LEN(A983&amp;"")=0,0,IF(COUNTIFS(Base!$A$7:$A$1006,A983)&gt;1,1,0))</f>
        <v>0</v>
      </c>
      <c r="N983" s="1" t="n">
        <f aca="false">IF(LEN(A983&amp;"")=0,0,IF(ABS(L983)&gt;0.005,1,0))</f>
        <v>0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customFormat="false" ht="23" hidden="false" customHeight="true" outlineLevel="0" collapsed="false">
      <c r="A984" s="1" t="str">
        <f aca="false">IF(LEN(Base!A984&amp;"")=0,"",Base!A984)</f>
        <v/>
      </c>
      <c r="B984" s="60" t="str">
        <f aca="false">IF(LEN(A984&amp;"")=0,"",Base!D984)</f>
        <v/>
      </c>
      <c r="C984" s="1" t="str">
        <f aca="false">IF(LEN(A984&amp;"")=0,"",Base!C984)</f>
        <v/>
      </c>
      <c r="D984" s="1" t="str">
        <f aca="false">IF(LEN(A984&amp;"")=0,"",Base!G984)</f>
        <v/>
      </c>
      <c r="E984" s="1" t="str">
        <f aca="false">IF(LEN(A984&amp;"")=0,"",Base!E984)</f>
        <v/>
      </c>
      <c r="F984" s="61" t="str">
        <f aca="false">IF(LEN(A984&amp;"")=0,"",IF(Base!I984="-",0,Base!I984))</f>
        <v/>
      </c>
      <c r="G984" s="61" t="str">
        <f aca="false">IF(LEN(A984&amp;"")=0,"",SUM(Base!F984,F984,Base!K984))</f>
        <v/>
      </c>
      <c r="H984" s="61" t="str">
        <f aca="false">IF(LEN(A984&amp;"")=0,"",Base!L984)</f>
        <v/>
      </c>
      <c r="I984" s="61" t="str">
        <f aca="false">IF(LEN(A984&amp;"")=0,"",G984-H984)</f>
        <v/>
      </c>
      <c r="J984" s="61" t="str">
        <f aca="false">IF(LEN(A984&amp;"")=0,"",Base!M984)</f>
        <v/>
      </c>
      <c r="K984" s="1" t="n">
        <f aca="false">IF(OR(LEN(A984&amp;"")=0,$P$3=0),0,IF(AND(B984&gt;=Painel!$B$8,B984&lt;=Painel!$G$8,OR(Painel!$L$8="Todos",C984=Painel!$L$8),OR(Painel!$Q$8="Todos",D984=Painel!$Q$8),OR(Painel!$V$8="Todas",E984=Painel!$V$8)),1,0))</f>
        <v>0</v>
      </c>
      <c r="L984" s="61" t="str">
        <f aca="false">IF(LEN(A984&amp;"")=0,"",J984-I984)</f>
        <v/>
      </c>
      <c r="M984" s="1" t="n">
        <f aca="false">IF(LEN(A984&amp;"")=0,0,IF(COUNTIFS(Base!$A$7:$A$1006,A984)&gt;1,1,0))</f>
        <v>0</v>
      </c>
      <c r="N984" s="1" t="n">
        <f aca="false">IF(LEN(A984&amp;"")=0,0,IF(ABS(L984)&gt;0.005,1,0))</f>
        <v>0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customFormat="false" ht="23" hidden="false" customHeight="true" outlineLevel="0" collapsed="false">
      <c r="A985" s="1" t="str">
        <f aca="false">IF(LEN(Base!A985&amp;"")=0,"",Base!A985)</f>
        <v/>
      </c>
      <c r="B985" s="60" t="str">
        <f aca="false">IF(LEN(A985&amp;"")=0,"",Base!D985)</f>
        <v/>
      </c>
      <c r="C985" s="1" t="str">
        <f aca="false">IF(LEN(A985&amp;"")=0,"",Base!C985)</f>
        <v/>
      </c>
      <c r="D985" s="1" t="str">
        <f aca="false">IF(LEN(A985&amp;"")=0,"",Base!G985)</f>
        <v/>
      </c>
      <c r="E985" s="1" t="str">
        <f aca="false">IF(LEN(A985&amp;"")=0,"",Base!E985)</f>
        <v/>
      </c>
      <c r="F985" s="61" t="str">
        <f aca="false">IF(LEN(A985&amp;"")=0,"",IF(Base!I985="-",0,Base!I985))</f>
        <v/>
      </c>
      <c r="G985" s="61" t="str">
        <f aca="false">IF(LEN(A985&amp;"")=0,"",SUM(Base!F985,F985,Base!K985))</f>
        <v/>
      </c>
      <c r="H985" s="61" t="str">
        <f aca="false">IF(LEN(A985&amp;"")=0,"",Base!L985)</f>
        <v/>
      </c>
      <c r="I985" s="61" t="str">
        <f aca="false">IF(LEN(A985&amp;"")=0,"",G985-H985)</f>
        <v/>
      </c>
      <c r="J985" s="61" t="str">
        <f aca="false">IF(LEN(A985&amp;"")=0,"",Base!M985)</f>
        <v/>
      </c>
      <c r="K985" s="1" t="n">
        <f aca="false">IF(OR(LEN(A985&amp;"")=0,$P$3=0),0,IF(AND(B985&gt;=Painel!$B$8,B985&lt;=Painel!$G$8,OR(Painel!$L$8="Todos",C985=Painel!$L$8),OR(Painel!$Q$8="Todos",D985=Painel!$Q$8),OR(Painel!$V$8="Todas",E985=Painel!$V$8)),1,0))</f>
        <v>0</v>
      </c>
      <c r="L985" s="61" t="str">
        <f aca="false">IF(LEN(A985&amp;"")=0,"",J985-I985)</f>
        <v/>
      </c>
      <c r="M985" s="1" t="n">
        <f aca="false">IF(LEN(A985&amp;"")=0,0,IF(COUNTIFS(Base!$A$7:$A$1006,A985)&gt;1,1,0))</f>
        <v>0</v>
      </c>
      <c r="N985" s="1" t="n">
        <f aca="false">IF(LEN(A985&amp;"")=0,0,IF(ABS(L985)&gt;0.005,1,0))</f>
        <v>0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customFormat="false" ht="23" hidden="false" customHeight="true" outlineLevel="0" collapsed="false">
      <c r="A986" s="1" t="str">
        <f aca="false">IF(LEN(Base!A986&amp;"")=0,"",Base!A986)</f>
        <v/>
      </c>
      <c r="B986" s="60" t="str">
        <f aca="false">IF(LEN(A986&amp;"")=0,"",Base!D986)</f>
        <v/>
      </c>
      <c r="C986" s="1" t="str">
        <f aca="false">IF(LEN(A986&amp;"")=0,"",Base!C986)</f>
        <v/>
      </c>
      <c r="D986" s="1" t="str">
        <f aca="false">IF(LEN(A986&amp;"")=0,"",Base!G986)</f>
        <v/>
      </c>
      <c r="E986" s="1" t="str">
        <f aca="false">IF(LEN(A986&amp;"")=0,"",Base!E986)</f>
        <v/>
      </c>
      <c r="F986" s="61" t="str">
        <f aca="false">IF(LEN(A986&amp;"")=0,"",IF(Base!I986="-",0,Base!I986))</f>
        <v/>
      </c>
      <c r="G986" s="61" t="str">
        <f aca="false">IF(LEN(A986&amp;"")=0,"",SUM(Base!F986,F986,Base!K986))</f>
        <v/>
      </c>
      <c r="H986" s="61" t="str">
        <f aca="false">IF(LEN(A986&amp;"")=0,"",Base!L986)</f>
        <v/>
      </c>
      <c r="I986" s="61" t="str">
        <f aca="false">IF(LEN(A986&amp;"")=0,"",G986-H986)</f>
        <v/>
      </c>
      <c r="J986" s="61" t="str">
        <f aca="false">IF(LEN(A986&amp;"")=0,"",Base!M986)</f>
        <v/>
      </c>
      <c r="K986" s="1" t="n">
        <f aca="false">IF(OR(LEN(A986&amp;"")=0,$P$3=0),0,IF(AND(B986&gt;=Painel!$B$8,B986&lt;=Painel!$G$8,OR(Painel!$L$8="Todos",C986=Painel!$L$8),OR(Painel!$Q$8="Todos",D986=Painel!$Q$8),OR(Painel!$V$8="Todas",E986=Painel!$V$8)),1,0))</f>
        <v>0</v>
      </c>
      <c r="L986" s="61" t="str">
        <f aca="false">IF(LEN(A986&amp;"")=0,"",J986-I986)</f>
        <v/>
      </c>
      <c r="M986" s="1" t="n">
        <f aca="false">IF(LEN(A986&amp;"")=0,0,IF(COUNTIFS(Base!$A$7:$A$1006,A986)&gt;1,1,0))</f>
        <v>0</v>
      </c>
      <c r="N986" s="1" t="n">
        <f aca="false">IF(LEN(A986&amp;"")=0,0,IF(ABS(L986)&gt;0.005,1,0))</f>
        <v>0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customFormat="false" ht="23" hidden="false" customHeight="true" outlineLevel="0" collapsed="false">
      <c r="A987" s="1" t="str">
        <f aca="false">IF(LEN(Base!A987&amp;"")=0,"",Base!A987)</f>
        <v/>
      </c>
      <c r="B987" s="60" t="str">
        <f aca="false">IF(LEN(A987&amp;"")=0,"",Base!D987)</f>
        <v/>
      </c>
      <c r="C987" s="1" t="str">
        <f aca="false">IF(LEN(A987&amp;"")=0,"",Base!C987)</f>
        <v/>
      </c>
      <c r="D987" s="1" t="str">
        <f aca="false">IF(LEN(A987&amp;"")=0,"",Base!G987)</f>
        <v/>
      </c>
      <c r="E987" s="1" t="str">
        <f aca="false">IF(LEN(A987&amp;"")=0,"",Base!E987)</f>
        <v/>
      </c>
      <c r="F987" s="61" t="str">
        <f aca="false">IF(LEN(A987&amp;"")=0,"",IF(Base!I987="-",0,Base!I987))</f>
        <v/>
      </c>
      <c r="G987" s="61" t="str">
        <f aca="false">IF(LEN(A987&amp;"")=0,"",SUM(Base!F987,F987,Base!K987))</f>
        <v/>
      </c>
      <c r="H987" s="61" t="str">
        <f aca="false">IF(LEN(A987&amp;"")=0,"",Base!L987)</f>
        <v/>
      </c>
      <c r="I987" s="61" t="str">
        <f aca="false">IF(LEN(A987&amp;"")=0,"",G987-H987)</f>
        <v/>
      </c>
      <c r="J987" s="61" t="str">
        <f aca="false">IF(LEN(A987&amp;"")=0,"",Base!M987)</f>
        <v/>
      </c>
      <c r="K987" s="1" t="n">
        <f aca="false">IF(OR(LEN(A987&amp;"")=0,$P$3=0),0,IF(AND(B987&gt;=Painel!$B$8,B987&lt;=Painel!$G$8,OR(Painel!$L$8="Todos",C987=Painel!$L$8),OR(Painel!$Q$8="Todos",D987=Painel!$Q$8),OR(Painel!$V$8="Todas",E987=Painel!$V$8)),1,0))</f>
        <v>0</v>
      </c>
      <c r="L987" s="61" t="str">
        <f aca="false">IF(LEN(A987&amp;"")=0,"",J987-I987)</f>
        <v/>
      </c>
      <c r="M987" s="1" t="n">
        <f aca="false">IF(LEN(A987&amp;"")=0,0,IF(COUNTIFS(Base!$A$7:$A$1006,A987)&gt;1,1,0))</f>
        <v>0</v>
      </c>
      <c r="N987" s="1" t="n">
        <f aca="false">IF(LEN(A987&amp;"")=0,0,IF(ABS(L987)&gt;0.005,1,0))</f>
        <v>0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customFormat="false" ht="23" hidden="false" customHeight="true" outlineLevel="0" collapsed="false">
      <c r="A988" s="1" t="str">
        <f aca="false">IF(LEN(Base!A988&amp;"")=0,"",Base!A988)</f>
        <v/>
      </c>
      <c r="B988" s="60" t="str">
        <f aca="false">IF(LEN(A988&amp;"")=0,"",Base!D988)</f>
        <v/>
      </c>
      <c r="C988" s="1" t="str">
        <f aca="false">IF(LEN(A988&amp;"")=0,"",Base!C988)</f>
        <v/>
      </c>
      <c r="D988" s="1" t="str">
        <f aca="false">IF(LEN(A988&amp;"")=0,"",Base!G988)</f>
        <v/>
      </c>
      <c r="E988" s="1" t="str">
        <f aca="false">IF(LEN(A988&amp;"")=0,"",Base!E988)</f>
        <v/>
      </c>
      <c r="F988" s="61" t="str">
        <f aca="false">IF(LEN(A988&amp;"")=0,"",IF(Base!I988="-",0,Base!I988))</f>
        <v/>
      </c>
      <c r="G988" s="61" t="str">
        <f aca="false">IF(LEN(A988&amp;"")=0,"",SUM(Base!F988,F988,Base!K988))</f>
        <v/>
      </c>
      <c r="H988" s="61" t="str">
        <f aca="false">IF(LEN(A988&amp;"")=0,"",Base!L988)</f>
        <v/>
      </c>
      <c r="I988" s="61" t="str">
        <f aca="false">IF(LEN(A988&amp;"")=0,"",G988-H988)</f>
        <v/>
      </c>
      <c r="J988" s="61" t="str">
        <f aca="false">IF(LEN(A988&amp;"")=0,"",Base!M988)</f>
        <v/>
      </c>
      <c r="K988" s="1" t="n">
        <f aca="false">IF(OR(LEN(A988&amp;"")=0,$P$3=0),0,IF(AND(B988&gt;=Painel!$B$8,B988&lt;=Painel!$G$8,OR(Painel!$L$8="Todos",C988=Painel!$L$8),OR(Painel!$Q$8="Todos",D988=Painel!$Q$8),OR(Painel!$V$8="Todas",E988=Painel!$V$8)),1,0))</f>
        <v>0</v>
      </c>
      <c r="L988" s="61" t="str">
        <f aca="false">IF(LEN(A988&amp;"")=0,"",J988-I988)</f>
        <v/>
      </c>
      <c r="M988" s="1" t="n">
        <f aca="false">IF(LEN(A988&amp;"")=0,0,IF(COUNTIFS(Base!$A$7:$A$1006,A988)&gt;1,1,0))</f>
        <v>0</v>
      </c>
      <c r="N988" s="1" t="n">
        <f aca="false">IF(LEN(A988&amp;"")=0,0,IF(ABS(L988)&gt;0.005,1,0))</f>
        <v>0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customFormat="false" ht="23" hidden="false" customHeight="true" outlineLevel="0" collapsed="false">
      <c r="A989" s="1" t="str">
        <f aca="false">IF(LEN(Base!A989&amp;"")=0,"",Base!A989)</f>
        <v/>
      </c>
      <c r="B989" s="60" t="str">
        <f aca="false">IF(LEN(A989&amp;"")=0,"",Base!D989)</f>
        <v/>
      </c>
      <c r="C989" s="1" t="str">
        <f aca="false">IF(LEN(A989&amp;"")=0,"",Base!C989)</f>
        <v/>
      </c>
      <c r="D989" s="1" t="str">
        <f aca="false">IF(LEN(A989&amp;"")=0,"",Base!G989)</f>
        <v/>
      </c>
      <c r="E989" s="1" t="str">
        <f aca="false">IF(LEN(A989&amp;"")=0,"",Base!E989)</f>
        <v/>
      </c>
      <c r="F989" s="61" t="str">
        <f aca="false">IF(LEN(A989&amp;"")=0,"",IF(Base!I989="-",0,Base!I989))</f>
        <v/>
      </c>
      <c r="G989" s="61" t="str">
        <f aca="false">IF(LEN(A989&amp;"")=0,"",SUM(Base!F989,F989,Base!K989))</f>
        <v/>
      </c>
      <c r="H989" s="61" t="str">
        <f aca="false">IF(LEN(A989&amp;"")=0,"",Base!L989)</f>
        <v/>
      </c>
      <c r="I989" s="61" t="str">
        <f aca="false">IF(LEN(A989&amp;"")=0,"",G989-H989)</f>
        <v/>
      </c>
      <c r="J989" s="61" t="str">
        <f aca="false">IF(LEN(A989&amp;"")=0,"",Base!M989)</f>
        <v/>
      </c>
      <c r="K989" s="1" t="n">
        <f aca="false">IF(OR(LEN(A989&amp;"")=0,$P$3=0),0,IF(AND(B989&gt;=Painel!$B$8,B989&lt;=Painel!$G$8,OR(Painel!$L$8="Todos",C989=Painel!$L$8),OR(Painel!$Q$8="Todos",D989=Painel!$Q$8),OR(Painel!$V$8="Todas",E989=Painel!$V$8)),1,0))</f>
        <v>0</v>
      </c>
      <c r="L989" s="61" t="str">
        <f aca="false">IF(LEN(A989&amp;"")=0,"",J989-I989)</f>
        <v/>
      </c>
      <c r="M989" s="1" t="n">
        <f aca="false">IF(LEN(A989&amp;"")=0,0,IF(COUNTIFS(Base!$A$7:$A$1006,A989)&gt;1,1,0))</f>
        <v>0</v>
      </c>
      <c r="N989" s="1" t="n">
        <f aca="false">IF(LEN(A989&amp;"")=0,0,IF(ABS(L989)&gt;0.005,1,0))</f>
        <v>0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customFormat="false" ht="23" hidden="false" customHeight="true" outlineLevel="0" collapsed="false">
      <c r="A990" s="1" t="str">
        <f aca="false">IF(LEN(Base!A990&amp;"")=0,"",Base!A990)</f>
        <v/>
      </c>
      <c r="B990" s="60" t="str">
        <f aca="false">IF(LEN(A990&amp;"")=0,"",Base!D990)</f>
        <v/>
      </c>
      <c r="C990" s="1" t="str">
        <f aca="false">IF(LEN(A990&amp;"")=0,"",Base!C990)</f>
        <v/>
      </c>
      <c r="D990" s="1" t="str">
        <f aca="false">IF(LEN(A990&amp;"")=0,"",Base!G990)</f>
        <v/>
      </c>
      <c r="E990" s="1" t="str">
        <f aca="false">IF(LEN(A990&amp;"")=0,"",Base!E990)</f>
        <v/>
      </c>
      <c r="F990" s="61" t="str">
        <f aca="false">IF(LEN(A990&amp;"")=0,"",IF(Base!I990="-",0,Base!I990))</f>
        <v/>
      </c>
      <c r="G990" s="61" t="str">
        <f aca="false">IF(LEN(A990&amp;"")=0,"",SUM(Base!F990,F990,Base!K990))</f>
        <v/>
      </c>
      <c r="H990" s="61" t="str">
        <f aca="false">IF(LEN(A990&amp;"")=0,"",Base!L990)</f>
        <v/>
      </c>
      <c r="I990" s="61" t="str">
        <f aca="false">IF(LEN(A990&amp;"")=0,"",G990-H990)</f>
        <v/>
      </c>
      <c r="J990" s="61" t="str">
        <f aca="false">IF(LEN(A990&amp;"")=0,"",Base!M990)</f>
        <v/>
      </c>
      <c r="K990" s="1" t="n">
        <f aca="false">IF(OR(LEN(A990&amp;"")=0,$P$3=0),0,IF(AND(B990&gt;=Painel!$B$8,B990&lt;=Painel!$G$8,OR(Painel!$L$8="Todos",C990=Painel!$L$8),OR(Painel!$Q$8="Todos",D990=Painel!$Q$8),OR(Painel!$V$8="Todas",E990=Painel!$V$8)),1,0))</f>
        <v>0</v>
      </c>
      <c r="L990" s="61" t="str">
        <f aca="false">IF(LEN(A990&amp;"")=0,"",J990-I990)</f>
        <v/>
      </c>
      <c r="M990" s="1" t="n">
        <f aca="false">IF(LEN(A990&amp;"")=0,0,IF(COUNTIFS(Base!$A$7:$A$1006,A990)&gt;1,1,0))</f>
        <v>0</v>
      </c>
      <c r="N990" s="1" t="n">
        <f aca="false">IF(LEN(A990&amp;"")=0,0,IF(ABS(L990)&gt;0.005,1,0))</f>
        <v>0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customFormat="false" ht="23" hidden="false" customHeight="true" outlineLevel="0" collapsed="false">
      <c r="A991" s="1" t="str">
        <f aca="false">IF(LEN(Base!A991&amp;"")=0,"",Base!A991)</f>
        <v/>
      </c>
      <c r="B991" s="60" t="str">
        <f aca="false">IF(LEN(A991&amp;"")=0,"",Base!D991)</f>
        <v/>
      </c>
      <c r="C991" s="1" t="str">
        <f aca="false">IF(LEN(A991&amp;"")=0,"",Base!C991)</f>
        <v/>
      </c>
      <c r="D991" s="1" t="str">
        <f aca="false">IF(LEN(A991&amp;"")=0,"",Base!G991)</f>
        <v/>
      </c>
      <c r="E991" s="1" t="str">
        <f aca="false">IF(LEN(A991&amp;"")=0,"",Base!E991)</f>
        <v/>
      </c>
      <c r="F991" s="61" t="str">
        <f aca="false">IF(LEN(A991&amp;"")=0,"",IF(Base!I991="-",0,Base!I991))</f>
        <v/>
      </c>
      <c r="G991" s="61" t="str">
        <f aca="false">IF(LEN(A991&amp;"")=0,"",SUM(Base!F991,F991,Base!K991))</f>
        <v/>
      </c>
      <c r="H991" s="61" t="str">
        <f aca="false">IF(LEN(A991&amp;"")=0,"",Base!L991)</f>
        <v/>
      </c>
      <c r="I991" s="61" t="str">
        <f aca="false">IF(LEN(A991&amp;"")=0,"",G991-H991)</f>
        <v/>
      </c>
      <c r="J991" s="61" t="str">
        <f aca="false">IF(LEN(A991&amp;"")=0,"",Base!M991)</f>
        <v/>
      </c>
      <c r="K991" s="1" t="n">
        <f aca="false">IF(OR(LEN(A991&amp;"")=0,$P$3=0),0,IF(AND(B991&gt;=Painel!$B$8,B991&lt;=Painel!$G$8,OR(Painel!$L$8="Todos",C991=Painel!$L$8),OR(Painel!$Q$8="Todos",D991=Painel!$Q$8),OR(Painel!$V$8="Todas",E991=Painel!$V$8)),1,0))</f>
        <v>0</v>
      </c>
      <c r="L991" s="61" t="str">
        <f aca="false">IF(LEN(A991&amp;"")=0,"",J991-I991)</f>
        <v/>
      </c>
      <c r="M991" s="1" t="n">
        <f aca="false">IF(LEN(A991&amp;"")=0,0,IF(COUNTIFS(Base!$A$7:$A$1006,A991)&gt;1,1,0))</f>
        <v>0</v>
      </c>
      <c r="N991" s="1" t="n">
        <f aca="false">IF(LEN(A991&amp;"")=0,0,IF(ABS(L991)&gt;0.005,1,0))</f>
        <v>0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customFormat="false" ht="23" hidden="false" customHeight="true" outlineLevel="0" collapsed="false">
      <c r="A992" s="1" t="str">
        <f aca="false">IF(LEN(Base!A992&amp;"")=0,"",Base!A992)</f>
        <v/>
      </c>
      <c r="B992" s="60" t="str">
        <f aca="false">IF(LEN(A992&amp;"")=0,"",Base!D992)</f>
        <v/>
      </c>
      <c r="C992" s="1" t="str">
        <f aca="false">IF(LEN(A992&amp;"")=0,"",Base!C992)</f>
        <v/>
      </c>
      <c r="D992" s="1" t="str">
        <f aca="false">IF(LEN(A992&amp;"")=0,"",Base!G992)</f>
        <v/>
      </c>
      <c r="E992" s="1" t="str">
        <f aca="false">IF(LEN(A992&amp;"")=0,"",Base!E992)</f>
        <v/>
      </c>
      <c r="F992" s="61" t="str">
        <f aca="false">IF(LEN(A992&amp;"")=0,"",IF(Base!I992="-",0,Base!I992))</f>
        <v/>
      </c>
      <c r="G992" s="61" t="str">
        <f aca="false">IF(LEN(A992&amp;"")=0,"",SUM(Base!F992,F992,Base!K992))</f>
        <v/>
      </c>
      <c r="H992" s="61" t="str">
        <f aca="false">IF(LEN(A992&amp;"")=0,"",Base!L992)</f>
        <v/>
      </c>
      <c r="I992" s="61" t="str">
        <f aca="false">IF(LEN(A992&amp;"")=0,"",G992-H992)</f>
        <v/>
      </c>
      <c r="J992" s="61" t="str">
        <f aca="false">IF(LEN(A992&amp;"")=0,"",Base!M992)</f>
        <v/>
      </c>
      <c r="K992" s="1" t="n">
        <f aca="false">IF(OR(LEN(A992&amp;"")=0,$P$3=0),0,IF(AND(B992&gt;=Painel!$B$8,B992&lt;=Painel!$G$8,OR(Painel!$L$8="Todos",C992=Painel!$L$8),OR(Painel!$Q$8="Todos",D992=Painel!$Q$8),OR(Painel!$V$8="Todas",E992=Painel!$V$8)),1,0))</f>
        <v>0</v>
      </c>
      <c r="L992" s="61" t="str">
        <f aca="false">IF(LEN(A992&amp;"")=0,"",J992-I992)</f>
        <v/>
      </c>
      <c r="M992" s="1" t="n">
        <f aca="false">IF(LEN(A992&amp;"")=0,0,IF(COUNTIFS(Base!$A$7:$A$1006,A992)&gt;1,1,0))</f>
        <v>0</v>
      </c>
      <c r="N992" s="1" t="n">
        <f aca="false">IF(LEN(A992&amp;"")=0,0,IF(ABS(L992)&gt;0.005,1,0))</f>
        <v>0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customFormat="false" ht="23" hidden="false" customHeight="true" outlineLevel="0" collapsed="false">
      <c r="A993" s="1" t="str">
        <f aca="false">IF(LEN(Base!A993&amp;"")=0,"",Base!A993)</f>
        <v/>
      </c>
      <c r="B993" s="60" t="str">
        <f aca="false">IF(LEN(A993&amp;"")=0,"",Base!D993)</f>
        <v/>
      </c>
      <c r="C993" s="1" t="str">
        <f aca="false">IF(LEN(A993&amp;"")=0,"",Base!C993)</f>
        <v/>
      </c>
      <c r="D993" s="1" t="str">
        <f aca="false">IF(LEN(A993&amp;"")=0,"",Base!G993)</f>
        <v/>
      </c>
      <c r="E993" s="1" t="str">
        <f aca="false">IF(LEN(A993&amp;"")=0,"",Base!E993)</f>
        <v/>
      </c>
      <c r="F993" s="61" t="str">
        <f aca="false">IF(LEN(A993&amp;"")=0,"",IF(Base!I993="-",0,Base!I993))</f>
        <v/>
      </c>
      <c r="G993" s="61" t="str">
        <f aca="false">IF(LEN(A993&amp;"")=0,"",SUM(Base!F993,F993,Base!K993))</f>
        <v/>
      </c>
      <c r="H993" s="61" t="str">
        <f aca="false">IF(LEN(A993&amp;"")=0,"",Base!L993)</f>
        <v/>
      </c>
      <c r="I993" s="61" t="str">
        <f aca="false">IF(LEN(A993&amp;"")=0,"",G993-H993)</f>
        <v/>
      </c>
      <c r="J993" s="61" t="str">
        <f aca="false">IF(LEN(A993&amp;"")=0,"",Base!M993)</f>
        <v/>
      </c>
      <c r="K993" s="1" t="n">
        <f aca="false">IF(OR(LEN(A993&amp;"")=0,$P$3=0),0,IF(AND(B993&gt;=Painel!$B$8,B993&lt;=Painel!$G$8,OR(Painel!$L$8="Todos",C993=Painel!$L$8),OR(Painel!$Q$8="Todos",D993=Painel!$Q$8),OR(Painel!$V$8="Todas",E993=Painel!$V$8)),1,0))</f>
        <v>0</v>
      </c>
      <c r="L993" s="61" t="str">
        <f aca="false">IF(LEN(A993&amp;"")=0,"",J993-I993)</f>
        <v/>
      </c>
      <c r="M993" s="1" t="n">
        <f aca="false">IF(LEN(A993&amp;"")=0,0,IF(COUNTIFS(Base!$A$7:$A$1006,A993)&gt;1,1,0))</f>
        <v>0</v>
      </c>
      <c r="N993" s="1" t="n">
        <f aca="false">IF(LEN(A993&amp;"")=0,0,IF(ABS(L993)&gt;0.005,1,0))</f>
        <v>0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customFormat="false" ht="23" hidden="false" customHeight="true" outlineLevel="0" collapsed="false">
      <c r="A994" s="1" t="str">
        <f aca="false">IF(LEN(Base!A994&amp;"")=0,"",Base!A994)</f>
        <v/>
      </c>
      <c r="B994" s="60" t="str">
        <f aca="false">IF(LEN(A994&amp;"")=0,"",Base!D994)</f>
        <v/>
      </c>
      <c r="C994" s="1" t="str">
        <f aca="false">IF(LEN(A994&amp;"")=0,"",Base!C994)</f>
        <v/>
      </c>
      <c r="D994" s="1" t="str">
        <f aca="false">IF(LEN(A994&amp;"")=0,"",Base!G994)</f>
        <v/>
      </c>
      <c r="E994" s="1" t="str">
        <f aca="false">IF(LEN(A994&amp;"")=0,"",Base!E994)</f>
        <v/>
      </c>
      <c r="F994" s="61" t="str">
        <f aca="false">IF(LEN(A994&amp;"")=0,"",IF(Base!I994="-",0,Base!I994))</f>
        <v/>
      </c>
      <c r="G994" s="61" t="str">
        <f aca="false">IF(LEN(A994&amp;"")=0,"",SUM(Base!F994,F994,Base!K994))</f>
        <v/>
      </c>
      <c r="H994" s="61" t="str">
        <f aca="false">IF(LEN(A994&amp;"")=0,"",Base!L994)</f>
        <v/>
      </c>
      <c r="I994" s="61" t="str">
        <f aca="false">IF(LEN(A994&amp;"")=0,"",G994-H994)</f>
        <v/>
      </c>
      <c r="J994" s="61" t="str">
        <f aca="false">IF(LEN(A994&amp;"")=0,"",Base!M994)</f>
        <v/>
      </c>
      <c r="K994" s="1" t="n">
        <f aca="false">IF(OR(LEN(A994&amp;"")=0,$P$3=0),0,IF(AND(B994&gt;=Painel!$B$8,B994&lt;=Painel!$G$8,OR(Painel!$L$8="Todos",C994=Painel!$L$8),OR(Painel!$Q$8="Todos",D994=Painel!$Q$8),OR(Painel!$V$8="Todas",E994=Painel!$V$8)),1,0))</f>
        <v>0</v>
      </c>
      <c r="L994" s="61" t="str">
        <f aca="false">IF(LEN(A994&amp;"")=0,"",J994-I994)</f>
        <v/>
      </c>
      <c r="M994" s="1" t="n">
        <f aca="false">IF(LEN(A994&amp;"")=0,0,IF(COUNTIFS(Base!$A$7:$A$1006,A994)&gt;1,1,0))</f>
        <v>0</v>
      </c>
      <c r="N994" s="1" t="n">
        <f aca="false">IF(LEN(A994&amp;"")=0,0,IF(ABS(L994)&gt;0.005,1,0))</f>
        <v>0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customFormat="false" ht="23" hidden="false" customHeight="true" outlineLevel="0" collapsed="false">
      <c r="A995" s="1" t="str">
        <f aca="false">IF(LEN(Base!A995&amp;"")=0,"",Base!A995)</f>
        <v/>
      </c>
      <c r="B995" s="60" t="str">
        <f aca="false">IF(LEN(A995&amp;"")=0,"",Base!D995)</f>
        <v/>
      </c>
      <c r="C995" s="1" t="str">
        <f aca="false">IF(LEN(A995&amp;"")=0,"",Base!C995)</f>
        <v/>
      </c>
      <c r="D995" s="1" t="str">
        <f aca="false">IF(LEN(A995&amp;"")=0,"",Base!G995)</f>
        <v/>
      </c>
      <c r="E995" s="1" t="str">
        <f aca="false">IF(LEN(A995&amp;"")=0,"",Base!E995)</f>
        <v/>
      </c>
      <c r="F995" s="61" t="str">
        <f aca="false">IF(LEN(A995&amp;"")=0,"",IF(Base!I995="-",0,Base!I995))</f>
        <v/>
      </c>
      <c r="G995" s="61" t="str">
        <f aca="false">IF(LEN(A995&amp;"")=0,"",SUM(Base!F995,F995,Base!K995))</f>
        <v/>
      </c>
      <c r="H995" s="61" t="str">
        <f aca="false">IF(LEN(A995&amp;"")=0,"",Base!L995)</f>
        <v/>
      </c>
      <c r="I995" s="61" t="str">
        <f aca="false">IF(LEN(A995&amp;"")=0,"",G995-H995)</f>
        <v/>
      </c>
      <c r="J995" s="61" t="str">
        <f aca="false">IF(LEN(A995&amp;"")=0,"",Base!M995)</f>
        <v/>
      </c>
      <c r="K995" s="1" t="n">
        <f aca="false">IF(OR(LEN(A995&amp;"")=0,$P$3=0),0,IF(AND(B995&gt;=Painel!$B$8,B995&lt;=Painel!$G$8,OR(Painel!$L$8="Todos",C995=Painel!$L$8),OR(Painel!$Q$8="Todos",D995=Painel!$Q$8),OR(Painel!$V$8="Todas",E995=Painel!$V$8)),1,0))</f>
        <v>0</v>
      </c>
      <c r="L995" s="61" t="str">
        <f aca="false">IF(LEN(A995&amp;"")=0,"",J995-I995)</f>
        <v/>
      </c>
      <c r="M995" s="1" t="n">
        <f aca="false">IF(LEN(A995&amp;"")=0,0,IF(COUNTIFS(Base!$A$7:$A$1006,A995)&gt;1,1,0))</f>
        <v>0</v>
      </c>
      <c r="N995" s="1" t="n">
        <f aca="false">IF(LEN(A995&amp;"")=0,0,IF(ABS(L995)&gt;0.005,1,0))</f>
        <v>0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customFormat="false" ht="23" hidden="false" customHeight="true" outlineLevel="0" collapsed="false">
      <c r="A996" s="1" t="str">
        <f aca="false">IF(LEN(Base!A996&amp;"")=0,"",Base!A996)</f>
        <v/>
      </c>
      <c r="B996" s="60" t="str">
        <f aca="false">IF(LEN(A996&amp;"")=0,"",Base!D996)</f>
        <v/>
      </c>
      <c r="C996" s="1" t="str">
        <f aca="false">IF(LEN(A996&amp;"")=0,"",Base!C996)</f>
        <v/>
      </c>
      <c r="D996" s="1" t="str">
        <f aca="false">IF(LEN(A996&amp;"")=0,"",Base!G996)</f>
        <v/>
      </c>
      <c r="E996" s="1" t="str">
        <f aca="false">IF(LEN(A996&amp;"")=0,"",Base!E996)</f>
        <v/>
      </c>
      <c r="F996" s="61" t="str">
        <f aca="false">IF(LEN(A996&amp;"")=0,"",IF(Base!I996="-",0,Base!I996))</f>
        <v/>
      </c>
      <c r="G996" s="61" t="str">
        <f aca="false">IF(LEN(A996&amp;"")=0,"",SUM(Base!F996,F996,Base!K996))</f>
        <v/>
      </c>
      <c r="H996" s="61" t="str">
        <f aca="false">IF(LEN(A996&amp;"")=0,"",Base!L996)</f>
        <v/>
      </c>
      <c r="I996" s="61" t="str">
        <f aca="false">IF(LEN(A996&amp;"")=0,"",G996-H996)</f>
        <v/>
      </c>
      <c r="J996" s="61" t="str">
        <f aca="false">IF(LEN(A996&amp;"")=0,"",Base!M996)</f>
        <v/>
      </c>
      <c r="K996" s="1" t="n">
        <f aca="false">IF(OR(LEN(A996&amp;"")=0,$P$3=0),0,IF(AND(B996&gt;=Painel!$B$8,B996&lt;=Painel!$G$8,OR(Painel!$L$8="Todos",C996=Painel!$L$8),OR(Painel!$Q$8="Todos",D996=Painel!$Q$8),OR(Painel!$V$8="Todas",E996=Painel!$V$8)),1,0))</f>
        <v>0</v>
      </c>
      <c r="L996" s="61" t="str">
        <f aca="false">IF(LEN(A996&amp;"")=0,"",J996-I996)</f>
        <v/>
      </c>
      <c r="M996" s="1" t="n">
        <f aca="false">IF(LEN(A996&amp;"")=0,0,IF(COUNTIFS(Base!$A$7:$A$1006,A996)&gt;1,1,0))</f>
        <v>0</v>
      </c>
      <c r="N996" s="1" t="n">
        <f aca="false">IF(LEN(A996&amp;"")=0,0,IF(ABS(L996)&gt;0.005,1,0))</f>
        <v>0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customFormat="false" ht="23" hidden="false" customHeight="true" outlineLevel="0" collapsed="false">
      <c r="A997" s="1" t="str">
        <f aca="false">IF(LEN(Base!A997&amp;"")=0,"",Base!A997)</f>
        <v/>
      </c>
      <c r="B997" s="60" t="str">
        <f aca="false">IF(LEN(A997&amp;"")=0,"",Base!D997)</f>
        <v/>
      </c>
      <c r="C997" s="1" t="str">
        <f aca="false">IF(LEN(A997&amp;"")=0,"",Base!C997)</f>
        <v/>
      </c>
      <c r="D997" s="1" t="str">
        <f aca="false">IF(LEN(A997&amp;"")=0,"",Base!G997)</f>
        <v/>
      </c>
      <c r="E997" s="1" t="str">
        <f aca="false">IF(LEN(A997&amp;"")=0,"",Base!E997)</f>
        <v/>
      </c>
      <c r="F997" s="61" t="str">
        <f aca="false">IF(LEN(A997&amp;"")=0,"",IF(Base!I997="-",0,Base!I997))</f>
        <v/>
      </c>
      <c r="G997" s="61" t="str">
        <f aca="false">IF(LEN(A997&amp;"")=0,"",SUM(Base!F997,F997,Base!K997))</f>
        <v/>
      </c>
      <c r="H997" s="61" t="str">
        <f aca="false">IF(LEN(A997&amp;"")=0,"",Base!L997)</f>
        <v/>
      </c>
      <c r="I997" s="61" t="str">
        <f aca="false">IF(LEN(A997&amp;"")=0,"",G997-H997)</f>
        <v/>
      </c>
      <c r="J997" s="61" t="str">
        <f aca="false">IF(LEN(A997&amp;"")=0,"",Base!M997)</f>
        <v/>
      </c>
      <c r="K997" s="1" t="n">
        <f aca="false">IF(OR(LEN(A997&amp;"")=0,$P$3=0),0,IF(AND(B997&gt;=Painel!$B$8,B997&lt;=Painel!$G$8,OR(Painel!$L$8="Todos",C997=Painel!$L$8),OR(Painel!$Q$8="Todos",D997=Painel!$Q$8),OR(Painel!$V$8="Todas",E997=Painel!$V$8)),1,0))</f>
        <v>0</v>
      </c>
      <c r="L997" s="61" t="str">
        <f aca="false">IF(LEN(A997&amp;"")=0,"",J997-I997)</f>
        <v/>
      </c>
      <c r="M997" s="1" t="n">
        <f aca="false">IF(LEN(A997&amp;"")=0,0,IF(COUNTIFS(Base!$A$7:$A$1006,A997)&gt;1,1,0))</f>
        <v>0</v>
      </c>
      <c r="N997" s="1" t="n">
        <f aca="false">IF(LEN(A997&amp;"")=0,0,IF(ABS(L997)&gt;0.005,1,0))</f>
        <v>0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customFormat="false" ht="23" hidden="false" customHeight="true" outlineLevel="0" collapsed="false">
      <c r="A998" s="1" t="str">
        <f aca="false">IF(LEN(Base!A998&amp;"")=0,"",Base!A998)</f>
        <v/>
      </c>
      <c r="B998" s="60" t="str">
        <f aca="false">IF(LEN(A998&amp;"")=0,"",Base!D998)</f>
        <v/>
      </c>
      <c r="C998" s="1" t="str">
        <f aca="false">IF(LEN(A998&amp;"")=0,"",Base!C998)</f>
        <v/>
      </c>
      <c r="D998" s="1" t="str">
        <f aca="false">IF(LEN(A998&amp;"")=0,"",Base!G998)</f>
        <v/>
      </c>
      <c r="E998" s="1" t="str">
        <f aca="false">IF(LEN(A998&amp;"")=0,"",Base!E998)</f>
        <v/>
      </c>
      <c r="F998" s="61" t="str">
        <f aca="false">IF(LEN(A998&amp;"")=0,"",IF(Base!I998="-",0,Base!I998))</f>
        <v/>
      </c>
      <c r="G998" s="61" t="str">
        <f aca="false">IF(LEN(A998&amp;"")=0,"",SUM(Base!F998,F998,Base!K998))</f>
        <v/>
      </c>
      <c r="H998" s="61" t="str">
        <f aca="false">IF(LEN(A998&amp;"")=0,"",Base!L998)</f>
        <v/>
      </c>
      <c r="I998" s="61" t="str">
        <f aca="false">IF(LEN(A998&amp;"")=0,"",G998-H998)</f>
        <v/>
      </c>
      <c r="J998" s="61" t="str">
        <f aca="false">IF(LEN(A998&amp;"")=0,"",Base!M998)</f>
        <v/>
      </c>
      <c r="K998" s="1" t="n">
        <f aca="false">IF(OR(LEN(A998&amp;"")=0,$P$3=0),0,IF(AND(B998&gt;=Painel!$B$8,B998&lt;=Painel!$G$8,OR(Painel!$L$8="Todos",C998=Painel!$L$8),OR(Painel!$Q$8="Todos",D998=Painel!$Q$8),OR(Painel!$V$8="Todas",E998=Painel!$V$8)),1,0))</f>
        <v>0</v>
      </c>
      <c r="L998" s="61" t="str">
        <f aca="false">IF(LEN(A998&amp;"")=0,"",J998-I998)</f>
        <v/>
      </c>
      <c r="M998" s="1" t="n">
        <f aca="false">IF(LEN(A998&amp;"")=0,0,IF(COUNTIFS(Base!$A$7:$A$1006,A998)&gt;1,1,0))</f>
        <v>0</v>
      </c>
      <c r="N998" s="1" t="n">
        <f aca="false">IF(LEN(A998&amp;"")=0,0,IF(ABS(L998)&gt;0.005,1,0))</f>
        <v>0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customFormat="false" ht="23" hidden="false" customHeight="true" outlineLevel="0" collapsed="false">
      <c r="A999" s="1" t="str">
        <f aca="false">IF(LEN(Base!A999&amp;"")=0,"",Base!A999)</f>
        <v/>
      </c>
      <c r="B999" s="60" t="str">
        <f aca="false">IF(LEN(A999&amp;"")=0,"",Base!D999)</f>
        <v/>
      </c>
      <c r="C999" s="1" t="str">
        <f aca="false">IF(LEN(A999&amp;"")=0,"",Base!C999)</f>
        <v/>
      </c>
      <c r="D999" s="1" t="str">
        <f aca="false">IF(LEN(A999&amp;"")=0,"",Base!G999)</f>
        <v/>
      </c>
      <c r="E999" s="1" t="str">
        <f aca="false">IF(LEN(A999&amp;"")=0,"",Base!E999)</f>
        <v/>
      </c>
      <c r="F999" s="61" t="str">
        <f aca="false">IF(LEN(A999&amp;"")=0,"",IF(Base!I999="-",0,Base!I999))</f>
        <v/>
      </c>
      <c r="G999" s="61" t="str">
        <f aca="false">IF(LEN(A999&amp;"")=0,"",SUM(Base!F999,F999,Base!K999))</f>
        <v/>
      </c>
      <c r="H999" s="61" t="str">
        <f aca="false">IF(LEN(A999&amp;"")=0,"",Base!L999)</f>
        <v/>
      </c>
      <c r="I999" s="61" t="str">
        <f aca="false">IF(LEN(A999&amp;"")=0,"",G999-H999)</f>
        <v/>
      </c>
      <c r="J999" s="61" t="str">
        <f aca="false">IF(LEN(A999&amp;"")=0,"",Base!M999)</f>
        <v/>
      </c>
      <c r="K999" s="1" t="n">
        <f aca="false">IF(OR(LEN(A999&amp;"")=0,$P$3=0),0,IF(AND(B999&gt;=Painel!$B$8,B999&lt;=Painel!$G$8,OR(Painel!$L$8="Todos",C999=Painel!$L$8),OR(Painel!$Q$8="Todos",D999=Painel!$Q$8),OR(Painel!$V$8="Todas",E999=Painel!$V$8)),1,0))</f>
        <v>0</v>
      </c>
      <c r="L999" s="61" t="str">
        <f aca="false">IF(LEN(A999&amp;"")=0,"",J999-I999)</f>
        <v/>
      </c>
      <c r="M999" s="1" t="n">
        <f aca="false">IF(LEN(A999&amp;"")=0,0,IF(COUNTIFS(Base!$A$7:$A$1006,A999)&gt;1,1,0))</f>
        <v>0</v>
      </c>
      <c r="N999" s="1" t="n">
        <f aca="false">IF(LEN(A999&amp;"")=0,0,IF(ABS(L999)&gt;0.005,1,0))</f>
        <v>0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customFormat="false" ht="23" hidden="false" customHeight="true" outlineLevel="0" collapsed="false">
      <c r="A1000" s="1" t="str">
        <f aca="false">IF(LEN(Base!A1000&amp;"")=0,"",Base!A1000)</f>
        <v/>
      </c>
      <c r="B1000" s="60" t="str">
        <f aca="false">IF(LEN(A1000&amp;"")=0,"",Base!D1000)</f>
        <v/>
      </c>
      <c r="C1000" s="1" t="str">
        <f aca="false">IF(LEN(A1000&amp;"")=0,"",Base!C1000)</f>
        <v/>
      </c>
      <c r="D1000" s="1" t="str">
        <f aca="false">IF(LEN(A1000&amp;"")=0,"",Base!G1000)</f>
        <v/>
      </c>
      <c r="E1000" s="1" t="str">
        <f aca="false">IF(LEN(A1000&amp;"")=0,"",Base!E1000)</f>
        <v/>
      </c>
      <c r="F1000" s="61" t="str">
        <f aca="false">IF(LEN(A1000&amp;"")=0,"",IF(Base!I1000="-",0,Base!I1000))</f>
        <v/>
      </c>
      <c r="G1000" s="61" t="str">
        <f aca="false">IF(LEN(A1000&amp;"")=0,"",SUM(Base!F1000,F1000,Base!K1000))</f>
        <v/>
      </c>
      <c r="H1000" s="61" t="str">
        <f aca="false">IF(LEN(A1000&amp;"")=0,"",Base!L1000)</f>
        <v/>
      </c>
      <c r="I1000" s="61" t="str">
        <f aca="false">IF(LEN(A1000&amp;"")=0,"",G1000-H1000)</f>
        <v/>
      </c>
      <c r="J1000" s="61" t="str">
        <f aca="false">IF(LEN(A1000&amp;"")=0,"",Base!M1000)</f>
        <v/>
      </c>
      <c r="K1000" s="1" t="n">
        <f aca="false">IF(OR(LEN(A1000&amp;"")=0,$P$3=0),0,IF(AND(B1000&gt;=Painel!$B$8,B1000&lt;=Painel!$G$8,OR(Painel!$L$8="Todos",C1000=Painel!$L$8),OR(Painel!$Q$8="Todos",D1000=Painel!$Q$8),OR(Painel!$V$8="Todas",E1000=Painel!$V$8)),1,0))</f>
        <v>0</v>
      </c>
      <c r="L1000" s="61" t="str">
        <f aca="false">IF(LEN(A1000&amp;"")=0,"",J1000-I1000)</f>
        <v/>
      </c>
      <c r="M1000" s="1" t="n">
        <f aca="false">IF(LEN(A1000&amp;"")=0,0,IF(COUNTIFS(Base!$A$7:$A$1006,A1000)&gt;1,1,0))</f>
        <v>0</v>
      </c>
      <c r="N1000" s="1" t="n">
        <f aca="false">IF(LEN(A1000&amp;"")=0,0,IF(ABS(L1000)&gt;0.005,1,0))</f>
        <v>0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customFormat="false" ht="23" hidden="false" customHeight="true" outlineLevel="0" collapsed="false">
      <c r="A1001" s="1" t="str">
        <f aca="false">IF(LEN(Base!A1001&amp;"")=0,"",Base!A1001)</f>
        <v/>
      </c>
      <c r="B1001" s="60" t="str">
        <f aca="false">IF(LEN(A1001&amp;"")=0,"",Base!D1001)</f>
        <v/>
      </c>
      <c r="C1001" s="1" t="str">
        <f aca="false">IF(LEN(A1001&amp;"")=0,"",Base!C1001)</f>
        <v/>
      </c>
      <c r="D1001" s="1" t="str">
        <f aca="false">IF(LEN(A1001&amp;"")=0,"",Base!G1001)</f>
        <v/>
      </c>
      <c r="E1001" s="1" t="str">
        <f aca="false">IF(LEN(A1001&amp;"")=0,"",Base!E1001)</f>
        <v/>
      </c>
      <c r="F1001" s="61" t="str">
        <f aca="false">IF(LEN(A1001&amp;"")=0,"",IF(Base!I1001="-",0,Base!I1001))</f>
        <v/>
      </c>
      <c r="G1001" s="61" t="str">
        <f aca="false">IF(LEN(A1001&amp;"")=0,"",SUM(Base!F1001,F1001,Base!K1001))</f>
        <v/>
      </c>
      <c r="H1001" s="61" t="str">
        <f aca="false">IF(LEN(A1001&amp;"")=0,"",Base!L1001)</f>
        <v/>
      </c>
      <c r="I1001" s="61" t="str">
        <f aca="false">IF(LEN(A1001&amp;"")=0,"",G1001-H1001)</f>
        <v/>
      </c>
      <c r="J1001" s="61" t="str">
        <f aca="false">IF(LEN(A1001&amp;"")=0,"",Base!M1001)</f>
        <v/>
      </c>
      <c r="K1001" s="1" t="n">
        <f aca="false">IF(OR(LEN(A1001&amp;"")=0,$P$3=0),0,IF(AND(B1001&gt;=Painel!$B$8,B1001&lt;=Painel!$G$8,OR(Painel!$L$8="Todos",C1001=Painel!$L$8),OR(Painel!$Q$8="Todos",D1001=Painel!$Q$8),OR(Painel!$V$8="Todas",E1001=Painel!$V$8)),1,0))</f>
        <v>0</v>
      </c>
      <c r="L1001" s="61" t="str">
        <f aca="false">IF(LEN(A1001&amp;"")=0,"",J1001-I1001)</f>
        <v/>
      </c>
      <c r="M1001" s="1" t="n">
        <f aca="false">IF(LEN(A1001&amp;"")=0,0,IF(COUNTIFS(Base!$A$7:$A$1006,A1001)&gt;1,1,0))</f>
        <v>0</v>
      </c>
      <c r="N1001" s="1" t="n">
        <f aca="false">IF(LEN(A1001&amp;"")=0,0,IF(ABS(L1001)&gt;0.005,1,0))</f>
        <v>0</v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customFormat="false" ht="23" hidden="false" customHeight="true" outlineLevel="0" collapsed="false">
      <c r="A1002" s="1" t="str">
        <f aca="false">IF(LEN(Base!A1002&amp;"")=0,"",Base!A1002)</f>
        <v/>
      </c>
      <c r="B1002" s="60" t="str">
        <f aca="false">IF(LEN(A1002&amp;"")=0,"",Base!D1002)</f>
        <v/>
      </c>
      <c r="C1002" s="1" t="str">
        <f aca="false">IF(LEN(A1002&amp;"")=0,"",Base!C1002)</f>
        <v/>
      </c>
      <c r="D1002" s="1" t="str">
        <f aca="false">IF(LEN(A1002&amp;"")=0,"",Base!G1002)</f>
        <v/>
      </c>
      <c r="E1002" s="1" t="str">
        <f aca="false">IF(LEN(A1002&amp;"")=0,"",Base!E1002)</f>
        <v/>
      </c>
      <c r="F1002" s="61" t="str">
        <f aca="false">IF(LEN(A1002&amp;"")=0,"",IF(Base!I1002="-",0,Base!I1002))</f>
        <v/>
      </c>
      <c r="G1002" s="61" t="str">
        <f aca="false">IF(LEN(A1002&amp;"")=0,"",SUM(Base!F1002,F1002,Base!K1002))</f>
        <v/>
      </c>
      <c r="H1002" s="61" t="str">
        <f aca="false">IF(LEN(A1002&amp;"")=0,"",Base!L1002)</f>
        <v/>
      </c>
      <c r="I1002" s="61" t="str">
        <f aca="false">IF(LEN(A1002&amp;"")=0,"",G1002-H1002)</f>
        <v/>
      </c>
      <c r="J1002" s="61" t="str">
        <f aca="false">IF(LEN(A1002&amp;"")=0,"",Base!M1002)</f>
        <v/>
      </c>
      <c r="K1002" s="1" t="n">
        <f aca="false">IF(OR(LEN(A1002&amp;"")=0,$P$3=0),0,IF(AND(B1002&gt;=Painel!$B$8,B1002&lt;=Painel!$G$8,OR(Painel!$L$8="Todos",C1002=Painel!$L$8),OR(Painel!$Q$8="Todos",D1002=Painel!$Q$8),OR(Painel!$V$8="Todas",E1002=Painel!$V$8)),1,0))</f>
        <v>0</v>
      </c>
      <c r="L1002" s="61" t="str">
        <f aca="false">IF(LEN(A1002&amp;"")=0,"",J1002-I1002)</f>
        <v/>
      </c>
      <c r="M1002" s="1" t="n">
        <f aca="false">IF(LEN(A1002&amp;"")=0,0,IF(COUNTIFS(Base!$A$7:$A$1006,A1002)&gt;1,1,0))</f>
        <v>0</v>
      </c>
      <c r="N1002" s="1" t="n">
        <f aca="false">IF(LEN(A1002&amp;"")=0,0,IF(ABS(L1002)&gt;0.005,1,0))</f>
        <v>0</v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customFormat="false" ht="23" hidden="false" customHeight="true" outlineLevel="0" collapsed="false">
      <c r="A1003" s="1" t="str">
        <f aca="false">IF(LEN(Base!A1003&amp;"")=0,"",Base!A1003)</f>
        <v/>
      </c>
      <c r="B1003" s="60" t="str">
        <f aca="false">IF(LEN(A1003&amp;"")=0,"",Base!D1003)</f>
        <v/>
      </c>
      <c r="C1003" s="1" t="str">
        <f aca="false">IF(LEN(A1003&amp;"")=0,"",Base!C1003)</f>
        <v/>
      </c>
      <c r="D1003" s="1" t="str">
        <f aca="false">IF(LEN(A1003&amp;"")=0,"",Base!G1003)</f>
        <v/>
      </c>
      <c r="E1003" s="1" t="str">
        <f aca="false">IF(LEN(A1003&amp;"")=0,"",Base!E1003)</f>
        <v/>
      </c>
      <c r="F1003" s="61" t="str">
        <f aca="false">IF(LEN(A1003&amp;"")=0,"",IF(Base!I1003="-",0,Base!I1003))</f>
        <v/>
      </c>
      <c r="G1003" s="61" t="str">
        <f aca="false">IF(LEN(A1003&amp;"")=0,"",SUM(Base!F1003,F1003,Base!K1003))</f>
        <v/>
      </c>
      <c r="H1003" s="61" t="str">
        <f aca="false">IF(LEN(A1003&amp;"")=0,"",Base!L1003)</f>
        <v/>
      </c>
      <c r="I1003" s="61" t="str">
        <f aca="false">IF(LEN(A1003&amp;"")=0,"",G1003-H1003)</f>
        <v/>
      </c>
      <c r="J1003" s="61" t="str">
        <f aca="false">IF(LEN(A1003&amp;"")=0,"",Base!M1003)</f>
        <v/>
      </c>
      <c r="K1003" s="1" t="n">
        <f aca="false">IF(OR(LEN(A1003&amp;"")=0,$P$3=0),0,IF(AND(B1003&gt;=Painel!$B$8,B1003&lt;=Painel!$G$8,OR(Painel!$L$8="Todos",C1003=Painel!$L$8),OR(Painel!$Q$8="Todos",D1003=Painel!$Q$8),OR(Painel!$V$8="Todas",E1003=Painel!$V$8)),1,0))</f>
        <v>0</v>
      </c>
      <c r="L1003" s="61" t="str">
        <f aca="false">IF(LEN(A1003&amp;"")=0,"",J1003-I1003)</f>
        <v/>
      </c>
      <c r="M1003" s="1" t="n">
        <f aca="false">IF(LEN(A1003&amp;"")=0,0,IF(COUNTIFS(Base!$A$7:$A$1006,A1003)&gt;1,1,0))</f>
        <v>0</v>
      </c>
      <c r="N1003" s="1" t="n">
        <f aca="false">IF(LEN(A1003&amp;"")=0,0,IF(ABS(L1003)&gt;0.005,1,0))</f>
        <v>0</v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customFormat="false" ht="23" hidden="false" customHeight="true" outlineLevel="0" collapsed="false">
      <c r="A1004" s="1" t="str">
        <f aca="false">IF(LEN(Base!A1004&amp;"")=0,"",Base!A1004)</f>
        <v/>
      </c>
      <c r="B1004" s="60" t="str">
        <f aca="false">IF(LEN(A1004&amp;"")=0,"",Base!D1004)</f>
        <v/>
      </c>
      <c r="C1004" s="1" t="str">
        <f aca="false">IF(LEN(A1004&amp;"")=0,"",Base!C1004)</f>
        <v/>
      </c>
      <c r="D1004" s="1" t="str">
        <f aca="false">IF(LEN(A1004&amp;"")=0,"",Base!G1004)</f>
        <v/>
      </c>
      <c r="E1004" s="1" t="str">
        <f aca="false">IF(LEN(A1004&amp;"")=0,"",Base!E1004)</f>
        <v/>
      </c>
      <c r="F1004" s="61" t="str">
        <f aca="false">IF(LEN(A1004&amp;"")=0,"",IF(Base!I1004="-",0,Base!I1004))</f>
        <v/>
      </c>
      <c r="G1004" s="61" t="str">
        <f aca="false">IF(LEN(A1004&amp;"")=0,"",SUM(Base!F1004,F1004,Base!K1004))</f>
        <v/>
      </c>
      <c r="H1004" s="61" t="str">
        <f aca="false">IF(LEN(A1004&amp;"")=0,"",Base!L1004)</f>
        <v/>
      </c>
      <c r="I1004" s="61" t="str">
        <f aca="false">IF(LEN(A1004&amp;"")=0,"",G1004-H1004)</f>
        <v/>
      </c>
      <c r="J1004" s="61" t="str">
        <f aca="false">IF(LEN(A1004&amp;"")=0,"",Base!M1004)</f>
        <v/>
      </c>
      <c r="K1004" s="1" t="n">
        <f aca="false">IF(OR(LEN(A1004&amp;"")=0,$P$3=0),0,IF(AND(B1004&gt;=Painel!$B$8,B1004&lt;=Painel!$G$8,OR(Painel!$L$8="Todos",C1004=Painel!$L$8),OR(Painel!$Q$8="Todos",D1004=Painel!$Q$8),OR(Painel!$V$8="Todas",E1004=Painel!$V$8)),1,0))</f>
        <v>0</v>
      </c>
      <c r="L1004" s="61" t="str">
        <f aca="false">IF(LEN(A1004&amp;"")=0,"",J1004-I1004)</f>
        <v/>
      </c>
      <c r="M1004" s="1" t="n">
        <f aca="false">IF(LEN(A1004&amp;"")=0,0,IF(COUNTIFS(Base!$A$7:$A$1006,A1004)&gt;1,1,0))</f>
        <v>0</v>
      </c>
      <c r="N1004" s="1" t="n">
        <f aca="false">IF(LEN(A1004&amp;"")=0,0,IF(ABS(L1004)&gt;0.005,1,0))</f>
        <v>0</v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customFormat="false" ht="23" hidden="false" customHeight="true" outlineLevel="0" collapsed="false">
      <c r="A1005" s="1" t="str">
        <f aca="false">IF(LEN(Base!A1005&amp;"")=0,"",Base!A1005)</f>
        <v/>
      </c>
      <c r="B1005" s="60" t="str">
        <f aca="false">IF(LEN(A1005&amp;"")=0,"",Base!D1005)</f>
        <v/>
      </c>
      <c r="C1005" s="1" t="str">
        <f aca="false">IF(LEN(A1005&amp;"")=0,"",Base!C1005)</f>
        <v/>
      </c>
      <c r="D1005" s="1" t="str">
        <f aca="false">IF(LEN(A1005&amp;"")=0,"",Base!G1005)</f>
        <v/>
      </c>
      <c r="E1005" s="1" t="str">
        <f aca="false">IF(LEN(A1005&amp;"")=0,"",Base!E1005)</f>
        <v/>
      </c>
      <c r="F1005" s="61" t="str">
        <f aca="false">IF(LEN(A1005&amp;"")=0,"",IF(Base!I1005="-",0,Base!I1005))</f>
        <v/>
      </c>
      <c r="G1005" s="61" t="str">
        <f aca="false">IF(LEN(A1005&amp;"")=0,"",SUM(Base!F1005,F1005,Base!K1005))</f>
        <v/>
      </c>
      <c r="H1005" s="61" t="str">
        <f aca="false">IF(LEN(A1005&amp;"")=0,"",Base!L1005)</f>
        <v/>
      </c>
      <c r="I1005" s="61" t="str">
        <f aca="false">IF(LEN(A1005&amp;"")=0,"",G1005-H1005)</f>
        <v/>
      </c>
      <c r="J1005" s="61" t="str">
        <f aca="false">IF(LEN(A1005&amp;"")=0,"",Base!M1005)</f>
        <v/>
      </c>
      <c r="K1005" s="1" t="n">
        <f aca="false">IF(OR(LEN(A1005&amp;"")=0,$P$3=0),0,IF(AND(B1005&gt;=Painel!$B$8,B1005&lt;=Painel!$G$8,OR(Painel!$L$8="Todos",C1005=Painel!$L$8),OR(Painel!$Q$8="Todos",D1005=Painel!$Q$8),OR(Painel!$V$8="Todas",E1005=Painel!$V$8)),1,0))</f>
        <v>0</v>
      </c>
      <c r="L1005" s="61" t="str">
        <f aca="false">IF(LEN(A1005&amp;"")=0,"",J1005-I1005)</f>
        <v/>
      </c>
      <c r="M1005" s="1" t="n">
        <f aca="false">IF(LEN(A1005&amp;"")=0,0,IF(COUNTIFS(Base!$A$7:$A$1006,A1005)&gt;1,1,0))</f>
        <v>0</v>
      </c>
      <c r="N1005" s="1" t="n">
        <f aca="false">IF(LEN(A1005&amp;"")=0,0,IF(ABS(L1005)&gt;0.005,1,0))</f>
        <v>0</v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customFormat="false" ht="23" hidden="false" customHeight="true" outlineLevel="0" collapsed="false">
      <c r="A1006" s="1" t="str">
        <f aca="false">IF(LEN(Base!A1006&amp;"")=0,"",Base!A1006)</f>
        <v/>
      </c>
      <c r="B1006" s="60" t="str">
        <f aca="false">IF(LEN(A1006&amp;"")=0,"",Base!D1006)</f>
        <v/>
      </c>
      <c r="C1006" s="1" t="str">
        <f aca="false">IF(LEN(A1006&amp;"")=0,"",Base!C1006)</f>
        <v/>
      </c>
      <c r="D1006" s="1" t="str">
        <f aca="false">IF(LEN(A1006&amp;"")=0,"",Base!G1006)</f>
        <v/>
      </c>
      <c r="E1006" s="1" t="str">
        <f aca="false">IF(LEN(A1006&amp;"")=0,"",Base!E1006)</f>
        <v/>
      </c>
      <c r="F1006" s="61" t="str">
        <f aca="false">IF(LEN(A1006&amp;"")=0,"",IF(Base!I1006="-",0,Base!I1006))</f>
        <v/>
      </c>
      <c r="G1006" s="61" t="str">
        <f aca="false">IF(LEN(A1006&amp;"")=0,"",SUM(Base!F1006,F1006,Base!K1006))</f>
        <v/>
      </c>
      <c r="H1006" s="61" t="str">
        <f aca="false">IF(LEN(A1006&amp;"")=0,"",Base!L1006)</f>
        <v/>
      </c>
      <c r="I1006" s="61" t="str">
        <f aca="false">IF(LEN(A1006&amp;"")=0,"",G1006-H1006)</f>
        <v/>
      </c>
      <c r="J1006" s="61" t="str">
        <f aca="false">IF(LEN(A1006&amp;"")=0,"",Base!M1006)</f>
        <v/>
      </c>
      <c r="K1006" s="1" t="n">
        <f aca="false">IF(OR(LEN(A1006&amp;"")=0,$P$3=0),0,IF(AND(B1006&gt;=Painel!$B$8,B1006&lt;=Painel!$G$8,OR(Painel!$L$8="Todos",C1006=Painel!$L$8),OR(Painel!$Q$8="Todos",D1006=Painel!$Q$8),OR(Painel!$V$8="Todas",E1006=Painel!$V$8)),1,0))</f>
        <v>0</v>
      </c>
      <c r="L1006" s="61" t="str">
        <f aca="false">IF(LEN(A1006&amp;"")=0,"",J1006-I1006)</f>
        <v/>
      </c>
      <c r="M1006" s="1" t="n">
        <f aca="false">IF(LEN(A1006&amp;"")=0,0,IF(COUNTIFS(Base!$A$7:$A$1006,A1006)&gt;1,1,0))</f>
        <v>0</v>
      </c>
      <c r="N1006" s="1" t="n">
        <f aca="false">IF(LEN(A1006&amp;"")=0,0,IF(ABS(L1006)&gt;0.005,1,0))</f>
        <v>0</v>
      </c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customFormat="false" ht="23" hidden="false" customHeight="tru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</sheetData>
  <mergeCells count="3">
    <mergeCell ref="A1:M2"/>
    <mergeCell ref="A3:C3"/>
    <mergeCell ref="A4:M4"/>
  </mergeCells>
  <conditionalFormatting sqref="L7:L1006">
    <cfRule type="cellIs" priority="2" operator="not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A0FF"/>
    <pageSetUpPr fitToPage="false"/>
  </sheetPr>
  <dimension ref="A1: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6" min="3" style="0" width="18"/>
    <col collapsed="false" customWidth="true" hidden="false" outlineLevel="0" max="11" min="7" style="0" width="25"/>
    <col collapsed="false" customWidth="true" hidden="false" outlineLevel="0" max="13" min="12" style="0" width="18"/>
  </cols>
  <sheetData>
    <row r="1" customFormat="false" ht="23" hidden="false" customHeight="true" outlineLevel="0" collapsed="false">
      <c r="A1" s="57" t="s">
        <v>72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1"/>
    </row>
    <row r="2" customFormat="false" ht="23" hidden="false" customHeight="true" outlineLevel="0" collapsed="false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1"/>
    </row>
    <row r="3" customFormat="false" ht="23" hidden="false" customHeight="true" outlineLevel="0" collapsed="false">
      <c r="A3" s="30" t="s">
        <v>73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1"/>
    </row>
    <row r="4" customFormat="false" ht="23" hidden="false" customHeight="true" outlineLevel="0" collapsed="false">
      <c r="A4" s="30" t="s">
        <v>74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1"/>
    </row>
    <row r="5" customFormat="false" ht="23" hidden="false" customHeight="true" outlineLevel="0" collapsed="false">
      <c r="A5" s="58" t="str">
        <f aca="false">HYPERLINK("#'Painel'!B3","Voltar ao painel")</f>
        <v>Voltar ao painel</v>
      </c>
      <c r="B5" s="58"/>
      <c r="C5" s="58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38" hidden="false" customHeight="true" outlineLevel="0" collapsed="false">
      <c r="A6" s="59" t="s">
        <v>75</v>
      </c>
      <c r="B6" s="59" t="s">
        <v>76</v>
      </c>
      <c r="C6" s="59" t="s">
        <v>77</v>
      </c>
      <c r="D6" s="59" t="s">
        <v>78</v>
      </c>
      <c r="E6" s="59" t="s">
        <v>79</v>
      </c>
      <c r="F6" s="59" t="s">
        <v>80</v>
      </c>
      <c r="G6" s="59" t="s">
        <v>81</v>
      </c>
      <c r="H6" s="59" t="s">
        <v>82</v>
      </c>
      <c r="I6" s="59" t="s">
        <v>83</v>
      </c>
      <c r="J6" s="59" t="s">
        <v>84</v>
      </c>
      <c r="K6" s="59" t="s">
        <v>85</v>
      </c>
      <c r="L6" s="59" t="s">
        <v>86</v>
      </c>
      <c r="M6" s="59" t="s">
        <v>87</v>
      </c>
      <c r="N6" s="1"/>
    </row>
    <row r="7" customFormat="false" ht="23" hidden="false" customHeight="true" outlineLevel="0" collapsed="false">
      <c r="A7" s="1" t="n">
        <v>3231</v>
      </c>
      <c r="B7" s="1" t="s">
        <v>88</v>
      </c>
      <c r="C7" s="1" t="s">
        <v>53</v>
      </c>
      <c r="D7" s="60" t="n">
        <v>45292</v>
      </c>
      <c r="E7" s="1" t="s">
        <v>89</v>
      </c>
      <c r="F7" s="61" t="n">
        <v>15</v>
      </c>
      <c r="G7" s="1" t="s">
        <v>90</v>
      </c>
      <c r="H7" s="1" t="s">
        <v>89</v>
      </c>
      <c r="I7" s="61" t="n">
        <v>30</v>
      </c>
      <c r="J7" s="61" t="s">
        <v>89</v>
      </c>
      <c r="K7" s="61" t="n">
        <v>20</v>
      </c>
      <c r="L7" s="61" t="n">
        <v>5</v>
      </c>
      <c r="M7" s="61" t="n">
        <v>60</v>
      </c>
      <c r="N7" s="1"/>
    </row>
    <row r="8" customFormat="false" ht="23" hidden="false" customHeight="true" outlineLevel="0" collapsed="false">
      <c r="A8" s="1" t="n">
        <v>3232</v>
      </c>
      <c r="B8" s="1" t="s">
        <v>91</v>
      </c>
      <c r="C8" s="1" t="s">
        <v>49</v>
      </c>
      <c r="D8" s="60" t="n">
        <v>45306</v>
      </c>
      <c r="E8" s="1" t="s">
        <v>92</v>
      </c>
      <c r="F8" s="61" t="n">
        <v>5</v>
      </c>
      <c r="G8" s="1" t="s">
        <v>93</v>
      </c>
      <c r="H8" s="1" t="s">
        <v>92</v>
      </c>
      <c r="I8" s="61" t="s">
        <v>94</v>
      </c>
      <c r="J8" s="61" t="s">
        <v>92</v>
      </c>
      <c r="K8" s="61" t="n">
        <v>0</v>
      </c>
      <c r="L8" s="61" t="n">
        <v>0</v>
      </c>
      <c r="M8" s="61" t="n">
        <v>5</v>
      </c>
      <c r="N8" s="1"/>
    </row>
    <row r="9" customFormat="false" ht="23" hidden="false" customHeight="true" outlineLevel="0" collapsed="false">
      <c r="A9" s="1" t="n">
        <v>3233</v>
      </c>
      <c r="B9" s="1" t="s">
        <v>95</v>
      </c>
      <c r="C9" s="1" t="s">
        <v>51</v>
      </c>
      <c r="D9" s="60" t="n">
        <v>45332</v>
      </c>
      <c r="E9" s="1" t="s">
        <v>89</v>
      </c>
      <c r="F9" s="61" t="n">
        <v>10</v>
      </c>
      <c r="G9" s="1" t="s">
        <v>96</v>
      </c>
      <c r="H9" s="1" t="s">
        <v>92</v>
      </c>
      <c r="I9" s="61" t="s">
        <v>94</v>
      </c>
      <c r="J9" s="61" t="s">
        <v>89</v>
      </c>
      <c r="K9" s="61" t="n">
        <v>20</v>
      </c>
      <c r="L9" s="61" t="n">
        <v>10</v>
      </c>
      <c r="M9" s="61" t="n">
        <v>20</v>
      </c>
      <c r="N9" s="1"/>
    </row>
    <row r="10" customFormat="false" ht="23" hidden="false" customHeight="true" outlineLevel="0" collapsed="false">
      <c r="A10" s="1" t="n">
        <v>3234</v>
      </c>
      <c r="B10" s="1" t="s">
        <v>97</v>
      </c>
      <c r="C10" s="1" t="s">
        <v>53</v>
      </c>
      <c r="D10" s="60" t="n">
        <v>45342</v>
      </c>
      <c r="E10" s="1" t="s">
        <v>92</v>
      </c>
      <c r="F10" s="61" t="n">
        <v>15</v>
      </c>
      <c r="G10" s="1" t="s">
        <v>90</v>
      </c>
      <c r="H10" s="1" t="s">
        <v>89</v>
      </c>
      <c r="I10" s="61" t="n">
        <v>30</v>
      </c>
      <c r="J10" s="61" t="s">
        <v>89</v>
      </c>
      <c r="K10" s="61" t="n">
        <v>20</v>
      </c>
      <c r="L10" s="61" t="n">
        <v>3</v>
      </c>
      <c r="M10" s="61" t="n">
        <v>62</v>
      </c>
      <c r="N10" s="1"/>
    </row>
    <row r="11" customFormat="false" ht="23" hidden="false" customHeight="true" outlineLevel="0" collapsed="false">
      <c r="A11" s="1" t="n">
        <v>3235</v>
      </c>
      <c r="B11" s="1" t="s">
        <v>98</v>
      </c>
      <c r="C11" s="1" t="s">
        <v>49</v>
      </c>
      <c r="D11" s="60" t="n">
        <v>45356</v>
      </c>
      <c r="E11" s="1" t="s">
        <v>89</v>
      </c>
      <c r="F11" s="61" t="n">
        <v>5</v>
      </c>
      <c r="G11" s="1" t="s">
        <v>90</v>
      </c>
      <c r="H11" s="1" t="s">
        <v>92</v>
      </c>
      <c r="I11" s="61" t="s">
        <v>94</v>
      </c>
      <c r="J11" s="61" t="s">
        <v>92</v>
      </c>
      <c r="K11" s="61" t="n">
        <v>0</v>
      </c>
      <c r="L11" s="61" t="n">
        <v>1</v>
      </c>
      <c r="M11" s="61" t="n">
        <v>4</v>
      </c>
      <c r="N11" s="1"/>
    </row>
    <row r="12" customFormat="false" ht="23" hidden="false" customHeight="true" outlineLevel="0" collapsed="false">
      <c r="A12" s="1" t="n">
        <v>3236</v>
      </c>
      <c r="B12" s="1" t="s">
        <v>99</v>
      </c>
      <c r="C12" s="1" t="s">
        <v>51</v>
      </c>
      <c r="D12" s="60" t="n">
        <v>45353</v>
      </c>
      <c r="E12" s="1" t="s">
        <v>92</v>
      </c>
      <c r="F12" s="61" t="n">
        <v>10</v>
      </c>
      <c r="G12" s="1" t="s">
        <v>90</v>
      </c>
      <c r="H12" s="1" t="s">
        <v>92</v>
      </c>
      <c r="I12" s="61" t="s">
        <v>94</v>
      </c>
      <c r="J12" s="61" t="s">
        <v>89</v>
      </c>
      <c r="K12" s="61" t="n">
        <v>20</v>
      </c>
      <c r="L12" s="61" t="n">
        <v>2</v>
      </c>
      <c r="M12" s="61" t="n">
        <v>28</v>
      </c>
      <c r="N12" s="1"/>
    </row>
    <row r="13" customFormat="false" ht="23" hidden="false" customHeight="true" outlineLevel="0" collapsed="false">
      <c r="A13" s="1" t="n">
        <v>3237</v>
      </c>
      <c r="B13" s="1" t="s">
        <v>100</v>
      </c>
      <c r="C13" s="1" t="s">
        <v>53</v>
      </c>
      <c r="D13" s="60" t="n">
        <v>45354</v>
      </c>
      <c r="E13" s="1" t="s">
        <v>89</v>
      </c>
      <c r="F13" s="61" t="n">
        <v>15</v>
      </c>
      <c r="G13" s="1" t="s">
        <v>96</v>
      </c>
      <c r="H13" s="1" t="s">
        <v>89</v>
      </c>
      <c r="I13" s="61" t="n">
        <v>30</v>
      </c>
      <c r="J13" s="61" t="s">
        <v>89</v>
      </c>
      <c r="K13" s="61" t="n">
        <v>20</v>
      </c>
      <c r="L13" s="61" t="n">
        <v>10</v>
      </c>
      <c r="M13" s="61" t="n">
        <v>55</v>
      </c>
      <c r="N13" s="1"/>
    </row>
    <row r="14" customFormat="false" ht="23" hidden="false" customHeight="true" outlineLevel="0" collapsed="false">
      <c r="A14" s="1" t="n">
        <v>3238</v>
      </c>
      <c r="B14" s="1" t="s">
        <v>101</v>
      </c>
      <c r="C14" s="1" t="s">
        <v>49</v>
      </c>
      <c r="D14" s="60" t="n">
        <v>45355</v>
      </c>
      <c r="E14" s="1" t="s">
        <v>89</v>
      </c>
      <c r="F14" s="61" t="n">
        <v>5</v>
      </c>
      <c r="G14" s="1" t="s">
        <v>93</v>
      </c>
      <c r="H14" s="1" t="s">
        <v>92</v>
      </c>
      <c r="I14" s="61" t="s">
        <v>94</v>
      </c>
      <c r="J14" s="61" t="s">
        <v>92</v>
      </c>
      <c r="K14" s="61" t="n">
        <v>0</v>
      </c>
      <c r="L14" s="61" t="n">
        <v>0</v>
      </c>
      <c r="M14" s="61" t="n">
        <v>5</v>
      </c>
      <c r="N14" s="1"/>
    </row>
    <row r="15" customFormat="false" ht="23" hidden="false" customHeight="true" outlineLevel="0" collapsed="false">
      <c r="A15" s="1" t="n">
        <v>3239</v>
      </c>
      <c r="B15" s="1" t="s">
        <v>102</v>
      </c>
      <c r="C15" s="1" t="s">
        <v>53</v>
      </c>
      <c r="D15" s="60" t="n">
        <v>45356</v>
      </c>
      <c r="E15" s="1" t="s">
        <v>92</v>
      </c>
      <c r="F15" s="61" t="n">
        <v>15</v>
      </c>
      <c r="G15" s="1" t="s">
        <v>90</v>
      </c>
      <c r="H15" s="1" t="s">
        <v>89</v>
      </c>
      <c r="I15" s="61" t="n">
        <v>30</v>
      </c>
      <c r="J15" s="61" t="s">
        <v>89</v>
      </c>
      <c r="K15" s="61" t="n">
        <v>20</v>
      </c>
      <c r="L15" s="61" t="n">
        <v>5</v>
      </c>
      <c r="M15" s="61" t="n">
        <v>60</v>
      </c>
      <c r="N15" s="1"/>
    </row>
    <row r="16" customFormat="false" ht="23" hidden="false" customHeight="true" outlineLevel="0" collapsed="false">
      <c r="A16" s="1" t="n">
        <v>3240</v>
      </c>
      <c r="B16" s="1" t="s">
        <v>103</v>
      </c>
      <c r="C16" s="1" t="s">
        <v>51</v>
      </c>
      <c r="D16" s="60" t="n">
        <v>45357</v>
      </c>
      <c r="E16" s="1" t="s">
        <v>89</v>
      </c>
      <c r="F16" s="61" t="n">
        <v>10</v>
      </c>
      <c r="G16" s="1" t="s">
        <v>96</v>
      </c>
      <c r="H16" s="1" t="s">
        <v>92</v>
      </c>
      <c r="I16" s="61" t="s">
        <v>94</v>
      </c>
      <c r="J16" s="61" t="s">
        <v>89</v>
      </c>
      <c r="K16" s="61" t="n">
        <v>20</v>
      </c>
      <c r="L16" s="61" t="n">
        <v>15</v>
      </c>
      <c r="M16" s="61" t="n">
        <v>15</v>
      </c>
      <c r="N16" s="1"/>
    </row>
    <row r="17" customFormat="false" ht="23" hidden="false" customHeight="true" outlineLevel="0" collapsed="false">
      <c r="A17" s="1" t="n">
        <v>3241</v>
      </c>
      <c r="B17" s="1" t="s">
        <v>104</v>
      </c>
      <c r="C17" s="1" t="s">
        <v>49</v>
      </c>
      <c r="D17" s="60" t="n">
        <v>45358</v>
      </c>
      <c r="E17" s="1" t="s">
        <v>92</v>
      </c>
      <c r="F17" s="61" t="n">
        <v>5</v>
      </c>
      <c r="G17" s="1" t="s">
        <v>90</v>
      </c>
      <c r="H17" s="1" t="s">
        <v>92</v>
      </c>
      <c r="I17" s="61" t="s">
        <v>94</v>
      </c>
      <c r="J17" s="61" t="s">
        <v>92</v>
      </c>
      <c r="K17" s="61" t="n">
        <v>0</v>
      </c>
      <c r="L17" s="61" t="n">
        <v>1</v>
      </c>
      <c r="M17" s="61" t="n">
        <v>4</v>
      </c>
      <c r="N17" s="1"/>
    </row>
    <row r="18" customFormat="false" ht="23" hidden="false" customHeight="true" outlineLevel="0" collapsed="false">
      <c r="A18" s="1" t="n">
        <v>3242</v>
      </c>
      <c r="B18" s="1" t="s">
        <v>105</v>
      </c>
      <c r="C18" s="1" t="s">
        <v>53</v>
      </c>
      <c r="D18" s="60" t="n">
        <v>45359</v>
      </c>
      <c r="E18" s="1" t="s">
        <v>89</v>
      </c>
      <c r="F18" s="61" t="n">
        <v>15</v>
      </c>
      <c r="G18" s="1" t="s">
        <v>93</v>
      </c>
      <c r="H18" s="1" t="s">
        <v>89</v>
      </c>
      <c r="I18" s="61" t="n">
        <v>30</v>
      </c>
      <c r="J18" s="61" t="s">
        <v>89</v>
      </c>
      <c r="K18" s="61" t="n">
        <v>20</v>
      </c>
      <c r="L18" s="61" t="n">
        <v>20</v>
      </c>
      <c r="M18" s="61" t="n">
        <v>45</v>
      </c>
      <c r="N18" s="1"/>
    </row>
    <row r="19" customFormat="false" ht="23" hidden="false" customHeight="true" outlineLevel="0" collapsed="false">
      <c r="A19" s="1" t="n">
        <v>3243</v>
      </c>
      <c r="B19" s="1" t="s">
        <v>106</v>
      </c>
      <c r="C19" s="1" t="s">
        <v>51</v>
      </c>
      <c r="D19" s="60" t="n">
        <v>45360</v>
      </c>
      <c r="E19" s="1" t="s">
        <v>92</v>
      </c>
      <c r="F19" s="61" t="n">
        <v>10</v>
      </c>
      <c r="G19" s="1" t="s">
        <v>90</v>
      </c>
      <c r="H19" s="1" t="s">
        <v>92</v>
      </c>
      <c r="I19" s="61" t="s">
        <v>94</v>
      </c>
      <c r="J19" s="61" t="s">
        <v>89</v>
      </c>
      <c r="K19" s="61" t="n">
        <v>20</v>
      </c>
      <c r="L19" s="61" t="n">
        <v>10</v>
      </c>
      <c r="M19" s="61" t="n">
        <v>20</v>
      </c>
      <c r="N19" s="1"/>
    </row>
    <row r="20" customFormat="false" ht="23" hidden="false" customHeight="true" outlineLevel="0" collapsed="false">
      <c r="A20" s="1" t="n">
        <v>3244</v>
      </c>
      <c r="B20" s="1" t="s">
        <v>107</v>
      </c>
      <c r="C20" s="1" t="s">
        <v>49</v>
      </c>
      <c r="D20" s="60" t="n">
        <v>45361</v>
      </c>
      <c r="E20" s="1" t="s">
        <v>89</v>
      </c>
      <c r="F20" s="61" t="n">
        <v>5</v>
      </c>
      <c r="G20" s="1" t="s">
        <v>96</v>
      </c>
      <c r="H20" s="1" t="s">
        <v>92</v>
      </c>
      <c r="I20" s="61" t="s">
        <v>94</v>
      </c>
      <c r="J20" s="61" t="s">
        <v>92</v>
      </c>
      <c r="K20" s="61" t="n">
        <v>0</v>
      </c>
      <c r="L20" s="61" t="n">
        <v>0</v>
      </c>
      <c r="M20" s="61" t="n">
        <v>5</v>
      </c>
      <c r="N20" s="1"/>
    </row>
    <row r="21" customFormat="false" ht="23" hidden="false" customHeight="true" outlineLevel="0" collapsed="false">
      <c r="A21" s="1" t="n">
        <v>3245</v>
      </c>
      <c r="B21" s="1" t="s">
        <v>108</v>
      </c>
      <c r="C21" s="1" t="s">
        <v>53</v>
      </c>
      <c r="D21" s="60" t="n">
        <v>45362</v>
      </c>
      <c r="E21" s="1" t="s">
        <v>92</v>
      </c>
      <c r="F21" s="61" t="n">
        <v>15</v>
      </c>
      <c r="G21" s="1" t="s">
        <v>90</v>
      </c>
      <c r="H21" s="1" t="s">
        <v>89</v>
      </c>
      <c r="I21" s="61" t="n">
        <v>30</v>
      </c>
      <c r="J21" s="61" t="s">
        <v>89</v>
      </c>
      <c r="K21" s="61" t="n">
        <v>20</v>
      </c>
      <c r="L21" s="61" t="n">
        <v>8</v>
      </c>
      <c r="M21" s="61" t="n">
        <v>57</v>
      </c>
      <c r="N21" s="1"/>
    </row>
    <row r="22" customFormat="false" ht="23" hidden="false" customHeight="true" outlineLevel="0" collapsed="false">
      <c r="A22" s="1" t="n">
        <v>3246</v>
      </c>
      <c r="B22" s="1" t="s">
        <v>109</v>
      </c>
      <c r="C22" s="1" t="s">
        <v>51</v>
      </c>
      <c r="D22" s="60" t="n">
        <v>45363</v>
      </c>
      <c r="E22" s="1" t="s">
        <v>89</v>
      </c>
      <c r="F22" s="61" t="n">
        <v>10</v>
      </c>
      <c r="G22" s="1" t="s">
        <v>93</v>
      </c>
      <c r="H22" s="1" t="s">
        <v>92</v>
      </c>
      <c r="I22" s="61" t="s">
        <v>94</v>
      </c>
      <c r="J22" s="61" t="s">
        <v>89</v>
      </c>
      <c r="K22" s="61" t="n">
        <v>20</v>
      </c>
      <c r="L22" s="61" t="n">
        <v>12</v>
      </c>
      <c r="M22" s="61" t="n">
        <v>18</v>
      </c>
      <c r="N22" s="1"/>
    </row>
    <row r="23" customFormat="false" ht="23" hidden="false" customHeight="true" outlineLevel="0" collapsed="false">
      <c r="A23" s="1" t="n">
        <v>3247</v>
      </c>
      <c r="B23" s="1" t="s">
        <v>110</v>
      </c>
      <c r="C23" s="1" t="s">
        <v>49</v>
      </c>
      <c r="D23" s="60" t="n">
        <v>45364</v>
      </c>
      <c r="E23" s="1" t="s">
        <v>92</v>
      </c>
      <c r="F23" s="61" t="n">
        <v>5</v>
      </c>
      <c r="G23" s="1" t="s">
        <v>90</v>
      </c>
      <c r="H23" s="1" t="s">
        <v>92</v>
      </c>
      <c r="I23" s="61" t="s">
        <v>94</v>
      </c>
      <c r="J23" s="61" t="s">
        <v>92</v>
      </c>
      <c r="K23" s="61" t="n">
        <v>0</v>
      </c>
      <c r="L23" s="61" t="n">
        <v>2</v>
      </c>
      <c r="M23" s="61" t="n">
        <v>3</v>
      </c>
      <c r="N23" s="1"/>
    </row>
    <row r="24" customFormat="false" ht="23" hidden="false" customHeight="true" outlineLevel="0" collapsed="false">
      <c r="A24" s="1" t="n">
        <v>3248</v>
      </c>
      <c r="B24" s="1" t="s">
        <v>111</v>
      </c>
      <c r="C24" s="1" t="s">
        <v>53</v>
      </c>
      <c r="D24" s="60" t="n">
        <v>45365</v>
      </c>
      <c r="E24" s="1" t="s">
        <v>89</v>
      </c>
      <c r="F24" s="61" t="n">
        <v>15</v>
      </c>
      <c r="G24" s="1" t="s">
        <v>96</v>
      </c>
      <c r="H24" s="1" t="s">
        <v>89</v>
      </c>
      <c r="I24" s="61" t="n">
        <v>30</v>
      </c>
      <c r="J24" s="61" t="s">
        <v>89</v>
      </c>
      <c r="K24" s="61" t="n">
        <v>20</v>
      </c>
      <c r="L24" s="61" t="n">
        <v>7</v>
      </c>
      <c r="M24" s="61" t="n">
        <v>58</v>
      </c>
      <c r="N24" s="1"/>
    </row>
    <row r="25" customFormat="false" ht="23" hidden="false" customHeight="true" outlineLevel="0" collapsed="false">
      <c r="A25" s="1" t="n">
        <v>3249</v>
      </c>
      <c r="B25" s="1" t="s">
        <v>112</v>
      </c>
      <c r="C25" s="1" t="s">
        <v>51</v>
      </c>
      <c r="D25" s="60" t="n">
        <v>45366</v>
      </c>
      <c r="E25" s="1" t="s">
        <v>92</v>
      </c>
      <c r="F25" s="61" t="n">
        <v>10</v>
      </c>
      <c r="G25" s="1" t="s">
        <v>90</v>
      </c>
      <c r="H25" s="1" t="s">
        <v>92</v>
      </c>
      <c r="I25" s="61" t="s">
        <v>94</v>
      </c>
      <c r="J25" s="61" t="s">
        <v>89</v>
      </c>
      <c r="K25" s="61" t="n">
        <v>20</v>
      </c>
      <c r="L25" s="61" t="n">
        <v>5</v>
      </c>
      <c r="M25" s="61" t="n">
        <v>25</v>
      </c>
      <c r="N25" s="1"/>
    </row>
    <row r="26" customFormat="false" ht="23" hidden="false" customHeight="true" outlineLevel="0" collapsed="false">
      <c r="A26" s="1" t="n">
        <v>3250</v>
      </c>
      <c r="B26" s="1" t="s">
        <v>113</v>
      </c>
      <c r="C26" s="1" t="s">
        <v>49</v>
      </c>
      <c r="D26" s="60" t="n">
        <v>45367</v>
      </c>
      <c r="E26" s="1" t="s">
        <v>89</v>
      </c>
      <c r="F26" s="61" t="n">
        <v>5</v>
      </c>
      <c r="G26" s="1" t="s">
        <v>93</v>
      </c>
      <c r="H26" s="1" t="s">
        <v>92</v>
      </c>
      <c r="I26" s="61" t="s">
        <v>94</v>
      </c>
      <c r="J26" s="61" t="s">
        <v>92</v>
      </c>
      <c r="K26" s="61" t="n">
        <v>0</v>
      </c>
      <c r="L26" s="61" t="n">
        <v>0</v>
      </c>
      <c r="M26" s="61" t="n">
        <v>5</v>
      </c>
      <c r="N26" s="1"/>
    </row>
    <row r="27" customFormat="false" ht="23" hidden="false" customHeight="true" outlineLevel="0" collapsed="false">
      <c r="A27" s="1" t="n">
        <v>3251</v>
      </c>
      <c r="B27" s="1" t="s">
        <v>114</v>
      </c>
      <c r="C27" s="1" t="s">
        <v>53</v>
      </c>
      <c r="D27" s="60" t="n">
        <v>45368</v>
      </c>
      <c r="E27" s="1" t="s">
        <v>92</v>
      </c>
      <c r="F27" s="61" t="n">
        <v>15</v>
      </c>
      <c r="G27" s="1" t="s">
        <v>90</v>
      </c>
      <c r="H27" s="1" t="s">
        <v>89</v>
      </c>
      <c r="I27" s="61" t="n">
        <v>30</v>
      </c>
      <c r="J27" s="61" t="s">
        <v>89</v>
      </c>
      <c r="K27" s="61" t="n">
        <v>20</v>
      </c>
      <c r="L27" s="61" t="n">
        <v>3</v>
      </c>
      <c r="M27" s="61" t="n">
        <v>62</v>
      </c>
      <c r="N27" s="1"/>
    </row>
    <row r="28" customFormat="false" ht="23" hidden="false" customHeight="true" outlineLevel="0" collapsed="false">
      <c r="A28" s="1" t="n">
        <v>3252</v>
      </c>
      <c r="B28" s="1" t="s">
        <v>115</v>
      </c>
      <c r="C28" s="1" t="s">
        <v>51</v>
      </c>
      <c r="D28" s="60" t="n">
        <v>45369</v>
      </c>
      <c r="E28" s="1" t="s">
        <v>89</v>
      </c>
      <c r="F28" s="61" t="n">
        <v>10</v>
      </c>
      <c r="G28" s="1" t="s">
        <v>96</v>
      </c>
      <c r="H28" s="1" t="s">
        <v>92</v>
      </c>
      <c r="I28" s="61" t="s">
        <v>94</v>
      </c>
      <c r="J28" s="61" t="s">
        <v>89</v>
      </c>
      <c r="K28" s="61" t="n">
        <v>20</v>
      </c>
      <c r="L28" s="61" t="n">
        <v>15</v>
      </c>
      <c r="M28" s="61" t="n">
        <v>15</v>
      </c>
      <c r="N28" s="1"/>
    </row>
    <row r="29" customFormat="false" ht="23" hidden="false" customHeight="true" outlineLevel="0" collapsed="false">
      <c r="A29" s="1" t="n">
        <v>3253</v>
      </c>
      <c r="B29" s="1" t="s">
        <v>116</v>
      </c>
      <c r="C29" s="1" t="s">
        <v>49</v>
      </c>
      <c r="D29" s="60" t="n">
        <v>45370</v>
      </c>
      <c r="E29" s="1" t="s">
        <v>92</v>
      </c>
      <c r="F29" s="61" t="n">
        <v>5</v>
      </c>
      <c r="G29" s="1" t="s">
        <v>90</v>
      </c>
      <c r="H29" s="1" t="s">
        <v>92</v>
      </c>
      <c r="I29" s="61" t="s">
        <v>94</v>
      </c>
      <c r="J29" s="61" t="s">
        <v>92</v>
      </c>
      <c r="K29" s="61" t="n">
        <v>0</v>
      </c>
      <c r="L29" s="61" t="n">
        <v>1</v>
      </c>
      <c r="M29" s="61" t="n">
        <v>4</v>
      </c>
      <c r="N29" s="1"/>
    </row>
    <row r="30" customFormat="false" ht="23" hidden="false" customHeight="true" outlineLevel="0" collapsed="false">
      <c r="A30" s="1" t="n">
        <v>3254</v>
      </c>
      <c r="B30" s="1" t="s">
        <v>117</v>
      </c>
      <c r="C30" s="1" t="s">
        <v>53</v>
      </c>
      <c r="D30" s="60" t="n">
        <v>45371</v>
      </c>
      <c r="E30" s="1" t="s">
        <v>89</v>
      </c>
      <c r="F30" s="61" t="n">
        <v>15</v>
      </c>
      <c r="G30" s="1" t="s">
        <v>93</v>
      </c>
      <c r="H30" s="1" t="s">
        <v>89</v>
      </c>
      <c r="I30" s="61" t="n">
        <v>30</v>
      </c>
      <c r="J30" s="61" t="s">
        <v>89</v>
      </c>
      <c r="K30" s="61" t="n">
        <v>20</v>
      </c>
      <c r="L30" s="61" t="n">
        <v>20</v>
      </c>
      <c r="M30" s="61" t="n">
        <v>45</v>
      </c>
      <c r="N30" s="1"/>
    </row>
    <row r="31" customFormat="false" ht="23" hidden="false" customHeight="true" outlineLevel="0" collapsed="false">
      <c r="A31" s="1" t="n">
        <v>3255</v>
      </c>
      <c r="B31" s="1" t="s">
        <v>118</v>
      </c>
      <c r="C31" s="1" t="s">
        <v>51</v>
      </c>
      <c r="D31" s="60" t="n">
        <v>45372</v>
      </c>
      <c r="E31" s="1" t="s">
        <v>92</v>
      </c>
      <c r="F31" s="61" t="n">
        <v>10</v>
      </c>
      <c r="G31" s="1" t="s">
        <v>90</v>
      </c>
      <c r="H31" s="1" t="s">
        <v>92</v>
      </c>
      <c r="I31" s="61" t="s">
        <v>94</v>
      </c>
      <c r="J31" s="61" t="s">
        <v>89</v>
      </c>
      <c r="K31" s="61" t="n">
        <v>20</v>
      </c>
      <c r="L31" s="61" t="n">
        <v>10</v>
      </c>
      <c r="M31" s="61" t="n">
        <v>20</v>
      </c>
      <c r="N31" s="1"/>
    </row>
    <row r="32" customFormat="false" ht="23" hidden="false" customHeight="true" outlineLevel="0" collapsed="false">
      <c r="A32" s="1" t="n">
        <v>3256</v>
      </c>
      <c r="B32" s="1" t="s">
        <v>119</v>
      </c>
      <c r="C32" s="1" t="s">
        <v>49</v>
      </c>
      <c r="D32" s="60" t="n">
        <v>45373</v>
      </c>
      <c r="E32" s="1" t="s">
        <v>89</v>
      </c>
      <c r="F32" s="61" t="n">
        <v>5</v>
      </c>
      <c r="G32" s="1" t="s">
        <v>96</v>
      </c>
      <c r="H32" s="1" t="s">
        <v>92</v>
      </c>
      <c r="I32" s="61" t="s">
        <v>94</v>
      </c>
      <c r="J32" s="61" t="s">
        <v>92</v>
      </c>
      <c r="K32" s="61" t="n">
        <v>0</v>
      </c>
      <c r="L32" s="61" t="n">
        <v>0</v>
      </c>
      <c r="M32" s="61" t="n">
        <v>5</v>
      </c>
      <c r="N32" s="1"/>
    </row>
    <row r="33" customFormat="false" ht="23" hidden="false" customHeight="true" outlineLevel="0" collapsed="false">
      <c r="A33" s="1" t="n">
        <v>3257</v>
      </c>
      <c r="B33" s="1" t="s">
        <v>120</v>
      </c>
      <c r="C33" s="1" t="s">
        <v>53</v>
      </c>
      <c r="D33" s="60" t="n">
        <v>45374</v>
      </c>
      <c r="E33" s="1" t="s">
        <v>92</v>
      </c>
      <c r="F33" s="61" t="n">
        <v>15</v>
      </c>
      <c r="G33" s="1" t="s">
        <v>90</v>
      </c>
      <c r="H33" s="1" t="s">
        <v>89</v>
      </c>
      <c r="I33" s="61" t="n">
        <v>30</v>
      </c>
      <c r="J33" s="61" t="s">
        <v>89</v>
      </c>
      <c r="K33" s="61" t="n">
        <v>20</v>
      </c>
      <c r="L33" s="61" t="n">
        <v>5</v>
      </c>
      <c r="M33" s="61" t="n">
        <v>60</v>
      </c>
      <c r="N33" s="1"/>
    </row>
    <row r="34" customFormat="false" ht="23" hidden="false" customHeight="true" outlineLevel="0" collapsed="false">
      <c r="A34" s="1" t="n">
        <v>3258</v>
      </c>
      <c r="B34" s="1" t="s">
        <v>121</v>
      </c>
      <c r="C34" s="1" t="s">
        <v>51</v>
      </c>
      <c r="D34" s="60" t="n">
        <v>45375</v>
      </c>
      <c r="E34" s="1" t="s">
        <v>89</v>
      </c>
      <c r="F34" s="61" t="n">
        <v>10</v>
      </c>
      <c r="G34" s="1" t="s">
        <v>93</v>
      </c>
      <c r="H34" s="1" t="s">
        <v>92</v>
      </c>
      <c r="I34" s="61" t="s">
        <v>94</v>
      </c>
      <c r="J34" s="61" t="s">
        <v>89</v>
      </c>
      <c r="K34" s="61" t="n">
        <v>20</v>
      </c>
      <c r="L34" s="61" t="n">
        <v>15</v>
      </c>
      <c r="M34" s="61" t="n">
        <v>15</v>
      </c>
      <c r="N34" s="1"/>
    </row>
    <row r="35" customFormat="false" ht="23" hidden="false" customHeight="true" outlineLevel="0" collapsed="false">
      <c r="A35" s="1" t="n">
        <v>3259</v>
      </c>
      <c r="B35" s="1" t="s">
        <v>122</v>
      </c>
      <c r="C35" s="1" t="s">
        <v>49</v>
      </c>
      <c r="D35" s="60" t="n">
        <v>45376</v>
      </c>
      <c r="E35" s="1" t="s">
        <v>92</v>
      </c>
      <c r="F35" s="61" t="n">
        <v>5</v>
      </c>
      <c r="G35" s="1" t="s">
        <v>90</v>
      </c>
      <c r="H35" s="1" t="s">
        <v>92</v>
      </c>
      <c r="I35" s="61" t="s">
        <v>94</v>
      </c>
      <c r="J35" s="61" t="s">
        <v>92</v>
      </c>
      <c r="K35" s="61" t="n">
        <v>0</v>
      </c>
      <c r="L35" s="61" t="n">
        <v>1</v>
      </c>
      <c r="M35" s="61" t="n">
        <v>4</v>
      </c>
      <c r="N35" s="1"/>
    </row>
    <row r="36" customFormat="false" ht="23" hidden="false" customHeight="true" outlineLevel="0" collapsed="false">
      <c r="A36" s="1" t="n">
        <v>3260</v>
      </c>
      <c r="B36" s="1" t="s">
        <v>123</v>
      </c>
      <c r="C36" s="1" t="s">
        <v>53</v>
      </c>
      <c r="D36" s="60" t="n">
        <v>45377</v>
      </c>
      <c r="E36" s="1" t="s">
        <v>89</v>
      </c>
      <c r="F36" s="61" t="n">
        <v>15</v>
      </c>
      <c r="G36" s="1" t="s">
        <v>96</v>
      </c>
      <c r="H36" s="1" t="s">
        <v>89</v>
      </c>
      <c r="I36" s="61" t="n">
        <v>30</v>
      </c>
      <c r="J36" s="61" t="s">
        <v>89</v>
      </c>
      <c r="K36" s="61" t="n">
        <v>20</v>
      </c>
      <c r="L36" s="61" t="n">
        <v>7</v>
      </c>
      <c r="M36" s="61" t="n">
        <v>58</v>
      </c>
      <c r="N36" s="1"/>
    </row>
    <row r="37" customFormat="false" ht="23" hidden="false" customHeight="true" outlineLevel="0" collapsed="false">
      <c r="A37" s="1" t="n">
        <v>3261</v>
      </c>
      <c r="B37" s="1" t="s">
        <v>124</v>
      </c>
      <c r="C37" s="1" t="s">
        <v>51</v>
      </c>
      <c r="D37" s="60" t="n">
        <v>45378</v>
      </c>
      <c r="E37" s="1" t="s">
        <v>92</v>
      </c>
      <c r="F37" s="61" t="n">
        <v>10</v>
      </c>
      <c r="G37" s="1" t="s">
        <v>90</v>
      </c>
      <c r="H37" s="1" t="s">
        <v>92</v>
      </c>
      <c r="I37" s="61" t="s">
        <v>94</v>
      </c>
      <c r="J37" s="61" t="s">
        <v>89</v>
      </c>
      <c r="K37" s="61" t="n">
        <v>20</v>
      </c>
      <c r="L37" s="61" t="n">
        <v>10</v>
      </c>
      <c r="M37" s="61" t="n">
        <v>20</v>
      </c>
      <c r="N37" s="1"/>
    </row>
    <row r="38" customFormat="false" ht="23" hidden="false" customHeight="true" outlineLevel="0" collapsed="false">
      <c r="A38" s="1" t="n">
        <v>3262</v>
      </c>
      <c r="B38" s="1" t="s">
        <v>125</v>
      </c>
      <c r="C38" s="1" t="s">
        <v>49</v>
      </c>
      <c r="D38" s="60" t="n">
        <v>45379</v>
      </c>
      <c r="E38" s="1" t="s">
        <v>89</v>
      </c>
      <c r="F38" s="61" t="n">
        <v>5</v>
      </c>
      <c r="G38" s="1" t="s">
        <v>93</v>
      </c>
      <c r="H38" s="1" t="s">
        <v>92</v>
      </c>
      <c r="I38" s="61" t="s">
        <v>94</v>
      </c>
      <c r="J38" s="61" t="s">
        <v>92</v>
      </c>
      <c r="K38" s="61" t="n">
        <v>0</v>
      </c>
      <c r="L38" s="61" t="n">
        <v>0</v>
      </c>
      <c r="M38" s="61" t="n">
        <v>5</v>
      </c>
      <c r="N38" s="1"/>
    </row>
    <row r="39" customFormat="false" ht="23" hidden="false" customHeight="true" outlineLevel="0" collapsed="false">
      <c r="A39" s="1" t="n">
        <v>3263</v>
      </c>
      <c r="B39" s="1" t="s">
        <v>126</v>
      </c>
      <c r="C39" s="1" t="s">
        <v>53</v>
      </c>
      <c r="D39" s="60" t="n">
        <v>45380</v>
      </c>
      <c r="E39" s="1" t="s">
        <v>92</v>
      </c>
      <c r="F39" s="61" t="n">
        <v>15</v>
      </c>
      <c r="G39" s="1" t="s">
        <v>90</v>
      </c>
      <c r="H39" s="1" t="s">
        <v>89</v>
      </c>
      <c r="I39" s="61" t="n">
        <v>30</v>
      </c>
      <c r="J39" s="61" t="s">
        <v>89</v>
      </c>
      <c r="K39" s="61" t="n">
        <v>20</v>
      </c>
      <c r="L39" s="61" t="n">
        <v>3</v>
      </c>
      <c r="M39" s="61" t="n">
        <v>62</v>
      </c>
      <c r="N39" s="1"/>
    </row>
    <row r="40" customFormat="false" ht="23" hidden="false" customHeight="true" outlineLevel="0" collapsed="false">
      <c r="A40" s="1" t="n">
        <v>3264</v>
      </c>
      <c r="B40" s="1" t="s">
        <v>127</v>
      </c>
      <c r="C40" s="1" t="s">
        <v>51</v>
      </c>
      <c r="D40" s="60" t="n">
        <v>45381</v>
      </c>
      <c r="E40" s="1" t="s">
        <v>89</v>
      </c>
      <c r="F40" s="61" t="n">
        <v>10</v>
      </c>
      <c r="G40" s="1" t="s">
        <v>96</v>
      </c>
      <c r="H40" s="1" t="s">
        <v>92</v>
      </c>
      <c r="I40" s="61" t="s">
        <v>94</v>
      </c>
      <c r="J40" s="61" t="s">
        <v>89</v>
      </c>
      <c r="K40" s="61" t="n">
        <v>20</v>
      </c>
      <c r="L40" s="61" t="n">
        <v>15</v>
      </c>
      <c r="M40" s="61" t="n">
        <v>15</v>
      </c>
      <c r="N40" s="1"/>
    </row>
    <row r="41" customFormat="false" ht="23" hidden="false" customHeight="true" outlineLevel="0" collapsed="false">
      <c r="A41" s="1" t="n">
        <v>3265</v>
      </c>
      <c r="B41" s="1" t="s">
        <v>128</v>
      </c>
      <c r="C41" s="1" t="s">
        <v>49</v>
      </c>
      <c r="D41" s="60" t="n">
        <v>45382</v>
      </c>
      <c r="E41" s="1" t="s">
        <v>92</v>
      </c>
      <c r="F41" s="61" t="n">
        <v>5</v>
      </c>
      <c r="G41" s="1" t="s">
        <v>90</v>
      </c>
      <c r="H41" s="1" t="s">
        <v>92</v>
      </c>
      <c r="I41" s="61" t="s">
        <v>94</v>
      </c>
      <c r="J41" s="61" t="s">
        <v>92</v>
      </c>
      <c r="K41" s="61" t="n">
        <v>0</v>
      </c>
      <c r="L41" s="61" t="n">
        <v>1</v>
      </c>
      <c r="M41" s="61" t="n">
        <v>4</v>
      </c>
      <c r="N41" s="1"/>
    </row>
    <row r="42" customFormat="false" ht="23" hidden="false" customHeight="true" outlineLevel="0" collapsed="false">
      <c r="A42" s="1" t="n">
        <v>3266</v>
      </c>
      <c r="B42" s="1" t="s">
        <v>129</v>
      </c>
      <c r="C42" s="1" t="s">
        <v>49</v>
      </c>
      <c r="D42" s="60" t="n">
        <v>45383</v>
      </c>
      <c r="E42" s="1" t="s">
        <v>89</v>
      </c>
      <c r="F42" s="61" t="n">
        <v>5</v>
      </c>
      <c r="G42" s="1" t="s">
        <v>90</v>
      </c>
      <c r="H42" s="1" t="s">
        <v>92</v>
      </c>
      <c r="I42" s="61" t="s">
        <v>94</v>
      </c>
      <c r="J42" s="61" t="s">
        <v>92</v>
      </c>
      <c r="K42" s="61" t="n">
        <v>0</v>
      </c>
      <c r="L42" s="61" t="n">
        <v>0</v>
      </c>
      <c r="M42" s="61" t="n">
        <v>5</v>
      </c>
      <c r="N42" s="1"/>
    </row>
    <row r="43" customFormat="false" ht="23" hidden="false" customHeight="true" outlineLevel="0" collapsed="false">
      <c r="A43" s="1" t="n">
        <v>3267</v>
      </c>
      <c r="B43" s="1" t="s">
        <v>130</v>
      </c>
      <c r="C43" s="1" t="s">
        <v>53</v>
      </c>
      <c r="D43" s="60" t="n">
        <v>45384</v>
      </c>
      <c r="E43" s="1" t="s">
        <v>92</v>
      </c>
      <c r="F43" s="61" t="n">
        <v>15</v>
      </c>
      <c r="G43" s="1" t="s">
        <v>96</v>
      </c>
      <c r="H43" s="1" t="s">
        <v>89</v>
      </c>
      <c r="I43" s="61" t="n">
        <v>30</v>
      </c>
      <c r="J43" s="61" t="s">
        <v>89</v>
      </c>
      <c r="K43" s="61" t="n">
        <v>20</v>
      </c>
      <c r="L43" s="61" t="n">
        <v>7</v>
      </c>
      <c r="M43" s="61" t="n">
        <v>58</v>
      </c>
      <c r="N43" s="1"/>
    </row>
    <row r="44" customFormat="false" ht="23" hidden="false" customHeight="true" outlineLevel="0" collapsed="false">
      <c r="A44" s="1" t="n">
        <v>3268</v>
      </c>
      <c r="B44" s="1" t="s">
        <v>131</v>
      </c>
      <c r="C44" s="1" t="s">
        <v>51</v>
      </c>
      <c r="D44" s="60" t="n">
        <v>45385</v>
      </c>
      <c r="E44" s="1" t="s">
        <v>89</v>
      </c>
      <c r="F44" s="61" t="n">
        <v>10</v>
      </c>
      <c r="G44" s="1" t="s">
        <v>93</v>
      </c>
      <c r="H44" s="1" t="s">
        <v>92</v>
      </c>
      <c r="I44" s="61" t="s">
        <v>94</v>
      </c>
      <c r="J44" s="61" t="s">
        <v>89</v>
      </c>
      <c r="K44" s="61" t="n">
        <v>20</v>
      </c>
      <c r="L44" s="61" t="n">
        <v>10</v>
      </c>
      <c r="M44" s="61" t="n">
        <v>20</v>
      </c>
      <c r="N44" s="1"/>
    </row>
    <row r="45" customFormat="false" ht="23" hidden="false" customHeight="true" outlineLevel="0" collapsed="false">
      <c r="A45" s="1" t="n">
        <v>3269</v>
      </c>
      <c r="B45" s="1" t="s">
        <v>132</v>
      </c>
      <c r="C45" s="1" t="s">
        <v>49</v>
      </c>
      <c r="D45" s="60" t="n">
        <v>45386</v>
      </c>
      <c r="E45" s="1" t="s">
        <v>92</v>
      </c>
      <c r="F45" s="61" t="n">
        <v>5</v>
      </c>
      <c r="G45" s="1" t="s">
        <v>96</v>
      </c>
      <c r="H45" s="1" t="s">
        <v>92</v>
      </c>
      <c r="I45" s="61" t="s">
        <v>94</v>
      </c>
      <c r="J45" s="61" t="s">
        <v>92</v>
      </c>
      <c r="K45" s="61" t="n">
        <v>0</v>
      </c>
      <c r="L45" s="61" t="n">
        <v>1</v>
      </c>
      <c r="M45" s="61" t="n">
        <v>4</v>
      </c>
      <c r="N45" s="1"/>
    </row>
    <row r="46" customFormat="false" ht="23" hidden="false" customHeight="true" outlineLevel="0" collapsed="false">
      <c r="A46" s="1" t="n">
        <v>3270</v>
      </c>
      <c r="B46" s="1" t="s">
        <v>133</v>
      </c>
      <c r="C46" s="1" t="s">
        <v>53</v>
      </c>
      <c r="D46" s="60" t="n">
        <v>45387</v>
      </c>
      <c r="E46" s="1" t="s">
        <v>89</v>
      </c>
      <c r="F46" s="61" t="n">
        <v>15</v>
      </c>
      <c r="G46" s="1" t="s">
        <v>90</v>
      </c>
      <c r="H46" s="1" t="s">
        <v>89</v>
      </c>
      <c r="I46" s="61" t="n">
        <v>30</v>
      </c>
      <c r="J46" s="61" t="s">
        <v>89</v>
      </c>
      <c r="K46" s="61" t="n">
        <v>20</v>
      </c>
      <c r="L46" s="61" t="n">
        <v>15</v>
      </c>
      <c r="M46" s="61" t="n">
        <v>50</v>
      </c>
      <c r="N46" s="1"/>
    </row>
    <row r="47" customFormat="false" ht="23" hidden="false" customHeight="true" outlineLevel="0" collapsed="false">
      <c r="A47" s="1" t="n">
        <v>3271</v>
      </c>
      <c r="B47" s="1" t="s">
        <v>134</v>
      </c>
      <c r="C47" s="1" t="s">
        <v>51</v>
      </c>
      <c r="D47" s="60" t="n">
        <v>45388</v>
      </c>
      <c r="E47" s="1" t="s">
        <v>92</v>
      </c>
      <c r="F47" s="61" t="n">
        <v>10</v>
      </c>
      <c r="G47" s="1" t="s">
        <v>90</v>
      </c>
      <c r="H47" s="1" t="s">
        <v>92</v>
      </c>
      <c r="I47" s="61" t="s">
        <v>94</v>
      </c>
      <c r="J47" s="61" t="s">
        <v>89</v>
      </c>
      <c r="K47" s="61" t="n">
        <v>20</v>
      </c>
      <c r="L47" s="61" t="n">
        <v>5</v>
      </c>
      <c r="M47" s="61" t="n">
        <v>25</v>
      </c>
      <c r="N47" s="1"/>
    </row>
    <row r="48" customFormat="false" ht="23" hidden="false" customHeight="true" outlineLevel="0" collapsed="false">
      <c r="A48" s="1" t="n">
        <v>3272</v>
      </c>
      <c r="B48" s="1" t="s">
        <v>135</v>
      </c>
      <c r="C48" s="1" t="s">
        <v>49</v>
      </c>
      <c r="D48" s="60" t="n">
        <v>45389</v>
      </c>
      <c r="E48" s="1" t="s">
        <v>89</v>
      </c>
      <c r="F48" s="61" t="n">
        <v>5</v>
      </c>
      <c r="G48" s="1" t="s">
        <v>93</v>
      </c>
      <c r="H48" s="1" t="s">
        <v>92</v>
      </c>
      <c r="I48" s="61" t="s">
        <v>94</v>
      </c>
      <c r="J48" s="61" t="s">
        <v>92</v>
      </c>
      <c r="K48" s="61" t="n">
        <v>0</v>
      </c>
      <c r="L48" s="61" t="n">
        <v>0</v>
      </c>
      <c r="M48" s="61" t="n">
        <v>5</v>
      </c>
      <c r="N48" s="1"/>
    </row>
    <row r="49" customFormat="false" ht="23" hidden="false" customHeight="true" outlineLevel="0" collapsed="false">
      <c r="A49" s="1" t="n">
        <v>3273</v>
      </c>
      <c r="B49" s="1" t="s">
        <v>136</v>
      </c>
      <c r="C49" s="1" t="s">
        <v>53</v>
      </c>
      <c r="D49" s="60" t="n">
        <v>45390</v>
      </c>
      <c r="E49" s="1" t="s">
        <v>92</v>
      </c>
      <c r="F49" s="61" t="n">
        <v>15</v>
      </c>
      <c r="G49" s="1" t="s">
        <v>96</v>
      </c>
      <c r="H49" s="1" t="s">
        <v>89</v>
      </c>
      <c r="I49" s="61" t="n">
        <v>30</v>
      </c>
      <c r="J49" s="61" t="s">
        <v>89</v>
      </c>
      <c r="K49" s="61" t="n">
        <v>20</v>
      </c>
      <c r="L49" s="61" t="n">
        <v>20</v>
      </c>
      <c r="M49" s="61" t="n">
        <v>45</v>
      </c>
      <c r="N49" s="1"/>
    </row>
    <row r="50" customFormat="false" ht="23" hidden="false" customHeight="true" outlineLevel="0" collapsed="false">
      <c r="A50" s="1" t="n">
        <v>3274</v>
      </c>
      <c r="B50" s="1" t="s">
        <v>137</v>
      </c>
      <c r="C50" s="1" t="s">
        <v>51</v>
      </c>
      <c r="D50" s="60" t="n">
        <v>45391</v>
      </c>
      <c r="E50" s="1" t="s">
        <v>89</v>
      </c>
      <c r="F50" s="61" t="n">
        <v>10</v>
      </c>
      <c r="G50" s="1" t="s">
        <v>96</v>
      </c>
      <c r="H50" s="1" t="s">
        <v>92</v>
      </c>
      <c r="I50" s="61" t="s">
        <v>94</v>
      </c>
      <c r="J50" s="61" t="s">
        <v>89</v>
      </c>
      <c r="K50" s="61" t="n">
        <v>20</v>
      </c>
      <c r="L50" s="61" t="n">
        <v>12</v>
      </c>
      <c r="M50" s="61" t="n">
        <v>18</v>
      </c>
      <c r="N50" s="1"/>
    </row>
    <row r="51" customFormat="false" ht="23" hidden="false" customHeight="true" outlineLevel="0" collapsed="false">
      <c r="A51" s="1" t="n">
        <v>3275</v>
      </c>
      <c r="B51" s="1" t="s">
        <v>138</v>
      </c>
      <c r="C51" s="1" t="s">
        <v>49</v>
      </c>
      <c r="D51" s="60" t="n">
        <v>45392</v>
      </c>
      <c r="E51" s="1" t="s">
        <v>92</v>
      </c>
      <c r="F51" s="61" t="n">
        <v>5</v>
      </c>
      <c r="G51" s="1" t="s">
        <v>90</v>
      </c>
      <c r="H51" s="1" t="s">
        <v>92</v>
      </c>
      <c r="I51" s="61" t="s">
        <v>94</v>
      </c>
      <c r="J51" s="61" t="s">
        <v>92</v>
      </c>
      <c r="K51" s="61" t="n">
        <v>0</v>
      </c>
      <c r="L51" s="61" t="n">
        <v>2</v>
      </c>
      <c r="M51" s="61" t="n">
        <v>3</v>
      </c>
      <c r="N51" s="1"/>
    </row>
    <row r="52" customFormat="false" ht="23" hidden="false" customHeight="true" outlineLevel="0" collapsed="false">
      <c r="A52" s="1" t="n">
        <v>3276</v>
      </c>
      <c r="B52" s="1" t="s">
        <v>139</v>
      </c>
      <c r="C52" s="1" t="s">
        <v>53</v>
      </c>
      <c r="D52" s="60" t="n">
        <v>45393</v>
      </c>
      <c r="E52" s="1" t="s">
        <v>89</v>
      </c>
      <c r="F52" s="61" t="n">
        <v>15</v>
      </c>
      <c r="G52" s="1" t="s">
        <v>93</v>
      </c>
      <c r="H52" s="1" t="s">
        <v>89</v>
      </c>
      <c r="I52" s="61" t="n">
        <v>30</v>
      </c>
      <c r="J52" s="61" t="s">
        <v>89</v>
      </c>
      <c r="K52" s="61" t="n">
        <v>20</v>
      </c>
      <c r="L52" s="61" t="n">
        <v>5</v>
      </c>
      <c r="M52" s="61" t="n">
        <v>60</v>
      </c>
      <c r="N52" s="1"/>
    </row>
    <row r="53" customFormat="false" ht="23" hidden="false" customHeight="true" outlineLevel="0" collapsed="false">
      <c r="A53" s="1" t="n">
        <v>3277</v>
      </c>
      <c r="B53" s="1" t="s">
        <v>140</v>
      </c>
      <c r="C53" s="1" t="s">
        <v>51</v>
      </c>
      <c r="D53" s="60" t="n">
        <v>45394</v>
      </c>
      <c r="E53" s="1" t="s">
        <v>92</v>
      </c>
      <c r="F53" s="61" t="n">
        <v>10</v>
      </c>
      <c r="G53" s="1" t="s">
        <v>90</v>
      </c>
      <c r="H53" s="1" t="s">
        <v>92</v>
      </c>
      <c r="I53" s="61" t="s">
        <v>94</v>
      </c>
      <c r="J53" s="61" t="s">
        <v>89</v>
      </c>
      <c r="K53" s="61" t="n">
        <v>20</v>
      </c>
      <c r="L53" s="61" t="n">
        <v>10</v>
      </c>
      <c r="M53" s="61" t="n">
        <v>20</v>
      </c>
      <c r="N53" s="1"/>
    </row>
    <row r="54" customFormat="false" ht="23" hidden="false" customHeight="true" outlineLevel="0" collapsed="false">
      <c r="A54" s="1" t="n">
        <v>3278</v>
      </c>
      <c r="B54" s="1" t="s">
        <v>141</v>
      </c>
      <c r="C54" s="1" t="s">
        <v>49</v>
      </c>
      <c r="D54" s="60" t="n">
        <v>45395</v>
      </c>
      <c r="E54" s="1" t="s">
        <v>89</v>
      </c>
      <c r="F54" s="61" t="n">
        <v>5</v>
      </c>
      <c r="G54" s="1" t="s">
        <v>96</v>
      </c>
      <c r="H54" s="1" t="s">
        <v>92</v>
      </c>
      <c r="I54" s="61" t="s">
        <v>94</v>
      </c>
      <c r="J54" s="61" t="s">
        <v>92</v>
      </c>
      <c r="K54" s="61" t="n">
        <v>0</v>
      </c>
      <c r="L54" s="61" t="n">
        <v>0</v>
      </c>
      <c r="M54" s="61" t="n">
        <v>5</v>
      </c>
      <c r="N54" s="1"/>
    </row>
    <row r="55" customFormat="false" ht="23" hidden="false" customHeight="true" outlineLevel="0" collapsed="false">
      <c r="A55" s="1" t="n">
        <v>3279</v>
      </c>
      <c r="B55" s="1" t="s">
        <v>142</v>
      </c>
      <c r="C55" s="1" t="s">
        <v>53</v>
      </c>
      <c r="D55" s="60" t="n">
        <v>45396</v>
      </c>
      <c r="E55" s="1" t="s">
        <v>92</v>
      </c>
      <c r="F55" s="61" t="n">
        <v>15</v>
      </c>
      <c r="G55" s="1" t="s">
        <v>90</v>
      </c>
      <c r="H55" s="1" t="s">
        <v>89</v>
      </c>
      <c r="I55" s="61" t="n">
        <v>30</v>
      </c>
      <c r="J55" s="61" t="s">
        <v>89</v>
      </c>
      <c r="K55" s="61" t="n">
        <v>20</v>
      </c>
      <c r="L55" s="61" t="n">
        <v>3</v>
      </c>
      <c r="M55" s="61" t="n">
        <v>62</v>
      </c>
      <c r="N55" s="1"/>
    </row>
    <row r="56" customFormat="false" ht="23" hidden="false" customHeight="true" outlineLevel="0" collapsed="false">
      <c r="A56" s="1" t="n">
        <v>3280</v>
      </c>
      <c r="B56" s="1" t="s">
        <v>143</v>
      </c>
      <c r="C56" s="1" t="s">
        <v>51</v>
      </c>
      <c r="D56" s="60" t="n">
        <v>45397</v>
      </c>
      <c r="E56" s="1" t="s">
        <v>89</v>
      </c>
      <c r="F56" s="61" t="n">
        <v>10</v>
      </c>
      <c r="G56" s="1" t="s">
        <v>93</v>
      </c>
      <c r="H56" s="1" t="s">
        <v>92</v>
      </c>
      <c r="I56" s="61" t="s">
        <v>94</v>
      </c>
      <c r="J56" s="61" t="s">
        <v>89</v>
      </c>
      <c r="K56" s="61" t="n">
        <v>20</v>
      </c>
      <c r="L56" s="61" t="n">
        <v>15</v>
      </c>
      <c r="M56" s="61" t="n">
        <v>15</v>
      </c>
      <c r="N56" s="1"/>
    </row>
    <row r="57" customFormat="false" ht="23" hidden="false" customHeight="true" outlineLevel="0" collapsed="false">
      <c r="A57" s="1" t="n">
        <v>3281</v>
      </c>
      <c r="B57" s="1" t="s">
        <v>144</v>
      </c>
      <c r="C57" s="1" t="s">
        <v>49</v>
      </c>
      <c r="D57" s="60" t="n">
        <v>45398</v>
      </c>
      <c r="E57" s="1" t="s">
        <v>92</v>
      </c>
      <c r="F57" s="61" t="n">
        <v>5</v>
      </c>
      <c r="G57" s="1" t="s">
        <v>90</v>
      </c>
      <c r="H57" s="1" t="s">
        <v>92</v>
      </c>
      <c r="I57" s="61" t="s">
        <v>94</v>
      </c>
      <c r="J57" s="61" t="s">
        <v>92</v>
      </c>
      <c r="K57" s="61" t="n">
        <v>0</v>
      </c>
      <c r="L57" s="61" t="n">
        <v>1</v>
      </c>
      <c r="M57" s="61" t="n">
        <v>4</v>
      </c>
      <c r="N57" s="1"/>
    </row>
    <row r="58" customFormat="false" ht="23" hidden="false" customHeight="true" outlineLevel="0" collapsed="false">
      <c r="A58" s="1" t="n">
        <v>3282</v>
      </c>
      <c r="B58" s="1" t="s">
        <v>145</v>
      </c>
      <c r="C58" s="1" t="s">
        <v>53</v>
      </c>
      <c r="D58" s="60" t="n">
        <v>45399</v>
      </c>
      <c r="E58" s="1" t="s">
        <v>89</v>
      </c>
      <c r="F58" s="61" t="n">
        <v>15</v>
      </c>
      <c r="G58" s="1" t="s">
        <v>96</v>
      </c>
      <c r="H58" s="1" t="s">
        <v>89</v>
      </c>
      <c r="I58" s="61" t="n">
        <v>30</v>
      </c>
      <c r="J58" s="61" t="s">
        <v>89</v>
      </c>
      <c r="K58" s="61" t="n">
        <v>20</v>
      </c>
      <c r="L58" s="61" t="n">
        <v>7</v>
      </c>
      <c r="M58" s="61" t="n">
        <v>58</v>
      </c>
      <c r="N58" s="1"/>
    </row>
    <row r="59" customFormat="false" ht="23" hidden="false" customHeight="true" outlineLevel="0" collapsed="false">
      <c r="A59" s="1" t="n">
        <v>3283</v>
      </c>
      <c r="B59" s="1" t="s">
        <v>146</v>
      </c>
      <c r="C59" s="1" t="s">
        <v>51</v>
      </c>
      <c r="D59" s="60" t="n">
        <v>45400</v>
      </c>
      <c r="E59" s="1" t="s">
        <v>92</v>
      </c>
      <c r="F59" s="61" t="n">
        <v>10</v>
      </c>
      <c r="G59" s="1" t="s">
        <v>90</v>
      </c>
      <c r="H59" s="1" t="s">
        <v>92</v>
      </c>
      <c r="I59" s="61" t="s">
        <v>94</v>
      </c>
      <c r="J59" s="61" t="s">
        <v>89</v>
      </c>
      <c r="K59" s="61" t="n">
        <v>20</v>
      </c>
      <c r="L59" s="61" t="n">
        <v>10</v>
      </c>
      <c r="M59" s="61" t="n">
        <v>20</v>
      </c>
      <c r="N59" s="1"/>
    </row>
    <row r="60" customFormat="false" ht="23" hidden="false" customHeight="true" outlineLevel="0" collapsed="false">
      <c r="A60" s="1" t="n">
        <v>3284</v>
      </c>
      <c r="B60" s="1" t="s">
        <v>147</v>
      </c>
      <c r="C60" s="1" t="s">
        <v>49</v>
      </c>
      <c r="D60" s="60" t="n">
        <v>45401</v>
      </c>
      <c r="E60" s="1" t="s">
        <v>89</v>
      </c>
      <c r="F60" s="61" t="n">
        <v>5</v>
      </c>
      <c r="G60" s="1" t="s">
        <v>93</v>
      </c>
      <c r="H60" s="1" t="s">
        <v>92</v>
      </c>
      <c r="I60" s="61" t="s">
        <v>94</v>
      </c>
      <c r="J60" s="61" t="s">
        <v>92</v>
      </c>
      <c r="K60" s="61" t="n">
        <v>0</v>
      </c>
      <c r="L60" s="61" t="n">
        <v>0</v>
      </c>
      <c r="M60" s="61" t="n">
        <v>5</v>
      </c>
      <c r="N60" s="1"/>
    </row>
    <row r="61" customFormat="false" ht="23" hidden="false" customHeight="true" outlineLevel="0" collapsed="false">
      <c r="A61" s="1" t="n">
        <v>3285</v>
      </c>
      <c r="B61" s="1" t="s">
        <v>148</v>
      </c>
      <c r="C61" s="1" t="s">
        <v>53</v>
      </c>
      <c r="D61" s="60" t="n">
        <v>45402</v>
      </c>
      <c r="E61" s="1" t="s">
        <v>92</v>
      </c>
      <c r="F61" s="61" t="n">
        <v>15</v>
      </c>
      <c r="G61" s="1" t="s">
        <v>90</v>
      </c>
      <c r="H61" s="1" t="s">
        <v>89</v>
      </c>
      <c r="I61" s="61" t="n">
        <v>30</v>
      </c>
      <c r="J61" s="61" t="s">
        <v>89</v>
      </c>
      <c r="K61" s="61" t="n">
        <v>20</v>
      </c>
      <c r="L61" s="61" t="n">
        <v>20</v>
      </c>
      <c r="M61" s="61" t="n">
        <v>45</v>
      </c>
      <c r="N61" s="1"/>
    </row>
    <row r="62" customFormat="false" ht="23" hidden="false" customHeight="true" outlineLevel="0" collapsed="false">
      <c r="A62" s="1" t="n">
        <v>3286</v>
      </c>
      <c r="B62" s="1" t="s">
        <v>149</v>
      </c>
      <c r="C62" s="1" t="s">
        <v>51</v>
      </c>
      <c r="D62" s="60" t="n">
        <v>45403</v>
      </c>
      <c r="E62" s="1" t="s">
        <v>89</v>
      </c>
      <c r="F62" s="61" t="n">
        <v>10</v>
      </c>
      <c r="G62" s="1" t="s">
        <v>96</v>
      </c>
      <c r="H62" s="1" t="s">
        <v>92</v>
      </c>
      <c r="I62" s="61" t="s">
        <v>94</v>
      </c>
      <c r="J62" s="61" t="s">
        <v>89</v>
      </c>
      <c r="K62" s="61" t="n">
        <v>20</v>
      </c>
      <c r="L62" s="61" t="n">
        <v>15</v>
      </c>
      <c r="M62" s="61" t="n">
        <v>15</v>
      </c>
      <c r="N62" s="1"/>
    </row>
    <row r="63" customFormat="false" ht="23" hidden="false" customHeight="true" outlineLevel="0" collapsed="false">
      <c r="A63" s="1" t="n">
        <v>3287</v>
      </c>
      <c r="B63" s="1" t="s">
        <v>150</v>
      </c>
      <c r="C63" s="1" t="s">
        <v>49</v>
      </c>
      <c r="D63" s="60" t="n">
        <v>45404</v>
      </c>
      <c r="E63" s="1" t="s">
        <v>92</v>
      </c>
      <c r="F63" s="61" t="n">
        <v>5</v>
      </c>
      <c r="G63" s="1" t="s">
        <v>90</v>
      </c>
      <c r="H63" s="1" t="s">
        <v>92</v>
      </c>
      <c r="I63" s="61" t="s">
        <v>94</v>
      </c>
      <c r="J63" s="61" t="s">
        <v>92</v>
      </c>
      <c r="K63" s="61" t="n">
        <v>0</v>
      </c>
      <c r="L63" s="61" t="n">
        <v>1</v>
      </c>
      <c r="M63" s="61" t="n">
        <v>4</v>
      </c>
      <c r="N63" s="1"/>
    </row>
    <row r="64" customFormat="false" ht="23" hidden="false" customHeight="true" outlineLevel="0" collapsed="false">
      <c r="A64" s="1" t="n">
        <v>3288</v>
      </c>
      <c r="B64" s="1" t="s">
        <v>151</v>
      </c>
      <c r="C64" s="1" t="s">
        <v>53</v>
      </c>
      <c r="D64" s="60" t="n">
        <v>45405</v>
      </c>
      <c r="E64" s="1" t="s">
        <v>89</v>
      </c>
      <c r="F64" s="61" t="n">
        <v>15</v>
      </c>
      <c r="G64" s="1" t="s">
        <v>93</v>
      </c>
      <c r="H64" s="1" t="s">
        <v>89</v>
      </c>
      <c r="I64" s="61" t="n">
        <v>30</v>
      </c>
      <c r="J64" s="61" t="s">
        <v>89</v>
      </c>
      <c r="K64" s="61" t="n">
        <v>20</v>
      </c>
      <c r="L64" s="61" t="n">
        <v>3</v>
      </c>
      <c r="M64" s="61" t="n">
        <v>62</v>
      </c>
      <c r="N64" s="1"/>
    </row>
    <row r="65" customFormat="false" ht="23" hidden="false" customHeight="true" outlineLevel="0" collapsed="false">
      <c r="A65" s="1" t="n">
        <v>3289</v>
      </c>
      <c r="B65" s="1" t="s">
        <v>152</v>
      </c>
      <c r="C65" s="1" t="s">
        <v>51</v>
      </c>
      <c r="D65" s="60" t="n">
        <v>45406</v>
      </c>
      <c r="E65" s="1" t="s">
        <v>92</v>
      </c>
      <c r="F65" s="61" t="n">
        <v>10</v>
      </c>
      <c r="G65" s="1" t="s">
        <v>90</v>
      </c>
      <c r="H65" s="1" t="s">
        <v>92</v>
      </c>
      <c r="I65" s="61" t="s">
        <v>94</v>
      </c>
      <c r="J65" s="61" t="s">
        <v>89</v>
      </c>
      <c r="K65" s="61" t="n">
        <v>20</v>
      </c>
      <c r="L65" s="61" t="n">
        <v>10</v>
      </c>
      <c r="M65" s="61" t="n">
        <v>20</v>
      </c>
      <c r="N65" s="1"/>
    </row>
    <row r="66" customFormat="false" ht="23" hidden="false" customHeight="true" outlineLevel="0" collapsed="false">
      <c r="A66" s="1" t="n">
        <v>3290</v>
      </c>
      <c r="B66" s="1" t="s">
        <v>153</v>
      </c>
      <c r="C66" s="1" t="s">
        <v>49</v>
      </c>
      <c r="D66" s="60" t="n">
        <v>45407</v>
      </c>
      <c r="E66" s="1" t="s">
        <v>89</v>
      </c>
      <c r="F66" s="61" t="n">
        <v>5</v>
      </c>
      <c r="G66" s="1" t="s">
        <v>96</v>
      </c>
      <c r="H66" s="1" t="s">
        <v>92</v>
      </c>
      <c r="I66" s="61" t="s">
        <v>94</v>
      </c>
      <c r="J66" s="61" t="s">
        <v>92</v>
      </c>
      <c r="K66" s="61" t="n">
        <v>0</v>
      </c>
      <c r="L66" s="61" t="n">
        <v>0</v>
      </c>
      <c r="M66" s="61" t="n">
        <v>5</v>
      </c>
      <c r="N66" s="1"/>
    </row>
    <row r="67" customFormat="false" ht="23" hidden="false" customHeight="true" outlineLevel="0" collapsed="false">
      <c r="A67" s="1" t="n">
        <v>3291</v>
      </c>
      <c r="B67" s="1" t="s">
        <v>154</v>
      </c>
      <c r="C67" s="1" t="s">
        <v>53</v>
      </c>
      <c r="D67" s="60" t="n">
        <v>45408</v>
      </c>
      <c r="E67" s="1" t="s">
        <v>92</v>
      </c>
      <c r="F67" s="61" t="n">
        <v>15</v>
      </c>
      <c r="G67" s="1" t="s">
        <v>90</v>
      </c>
      <c r="H67" s="1" t="s">
        <v>89</v>
      </c>
      <c r="I67" s="61" t="n">
        <v>30</v>
      </c>
      <c r="J67" s="61" t="s">
        <v>89</v>
      </c>
      <c r="K67" s="61" t="n">
        <v>20</v>
      </c>
      <c r="L67" s="61" t="n">
        <v>5</v>
      </c>
      <c r="M67" s="61" t="n">
        <v>60</v>
      </c>
      <c r="N67" s="1"/>
    </row>
    <row r="68" customFormat="false" ht="23" hidden="false" customHeight="true" outlineLevel="0" collapsed="false">
      <c r="A68" s="1" t="n">
        <v>3292</v>
      </c>
      <c r="B68" s="1" t="s">
        <v>155</v>
      </c>
      <c r="C68" s="1" t="s">
        <v>51</v>
      </c>
      <c r="D68" s="60" t="n">
        <v>45409</v>
      </c>
      <c r="E68" s="1" t="s">
        <v>89</v>
      </c>
      <c r="F68" s="61" t="n">
        <v>10</v>
      </c>
      <c r="G68" s="1" t="s">
        <v>93</v>
      </c>
      <c r="H68" s="1" t="s">
        <v>92</v>
      </c>
      <c r="I68" s="61" t="s">
        <v>94</v>
      </c>
      <c r="J68" s="61" t="s">
        <v>89</v>
      </c>
      <c r="K68" s="61" t="n">
        <v>20</v>
      </c>
      <c r="L68" s="61" t="n">
        <v>15</v>
      </c>
      <c r="M68" s="61" t="n">
        <v>15</v>
      </c>
      <c r="N68" s="1"/>
    </row>
    <row r="69" customFormat="false" ht="23" hidden="false" customHeight="true" outlineLevel="0" collapsed="false">
      <c r="A69" s="1" t="n">
        <v>3293</v>
      </c>
      <c r="B69" s="1" t="s">
        <v>156</v>
      </c>
      <c r="C69" s="1" t="s">
        <v>49</v>
      </c>
      <c r="D69" s="60" t="n">
        <v>45410</v>
      </c>
      <c r="E69" s="1" t="s">
        <v>92</v>
      </c>
      <c r="F69" s="61" t="n">
        <v>5</v>
      </c>
      <c r="G69" s="1" t="s">
        <v>90</v>
      </c>
      <c r="H69" s="1" t="s">
        <v>92</v>
      </c>
      <c r="I69" s="61" t="s">
        <v>94</v>
      </c>
      <c r="J69" s="61" t="s">
        <v>92</v>
      </c>
      <c r="K69" s="61" t="n">
        <v>0</v>
      </c>
      <c r="L69" s="61" t="n">
        <v>1</v>
      </c>
      <c r="M69" s="61" t="n">
        <v>4</v>
      </c>
      <c r="N69" s="1"/>
    </row>
    <row r="70" customFormat="false" ht="23" hidden="false" customHeight="true" outlineLevel="0" collapsed="false">
      <c r="A70" s="1" t="n">
        <v>3294</v>
      </c>
      <c r="B70" s="1" t="s">
        <v>157</v>
      </c>
      <c r="C70" s="1" t="s">
        <v>53</v>
      </c>
      <c r="D70" s="60" t="n">
        <v>45411</v>
      </c>
      <c r="E70" s="1" t="s">
        <v>89</v>
      </c>
      <c r="F70" s="61" t="n">
        <v>15</v>
      </c>
      <c r="G70" s="1" t="s">
        <v>96</v>
      </c>
      <c r="H70" s="1" t="s">
        <v>89</v>
      </c>
      <c r="I70" s="61" t="n">
        <v>30</v>
      </c>
      <c r="J70" s="61" t="s">
        <v>89</v>
      </c>
      <c r="K70" s="61" t="n">
        <v>20</v>
      </c>
      <c r="L70" s="61" t="n">
        <v>20</v>
      </c>
      <c r="M70" s="61" t="n">
        <v>45</v>
      </c>
      <c r="N70" s="1"/>
    </row>
    <row r="71" customFormat="false" ht="23" hidden="false" customHeight="true" outlineLevel="0" collapsed="false">
      <c r="A71" s="1" t="n">
        <v>3295</v>
      </c>
      <c r="B71" s="1" t="s">
        <v>158</v>
      </c>
      <c r="C71" s="1" t="s">
        <v>51</v>
      </c>
      <c r="D71" s="60" t="n">
        <v>45412</v>
      </c>
      <c r="E71" s="1" t="s">
        <v>92</v>
      </c>
      <c r="F71" s="61" t="n">
        <v>10</v>
      </c>
      <c r="G71" s="1" t="s">
        <v>90</v>
      </c>
      <c r="H71" s="1" t="s">
        <v>92</v>
      </c>
      <c r="I71" s="61" t="s">
        <v>94</v>
      </c>
      <c r="J71" s="61" t="s">
        <v>89</v>
      </c>
      <c r="K71" s="61" t="n">
        <v>20</v>
      </c>
      <c r="L71" s="61" t="n">
        <v>5</v>
      </c>
      <c r="M71" s="61" t="n">
        <v>25</v>
      </c>
      <c r="N71" s="1"/>
    </row>
    <row r="72" customFormat="false" ht="23" hidden="false" customHeight="true" outlineLevel="0" collapsed="false">
      <c r="A72" s="1" t="n">
        <v>3296</v>
      </c>
      <c r="B72" s="1" t="s">
        <v>159</v>
      </c>
      <c r="C72" s="1" t="s">
        <v>49</v>
      </c>
      <c r="D72" s="60" t="n">
        <v>45413</v>
      </c>
      <c r="E72" s="1" t="s">
        <v>92</v>
      </c>
      <c r="F72" s="61" t="n">
        <v>5</v>
      </c>
      <c r="G72" s="1" t="s">
        <v>90</v>
      </c>
      <c r="H72" s="1" t="s">
        <v>92</v>
      </c>
      <c r="I72" s="61" t="s">
        <v>94</v>
      </c>
      <c r="J72" s="61" t="s">
        <v>92</v>
      </c>
      <c r="K72" s="61" t="n">
        <v>0</v>
      </c>
      <c r="L72" s="61" t="n">
        <v>0</v>
      </c>
      <c r="M72" s="61" t="n">
        <v>5</v>
      </c>
      <c r="N72" s="1"/>
    </row>
    <row r="73" customFormat="false" ht="23" hidden="false" customHeight="true" outlineLevel="0" collapsed="false">
      <c r="A73" s="1" t="n">
        <v>3297</v>
      </c>
      <c r="B73" s="1" t="s">
        <v>160</v>
      </c>
      <c r="C73" s="1" t="s">
        <v>53</v>
      </c>
      <c r="D73" s="60" t="n">
        <v>45414</v>
      </c>
      <c r="E73" s="1" t="s">
        <v>89</v>
      </c>
      <c r="F73" s="61" t="n">
        <v>15</v>
      </c>
      <c r="G73" s="1" t="s">
        <v>96</v>
      </c>
      <c r="H73" s="1" t="s">
        <v>89</v>
      </c>
      <c r="I73" s="61" t="n">
        <v>30</v>
      </c>
      <c r="J73" s="61" t="s">
        <v>89</v>
      </c>
      <c r="K73" s="61" t="n">
        <v>20</v>
      </c>
      <c r="L73" s="61" t="n">
        <v>7</v>
      </c>
      <c r="M73" s="61" t="n">
        <v>58</v>
      </c>
      <c r="N73" s="1"/>
    </row>
    <row r="74" customFormat="false" ht="23" hidden="false" customHeight="true" outlineLevel="0" collapsed="false">
      <c r="A74" s="1" t="n">
        <v>3298</v>
      </c>
      <c r="B74" s="1" t="s">
        <v>161</v>
      </c>
      <c r="C74" s="1" t="s">
        <v>51</v>
      </c>
      <c r="D74" s="60" t="n">
        <v>45415</v>
      </c>
      <c r="E74" s="1" t="s">
        <v>92</v>
      </c>
      <c r="F74" s="61" t="n">
        <v>10</v>
      </c>
      <c r="G74" s="1" t="s">
        <v>93</v>
      </c>
      <c r="H74" s="1" t="s">
        <v>92</v>
      </c>
      <c r="I74" s="61" t="s">
        <v>94</v>
      </c>
      <c r="J74" s="61" t="s">
        <v>89</v>
      </c>
      <c r="K74" s="61" t="n">
        <v>20</v>
      </c>
      <c r="L74" s="61" t="n">
        <v>10</v>
      </c>
      <c r="M74" s="61" t="n">
        <v>20</v>
      </c>
      <c r="N74" s="1"/>
    </row>
    <row r="75" customFormat="false" ht="23" hidden="false" customHeight="true" outlineLevel="0" collapsed="false">
      <c r="A75" s="1" t="n">
        <v>3299</v>
      </c>
      <c r="B75" s="1" t="s">
        <v>162</v>
      </c>
      <c r="C75" s="1" t="s">
        <v>49</v>
      </c>
      <c r="D75" s="60" t="n">
        <v>45416</v>
      </c>
      <c r="E75" s="1" t="s">
        <v>89</v>
      </c>
      <c r="F75" s="61" t="n">
        <v>5</v>
      </c>
      <c r="G75" s="1" t="s">
        <v>96</v>
      </c>
      <c r="H75" s="1" t="s">
        <v>92</v>
      </c>
      <c r="I75" s="61" t="s">
        <v>94</v>
      </c>
      <c r="J75" s="61" t="s">
        <v>92</v>
      </c>
      <c r="K75" s="61" t="n">
        <v>0</v>
      </c>
      <c r="L75" s="61" t="n">
        <v>1</v>
      </c>
      <c r="M75" s="61" t="n">
        <v>4</v>
      </c>
      <c r="N75" s="1"/>
    </row>
    <row r="76" customFormat="false" ht="23" hidden="false" customHeight="true" outlineLevel="0" collapsed="false">
      <c r="A76" s="1" t="n">
        <v>3300</v>
      </c>
      <c r="B76" s="1" t="s">
        <v>163</v>
      </c>
      <c r="C76" s="1" t="s">
        <v>53</v>
      </c>
      <c r="D76" s="60" t="n">
        <v>45417</v>
      </c>
      <c r="E76" s="1" t="s">
        <v>92</v>
      </c>
      <c r="F76" s="61" t="n">
        <v>15</v>
      </c>
      <c r="G76" s="1" t="s">
        <v>90</v>
      </c>
      <c r="H76" s="1" t="s">
        <v>89</v>
      </c>
      <c r="I76" s="61" t="n">
        <v>30</v>
      </c>
      <c r="J76" s="61" t="s">
        <v>89</v>
      </c>
      <c r="K76" s="61" t="n">
        <v>20</v>
      </c>
      <c r="L76" s="61" t="n">
        <v>15</v>
      </c>
      <c r="M76" s="61" t="n">
        <v>50</v>
      </c>
      <c r="N76" s="1"/>
    </row>
    <row r="77" customFormat="false" ht="23" hidden="false" customHeight="true" outlineLevel="0" collapsed="false">
      <c r="A77" s="1" t="n">
        <v>3301</v>
      </c>
      <c r="B77" s="1" t="s">
        <v>164</v>
      </c>
      <c r="C77" s="1" t="s">
        <v>51</v>
      </c>
      <c r="D77" s="60" t="n">
        <v>45418</v>
      </c>
      <c r="E77" s="1" t="s">
        <v>89</v>
      </c>
      <c r="F77" s="61" t="n">
        <v>10</v>
      </c>
      <c r="G77" s="1" t="s">
        <v>90</v>
      </c>
      <c r="H77" s="1" t="s">
        <v>92</v>
      </c>
      <c r="I77" s="61" t="s">
        <v>94</v>
      </c>
      <c r="J77" s="61" t="s">
        <v>89</v>
      </c>
      <c r="K77" s="61" t="n">
        <v>20</v>
      </c>
      <c r="L77" s="61" t="n">
        <v>5</v>
      </c>
      <c r="M77" s="61" t="n">
        <v>25</v>
      </c>
      <c r="N77" s="1"/>
    </row>
    <row r="78" customFormat="false" ht="23" hidden="false" customHeight="true" outlineLevel="0" collapsed="false">
      <c r="A78" s="1" t="n">
        <v>3302</v>
      </c>
      <c r="B78" s="1" t="s">
        <v>165</v>
      </c>
      <c r="C78" s="1" t="s">
        <v>49</v>
      </c>
      <c r="D78" s="60" t="n">
        <v>45419</v>
      </c>
      <c r="E78" s="1" t="s">
        <v>92</v>
      </c>
      <c r="F78" s="61" t="n">
        <v>5</v>
      </c>
      <c r="G78" s="1" t="s">
        <v>93</v>
      </c>
      <c r="H78" s="1" t="s">
        <v>92</v>
      </c>
      <c r="I78" s="61" t="s">
        <v>94</v>
      </c>
      <c r="J78" s="61" t="s">
        <v>92</v>
      </c>
      <c r="K78" s="61" t="n">
        <v>0</v>
      </c>
      <c r="L78" s="61" t="n">
        <v>0</v>
      </c>
      <c r="M78" s="61" t="n">
        <v>5</v>
      </c>
      <c r="N78" s="1"/>
    </row>
    <row r="79" customFormat="false" ht="23" hidden="false" customHeight="true" outlineLevel="0" collapsed="false">
      <c r="A79" s="1" t="n">
        <v>3303</v>
      </c>
      <c r="B79" s="1" t="s">
        <v>166</v>
      </c>
      <c r="C79" s="1" t="s">
        <v>53</v>
      </c>
      <c r="D79" s="60" t="n">
        <v>45420</v>
      </c>
      <c r="E79" s="1" t="s">
        <v>89</v>
      </c>
      <c r="F79" s="61" t="n">
        <v>15</v>
      </c>
      <c r="G79" s="1" t="s">
        <v>96</v>
      </c>
      <c r="H79" s="1" t="s">
        <v>89</v>
      </c>
      <c r="I79" s="61" t="n">
        <v>30</v>
      </c>
      <c r="J79" s="61" t="s">
        <v>89</v>
      </c>
      <c r="K79" s="61" t="n">
        <v>20</v>
      </c>
      <c r="L79" s="61" t="n">
        <v>20</v>
      </c>
      <c r="M79" s="61" t="n">
        <v>45</v>
      </c>
      <c r="N79" s="1"/>
    </row>
    <row r="80" customFormat="false" ht="23" hidden="false" customHeight="true" outlineLevel="0" collapsed="false">
      <c r="A80" s="1" t="n">
        <v>3304</v>
      </c>
      <c r="B80" s="1" t="s">
        <v>167</v>
      </c>
      <c r="C80" s="1" t="s">
        <v>51</v>
      </c>
      <c r="D80" s="60" t="n">
        <v>45421</v>
      </c>
      <c r="E80" s="1" t="s">
        <v>92</v>
      </c>
      <c r="F80" s="61" t="n">
        <v>10</v>
      </c>
      <c r="G80" s="1" t="s">
        <v>96</v>
      </c>
      <c r="H80" s="1" t="s">
        <v>92</v>
      </c>
      <c r="I80" s="61" t="s">
        <v>94</v>
      </c>
      <c r="J80" s="61" t="s">
        <v>89</v>
      </c>
      <c r="K80" s="61" t="n">
        <v>20</v>
      </c>
      <c r="L80" s="61" t="n">
        <v>12</v>
      </c>
      <c r="M80" s="61" t="n">
        <v>18</v>
      </c>
      <c r="N80" s="1"/>
    </row>
    <row r="81" customFormat="false" ht="23" hidden="false" customHeight="true" outlineLevel="0" collapsed="false">
      <c r="A81" s="1" t="n">
        <v>3305</v>
      </c>
      <c r="B81" s="1" t="s">
        <v>168</v>
      </c>
      <c r="C81" s="1" t="s">
        <v>49</v>
      </c>
      <c r="D81" s="60" t="n">
        <v>45422</v>
      </c>
      <c r="E81" s="1" t="s">
        <v>89</v>
      </c>
      <c r="F81" s="61" t="n">
        <v>5</v>
      </c>
      <c r="G81" s="1" t="s">
        <v>90</v>
      </c>
      <c r="H81" s="1" t="s">
        <v>92</v>
      </c>
      <c r="I81" s="61" t="s">
        <v>94</v>
      </c>
      <c r="J81" s="61" t="s">
        <v>92</v>
      </c>
      <c r="K81" s="61" t="n">
        <v>0</v>
      </c>
      <c r="L81" s="61" t="n">
        <v>2</v>
      </c>
      <c r="M81" s="61" t="n">
        <v>3</v>
      </c>
      <c r="N81" s="1"/>
    </row>
    <row r="82" customFormat="false" ht="23" hidden="false" customHeight="true" outlineLevel="0" collapsed="false">
      <c r="A82" s="1" t="n">
        <v>3306</v>
      </c>
      <c r="B82" s="1" t="s">
        <v>169</v>
      </c>
      <c r="C82" s="1" t="s">
        <v>53</v>
      </c>
      <c r="D82" s="60" t="n">
        <v>45423</v>
      </c>
      <c r="E82" s="1" t="s">
        <v>92</v>
      </c>
      <c r="F82" s="61" t="n">
        <v>15</v>
      </c>
      <c r="G82" s="1" t="s">
        <v>93</v>
      </c>
      <c r="H82" s="1" t="s">
        <v>89</v>
      </c>
      <c r="I82" s="61" t="n">
        <v>30</v>
      </c>
      <c r="J82" s="61" t="s">
        <v>89</v>
      </c>
      <c r="K82" s="61" t="n">
        <v>20</v>
      </c>
      <c r="L82" s="61" t="n">
        <v>5</v>
      </c>
      <c r="M82" s="61" t="n">
        <v>60</v>
      </c>
      <c r="N82" s="1"/>
    </row>
    <row r="83" customFormat="false" ht="23" hidden="false" customHeight="true" outlineLevel="0" collapsed="false">
      <c r="A83" s="1" t="n">
        <v>3307</v>
      </c>
      <c r="B83" s="1" t="s">
        <v>170</v>
      </c>
      <c r="C83" s="1" t="s">
        <v>51</v>
      </c>
      <c r="D83" s="60" t="n">
        <v>45424</v>
      </c>
      <c r="E83" s="1" t="s">
        <v>89</v>
      </c>
      <c r="F83" s="61" t="n">
        <v>10</v>
      </c>
      <c r="G83" s="1" t="s">
        <v>90</v>
      </c>
      <c r="H83" s="1" t="s">
        <v>92</v>
      </c>
      <c r="I83" s="61" t="s">
        <v>94</v>
      </c>
      <c r="J83" s="61" t="s">
        <v>89</v>
      </c>
      <c r="K83" s="61" t="n">
        <v>20</v>
      </c>
      <c r="L83" s="61" t="n">
        <v>10</v>
      </c>
      <c r="M83" s="61" t="n">
        <v>20</v>
      </c>
      <c r="N83" s="1"/>
    </row>
    <row r="84" customFormat="false" ht="23" hidden="false" customHeight="true" outlineLevel="0" collapsed="false">
      <c r="A84" s="1" t="n">
        <v>3308</v>
      </c>
      <c r="B84" s="1" t="s">
        <v>171</v>
      </c>
      <c r="C84" s="1" t="s">
        <v>49</v>
      </c>
      <c r="D84" s="60" t="n">
        <v>45425</v>
      </c>
      <c r="E84" s="1" t="s">
        <v>92</v>
      </c>
      <c r="F84" s="61" t="n">
        <v>5</v>
      </c>
      <c r="G84" s="1" t="s">
        <v>96</v>
      </c>
      <c r="H84" s="1" t="s">
        <v>92</v>
      </c>
      <c r="I84" s="61" t="s">
        <v>94</v>
      </c>
      <c r="J84" s="61" t="s">
        <v>92</v>
      </c>
      <c r="K84" s="61" t="n">
        <v>0</v>
      </c>
      <c r="L84" s="61" t="n">
        <v>0</v>
      </c>
      <c r="M84" s="61" t="n">
        <v>5</v>
      </c>
      <c r="N84" s="1"/>
    </row>
    <row r="85" customFormat="false" ht="23" hidden="false" customHeight="true" outlineLevel="0" collapsed="false">
      <c r="A85" s="1" t="n">
        <v>3309</v>
      </c>
      <c r="B85" s="1" t="s">
        <v>172</v>
      </c>
      <c r="C85" s="1" t="s">
        <v>53</v>
      </c>
      <c r="D85" s="60" t="n">
        <v>45426</v>
      </c>
      <c r="E85" s="1" t="s">
        <v>89</v>
      </c>
      <c r="F85" s="61" t="n">
        <v>15</v>
      </c>
      <c r="G85" s="1" t="s">
        <v>90</v>
      </c>
      <c r="H85" s="1" t="s">
        <v>89</v>
      </c>
      <c r="I85" s="61" t="n">
        <v>30</v>
      </c>
      <c r="J85" s="61" t="s">
        <v>89</v>
      </c>
      <c r="K85" s="61" t="n">
        <v>20</v>
      </c>
      <c r="L85" s="61" t="n">
        <v>3</v>
      </c>
      <c r="M85" s="61" t="n">
        <v>62</v>
      </c>
      <c r="N85" s="1"/>
    </row>
    <row r="86" customFormat="false" ht="23" hidden="false" customHeight="true" outlineLevel="0" collapsed="false">
      <c r="A86" s="1" t="n">
        <v>3310</v>
      </c>
      <c r="B86" s="1" t="s">
        <v>173</v>
      </c>
      <c r="C86" s="1" t="s">
        <v>51</v>
      </c>
      <c r="D86" s="60" t="n">
        <v>45427</v>
      </c>
      <c r="E86" s="1" t="s">
        <v>92</v>
      </c>
      <c r="F86" s="61" t="n">
        <v>10</v>
      </c>
      <c r="G86" s="1" t="s">
        <v>93</v>
      </c>
      <c r="H86" s="1" t="s">
        <v>92</v>
      </c>
      <c r="I86" s="61" t="s">
        <v>94</v>
      </c>
      <c r="J86" s="61" t="s">
        <v>89</v>
      </c>
      <c r="K86" s="61" t="n">
        <v>20</v>
      </c>
      <c r="L86" s="61" t="n">
        <v>15</v>
      </c>
      <c r="M86" s="61" t="n">
        <v>15</v>
      </c>
      <c r="N86" s="1"/>
    </row>
    <row r="87" customFormat="false" ht="23" hidden="false" customHeight="true" outlineLevel="0" collapsed="false">
      <c r="A87" s="1" t="n">
        <v>3311</v>
      </c>
      <c r="B87" s="1" t="s">
        <v>174</v>
      </c>
      <c r="C87" s="1" t="s">
        <v>49</v>
      </c>
      <c r="D87" s="60" t="n">
        <v>45428</v>
      </c>
      <c r="E87" s="1" t="s">
        <v>89</v>
      </c>
      <c r="F87" s="61" t="n">
        <v>5</v>
      </c>
      <c r="G87" s="1" t="s">
        <v>90</v>
      </c>
      <c r="H87" s="1" t="s">
        <v>92</v>
      </c>
      <c r="I87" s="61" t="s">
        <v>94</v>
      </c>
      <c r="J87" s="61" t="s">
        <v>92</v>
      </c>
      <c r="K87" s="61" t="n">
        <v>0</v>
      </c>
      <c r="L87" s="61" t="n">
        <v>1</v>
      </c>
      <c r="M87" s="61" t="n">
        <v>4</v>
      </c>
      <c r="N87" s="1"/>
    </row>
    <row r="88" customFormat="false" ht="23" hidden="false" customHeight="true" outlineLevel="0" collapsed="false">
      <c r="A88" s="1" t="n">
        <v>3312</v>
      </c>
      <c r="B88" s="1" t="s">
        <v>175</v>
      </c>
      <c r="C88" s="1" t="s">
        <v>53</v>
      </c>
      <c r="D88" s="60" t="n">
        <v>45429</v>
      </c>
      <c r="E88" s="1" t="s">
        <v>92</v>
      </c>
      <c r="F88" s="61" t="n">
        <v>15</v>
      </c>
      <c r="G88" s="1" t="s">
        <v>96</v>
      </c>
      <c r="H88" s="1" t="s">
        <v>89</v>
      </c>
      <c r="I88" s="61" t="n">
        <v>30</v>
      </c>
      <c r="J88" s="61" t="s">
        <v>89</v>
      </c>
      <c r="K88" s="61" t="n">
        <v>20</v>
      </c>
      <c r="L88" s="61" t="n">
        <v>7</v>
      </c>
      <c r="M88" s="61" t="n">
        <v>58</v>
      </c>
      <c r="N88" s="1"/>
    </row>
    <row r="89" customFormat="false" ht="23" hidden="false" customHeight="true" outlineLevel="0" collapsed="false">
      <c r="A89" s="1" t="n">
        <v>3313</v>
      </c>
      <c r="B89" s="1" t="s">
        <v>176</v>
      </c>
      <c r="C89" s="1" t="s">
        <v>51</v>
      </c>
      <c r="D89" s="60" t="n">
        <v>45430</v>
      </c>
      <c r="E89" s="1" t="s">
        <v>89</v>
      </c>
      <c r="F89" s="61" t="n">
        <v>10</v>
      </c>
      <c r="G89" s="1" t="s">
        <v>90</v>
      </c>
      <c r="H89" s="1" t="s">
        <v>92</v>
      </c>
      <c r="I89" s="61" t="s">
        <v>94</v>
      </c>
      <c r="J89" s="61" t="s">
        <v>89</v>
      </c>
      <c r="K89" s="61" t="n">
        <v>20</v>
      </c>
      <c r="L89" s="61" t="n">
        <v>10</v>
      </c>
      <c r="M89" s="61" t="n">
        <v>20</v>
      </c>
      <c r="N89" s="1"/>
    </row>
    <row r="90" customFormat="false" ht="23" hidden="false" customHeight="true" outlineLevel="0" collapsed="false">
      <c r="A90" s="1" t="n">
        <v>3314</v>
      </c>
      <c r="B90" s="1" t="s">
        <v>177</v>
      </c>
      <c r="C90" s="1" t="s">
        <v>49</v>
      </c>
      <c r="D90" s="60" t="n">
        <v>45431</v>
      </c>
      <c r="E90" s="1" t="s">
        <v>92</v>
      </c>
      <c r="F90" s="61" t="n">
        <v>5</v>
      </c>
      <c r="G90" s="1" t="s">
        <v>93</v>
      </c>
      <c r="H90" s="1" t="s">
        <v>92</v>
      </c>
      <c r="I90" s="61" t="s">
        <v>94</v>
      </c>
      <c r="J90" s="61" t="s">
        <v>92</v>
      </c>
      <c r="K90" s="61" t="n">
        <v>0</v>
      </c>
      <c r="L90" s="61" t="n">
        <v>0</v>
      </c>
      <c r="M90" s="61" t="n">
        <v>5</v>
      </c>
      <c r="N90" s="1"/>
    </row>
    <row r="91" customFormat="false" ht="23" hidden="false" customHeight="true" outlineLevel="0" collapsed="false">
      <c r="A91" s="1" t="n">
        <v>3315</v>
      </c>
      <c r="B91" s="1" t="s">
        <v>178</v>
      </c>
      <c r="C91" s="1" t="s">
        <v>53</v>
      </c>
      <c r="D91" s="60" t="n">
        <v>45432</v>
      </c>
      <c r="E91" s="1" t="s">
        <v>89</v>
      </c>
      <c r="F91" s="61" t="n">
        <v>15</v>
      </c>
      <c r="G91" s="1" t="s">
        <v>90</v>
      </c>
      <c r="H91" s="1" t="s">
        <v>89</v>
      </c>
      <c r="I91" s="61" t="n">
        <v>30</v>
      </c>
      <c r="J91" s="61" t="s">
        <v>89</v>
      </c>
      <c r="K91" s="61" t="n">
        <v>20</v>
      </c>
      <c r="L91" s="61" t="n">
        <v>20</v>
      </c>
      <c r="M91" s="61" t="n">
        <v>45</v>
      </c>
      <c r="N91" s="1"/>
    </row>
    <row r="92" customFormat="false" ht="23" hidden="false" customHeight="true" outlineLevel="0" collapsed="false">
      <c r="A92" s="1" t="n">
        <v>3316</v>
      </c>
      <c r="B92" s="1" t="s">
        <v>179</v>
      </c>
      <c r="C92" s="1" t="s">
        <v>51</v>
      </c>
      <c r="D92" s="60" t="n">
        <v>45433</v>
      </c>
      <c r="E92" s="1" t="s">
        <v>92</v>
      </c>
      <c r="F92" s="61" t="n">
        <v>10</v>
      </c>
      <c r="G92" s="1" t="s">
        <v>96</v>
      </c>
      <c r="H92" s="1" t="s">
        <v>92</v>
      </c>
      <c r="I92" s="61" t="s">
        <v>94</v>
      </c>
      <c r="J92" s="61" t="s">
        <v>89</v>
      </c>
      <c r="K92" s="61" t="n">
        <v>20</v>
      </c>
      <c r="L92" s="61" t="n">
        <v>15</v>
      </c>
      <c r="M92" s="61" t="n">
        <v>15</v>
      </c>
      <c r="N92" s="1"/>
    </row>
    <row r="93" customFormat="false" ht="23" hidden="false" customHeight="true" outlineLevel="0" collapsed="false">
      <c r="A93" s="1" t="n">
        <v>3317</v>
      </c>
      <c r="B93" s="1" t="s">
        <v>180</v>
      </c>
      <c r="C93" s="1" t="s">
        <v>49</v>
      </c>
      <c r="D93" s="60" t="n">
        <v>45434</v>
      </c>
      <c r="E93" s="1" t="s">
        <v>89</v>
      </c>
      <c r="F93" s="61" t="n">
        <v>5</v>
      </c>
      <c r="G93" s="1" t="s">
        <v>90</v>
      </c>
      <c r="H93" s="1" t="s">
        <v>92</v>
      </c>
      <c r="I93" s="61" t="s">
        <v>94</v>
      </c>
      <c r="J93" s="61" t="s">
        <v>92</v>
      </c>
      <c r="K93" s="61" t="n">
        <v>0</v>
      </c>
      <c r="L93" s="61" t="n">
        <v>1</v>
      </c>
      <c r="M93" s="61" t="n">
        <v>4</v>
      </c>
      <c r="N93" s="1"/>
    </row>
    <row r="94" customFormat="false" ht="23" hidden="false" customHeight="true" outlineLevel="0" collapsed="false">
      <c r="A94" s="1" t="n">
        <v>3318</v>
      </c>
      <c r="B94" s="1" t="s">
        <v>181</v>
      </c>
      <c r="C94" s="1" t="s">
        <v>53</v>
      </c>
      <c r="D94" s="60" t="n">
        <v>45435</v>
      </c>
      <c r="E94" s="1" t="s">
        <v>92</v>
      </c>
      <c r="F94" s="61" t="n">
        <v>15</v>
      </c>
      <c r="G94" s="1" t="s">
        <v>93</v>
      </c>
      <c r="H94" s="1" t="s">
        <v>89</v>
      </c>
      <c r="I94" s="61" t="n">
        <v>30</v>
      </c>
      <c r="J94" s="61" t="s">
        <v>89</v>
      </c>
      <c r="K94" s="61" t="n">
        <v>20</v>
      </c>
      <c r="L94" s="61" t="n">
        <v>3</v>
      </c>
      <c r="M94" s="61" t="n">
        <v>62</v>
      </c>
      <c r="N94" s="1"/>
    </row>
    <row r="95" customFormat="false" ht="23" hidden="false" customHeight="true" outlineLevel="0" collapsed="false">
      <c r="A95" s="1" t="n">
        <v>3319</v>
      </c>
      <c r="B95" s="1" t="s">
        <v>182</v>
      </c>
      <c r="C95" s="1" t="s">
        <v>51</v>
      </c>
      <c r="D95" s="60" t="n">
        <v>45436</v>
      </c>
      <c r="E95" s="1" t="s">
        <v>89</v>
      </c>
      <c r="F95" s="61" t="n">
        <v>10</v>
      </c>
      <c r="G95" s="1" t="s">
        <v>90</v>
      </c>
      <c r="H95" s="1" t="s">
        <v>92</v>
      </c>
      <c r="I95" s="61" t="s">
        <v>94</v>
      </c>
      <c r="J95" s="61" t="s">
        <v>89</v>
      </c>
      <c r="K95" s="61" t="n">
        <v>20</v>
      </c>
      <c r="L95" s="61" t="n">
        <v>10</v>
      </c>
      <c r="M95" s="61" t="n">
        <v>20</v>
      </c>
      <c r="N95" s="1"/>
    </row>
    <row r="96" customFormat="false" ht="23" hidden="false" customHeight="true" outlineLevel="0" collapsed="false">
      <c r="A96" s="1" t="n">
        <v>3320</v>
      </c>
      <c r="B96" s="1" t="s">
        <v>183</v>
      </c>
      <c r="C96" s="1" t="s">
        <v>49</v>
      </c>
      <c r="D96" s="60" t="n">
        <v>45437</v>
      </c>
      <c r="E96" s="1" t="s">
        <v>92</v>
      </c>
      <c r="F96" s="61" t="n">
        <v>5</v>
      </c>
      <c r="G96" s="1" t="s">
        <v>96</v>
      </c>
      <c r="H96" s="1" t="s">
        <v>92</v>
      </c>
      <c r="I96" s="61" t="s">
        <v>94</v>
      </c>
      <c r="J96" s="61" t="s">
        <v>92</v>
      </c>
      <c r="K96" s="61" t="n">
        <v>0</v>
      </c>
      <c r="L96" s="61" t="n">
        <v>0</v>
      </c>
      <c r="M96" s="61" t="n">
        <v>5</v>
      </c>
      <c r="N96" s="1"/>
    </row>
    <row r="97" customFormat="false" ht="23" hidden="false" customHeight="true" outlineLevel="0" collapsed="false">
      <c r="A97" s="1" t="n">
        <v>3321</v>
      </c>
      <c r="B97" s="1" t="s">
        <v>184</v>
      </c>
      <c r="C97" s="1" t="s">
        <v>53</v>
      </c>
      <c r="D97" s="60" t="n">
        <v>45438</v>
      </c>
      <c r="E97" s="1" t="s">
        <v>89</v>
      </c>
      <c r="F97" s="61" t="n">
        <v>15</v>
      </c>
      <c r="G97" s="1" t="s">
        <v>90</v>
      </c>
      <c r="H97" s="1" t="s">
        <v>89</v>
      </c>
      <c r="I97" s="61" t="n">
        <v>30</v>
      </c>
      <c r="J97" s="61" t="s">
        <v>89</v>
      </c>
      <c r="K97" s="61" t="n">
        <v>20</v>
      </c>
      <c r="L97" s="61" t="n">
        <v>5</v>
      </c>
      <c r="M97" s="61" t="n">
        <v>60</v>
      </c>
      <c r="N97" s="1"/>
    </row>
    <row r="98" customFormat="false" ht="23" hidden="false" customHeight="true" outlineLevel="0" collapsed="false">
      <c r="A98" s="1" t="n">
        <v>3322</v>
      </c>
      <c r="B98" s="1" t="s">
        <v>185</v>
      </c>
      <c r="C98" s="1" t="s">
        <v>51</v>
      </c>
      <c r="D98" s="60" t="n">
        <v>45439</v>
      </c>
      <c r="E98" s="1" t="s">
        <v>92</v>
      </c>
      <c r="F98" s="61" t="n">
        <v>10</v>
      </c>
      <c r="G98" s="1" t="s">
        <v>93</v>
      </c>
      <c r="H98" s="1" t="s">
        <v>92</v>
      </c>
      <c r="I98" s="61" t="s">
        <v>94</v>
      </c>
      <c r="J98" s="61" t="s">
        <v>89</v>
      </c>
      <c r="K98" s="61" t="n">
        <v>20</v>
      </c>
      <c r="L98" s="61" t="n">
        <v>15</v>
      </c>
      <c r="M98" s="61" t="n">
        <v>15</v>
      </c>
      <c r="N98" s="1"/>
    </row>
    <row r="99" customFormat="false" ht="23" hidden="false" customHeight="true" outlineLevel="0" collapsed="false">
      <c r="A99" s="1" t="n">
        <v>3323</v>
      </c>
      <c r="B99" s="1" t="s">
        <v>186</v>
      </c>
      <c r="C99" s="1" t="s">
        <v>49</v>
      </c>
      <c r="D99" s="60" t="n">
        <v>45440</v>
      </c>
      <c r="E99" s="1" t="s">
        <v>89</v>
      </c>
      <c r="F99" s="61" t="n">
        <v>5</v>
      </c>
      <c r="G99" s="1" t="s">
        <v>90</v>
      </c>
      <c r="H99" s="1" t="s">
        <v>92</v>
      </c>
      <c r="I99" s="61" t="s">
        <v>94</v>
      </c>
      <c r="J99" s="61" t="s">
        <v>92</v>
      </c>
      <c r="K99" s="61" t="n">
        <v>0</v>
      </c>
      <c r="L99" s="61" t="n">
        <v>1</v>
      </c>
      <c r="M99" s="61" t="n">
        <v>4</v>
      </c>
      <c r="N99" s="1"/>
    </row>
    <row r="100" customFormat="false" ht="23" hidden="false" customHeight="true" outlineLevel="0" collapsed="false">
      <c r="A100" s="1" t="n">
        <v>3324</v>
      </c>
      <c r="B100" s="1" t="s">
        <v>187</v>
      </c>
      <c r="C100" s="1" t="s">
        <v>53</v>
      </c>
      <c r="D100" s="60" t="n">
        <v>45441</v>
      </c>
      <c r="E100" s="1" t="s">
        <v>92</v>
      </c>
      <c r="F100" s="61" t="n">
        <v>15</v>
      </c>
      <c r="G100" s="1" t="s">
        <v>96</v>
      </c>
      <c r="H100" s="1" t="s">
        <v>89</v>
      </c>
      <c r="I100" s="61" t="n">
        <v>30</v>
      </c>
      <c r="J100" s="61" t="s">
        <v>89</v>
      </c>
      <c r="K100" s="61" t="n">
        <v>20</v>
      </c>
      <c r="L100" s="61" t="n">
        <v>20</v>
      </c>
      <c r="M100" s="61" t="n">
        <v>45</v>
      </c>
      <c r="N100" s="1"/>
    </row>
    <row r="101" customFormat="false" ht="23" hidden="false" customHeight="true" outlineLevel="0" collapsed="false">
      <c r="A101" s="1" t="n">
        <v>3325</v>
      </c>
      <c r="B101" s="1" t="s">
        <v>188</v>
      </c>
      <c r="C101" s="1" t="s">
        <v>51</v>
      </c>
      <c r="D101" s="60" t="n">
        <v>45442</v>
      </c>
      <c r="E101" s="1" t="s">
        <v>89</v>
      </c>
      <c r="F101" s="61" t="n">
        <v>10</v>
      </c>
      <c r="G101" s="1" t="s">
        <v>96</v>
      </c>
      <c r="H101" s="1" t="s">
        <v>92</v>
      </c>
      <c r="I101" s="61" t="s">
        <v>94</v>
      </c>
      <c r="J101" s="61" t="s">
        <v>89</v>
      </c>
      <c r="K101" s="61" t="n">
        <v>20</v>
      </c>
      <c r="L101" s="61" t="n">
        <v>15</v>
      </c>
      <c r="M101" s="61" t="n">
        <v>15</v>
      </c>
      <c r="N101" s="1"/>
    </row>
    <row r="102" customFormat="false" ht="23" hidden="false" customHeight="true" outlineLevel="0" collapsed="false">
      <c r="A102" s="1" t="n">
        <v>3326</v>
      </c>
      <c r="B102" s="1" t="s">
        <v>189</v>
      </c>
      <c r="C102" s="1" t="s">
        <v>49</v>
      </c>
      <c r="D102" s="60" t="n">
        <v>45443</v>
      </c>
      <c r="E102" s="1" t="s">
        <v>92</v>
      </c>
      <c r="F102" s="61" t="n">
        <v>5</v>
      </c>
      <c r="G102" s="1" t="s">
        <v>93</v>
      </c>
      <c r="H102" s="1" t="s">
        <v>92</v>
      </c>
      <c r="I102" s="61" t="s">
        <v>94</v>
      </c>
      <c r="J102" s="61" t="s">
        <v>92</v>
      </c>
      <c r="K102" s="61" t="n">
        <v>0</v>
      </c>
      <c r="L102" s="61" t="n">
        <v>0</v>
      </c>
      <c r="M102" s="61" t="n">
        <v>5</v>
      </c>
      <c r="N102" s="1"/>
    </row>
    <row r="103" customFormat="false" ht="23" hidden="false" customHeight="true" outlineLevel="0" collapsed="false">
      <c r="A103" s="1" t="n">
        <v>3327</v>
      </c>
      <c r="B103" s="1" t="s">
        <v>190</v>
      </c>
      <c r="C103" s="1" t="s">
        <v>53</v>
      </c>
      <c r="D103" s="60" t="n">
        <v>45444</v>
      </c>
      <c r="E103" s="1" t="s">
        <v>89</v>
      </c>
      <c r="F103" s="61" t="n">
        <v>15</v>
      </c>
      <c r="G103" s="1" t="s">
        <v>90</v>
      </c>
      <c r="H103" s="1" t="s">
        <v>89</v>
      </c>
      <c r="I103" s="61" t="n">
        <v>30</v>
      </c>
      <c r="J103" s="61" t="s">
        <v>89</v>
      </c>
      <c r="K103" s="61" t="n">
        <v>20</v>
      </c>
      <c r="L103" s="61" t="n">
        <v>7</v>
      </c>
      <c r="M103" s="61" t="n">
        <v>58</v>
      </c>
      <c r="N103" s="1"/>
    </row>
    <row r="104" customFormat="false" ht="23" hidden="false" customHeight="true" outlineLevel="0" collapsed="false">
      <c r="A104" s="1" t="n">
        <v>3328</v>
      </c>
      <c r="B104" s="1" t="s">
        <v>191</v>
      </c>
      <c r="C104" s="1" t="s">
        <v>51</v>
      </c>
      <c r="D104" s="60" t="n">
        <v>45445</v>
      </c>
      <c r="E104" s="1" t="s">
        <v>92</v>
      </c>
      <c r="F104" s="61" t="n">
        <v>10</v>
      </c>
      <c r="G104" s="1" t="s">
        <v>93</v>
      </c>
      <c r="H104" s="1" t="s">
        <v>92</v>
      </c>
      <c r="I104" s="61" t="s">
        <v>94</v>
      </c>
      <c r="J104" s="61" t="s">
        <v>89</v>
      </c>
      <c r="K104" s="61" t="n">
        <v>20</v>
      </c>
      <c r="L104" s="61" t="n">
        <v>10</v>
      </c>
      <c r="M104" s="61" t="n">
        <v>20</v>
      </c>
      <c r="N104" s="1"/>
    </row>
    <row r="105" customFormat="false" ht="23" hidden="false" customHeight="true" outlineLevel="0" collapsed="false">
      <c r="A105" s="1" t="n">
        <v>3329</v>
      </c>
      <c r="B105" s="1" t="s">
        <v>192</v>
      </c>
      <c r="C105" s="1" t="s">
        <v>49</v>
      </c>
      <c r="D105" s="60" t="n">
        <v>45446</v>
      </c>
      <c r="E105" s="1" t="s">
        <v>89</v>
      </c>
      <c r="F105" s="61" t="n">
        <v>5</v>
      </c>
      <c r="G105" s="1" t="s">
        <v>96</v>
      </c>
      <c r="H105" s="1" t="s">
        <v>92</v>
      </c>
      <c r="I105" s="61" t="s">
        <v>94</v>
      </c>
      <c r="J105" s="61" t="s">
        <v>92</v>
      </c>
      <c r="K105" s="61" t="n">
        <v>0</v>
      </c>
      <c r="L105" s="61" t="n">
        <v>1</v>
      </c>
      <c r="M105" s="61" t="n">
        <v>4</v>
      </c>
      <c r="N105" s="1"/>
    </row>
    <row r="106" customFormat="false" ht="23" hidden="false" customHeight="true" outlineLevel="0" collapsed="false">
      <c r="A106" s="1" t="n">
        <v>3330</v>
      </c>
      <c r="B106" s="1" t="s">
        <v>193</v>
      </c>
      <c r="C106" s="1" t="s">
        <v>53</v>
      </c>
      <c r="D106" s="60" t="n">
        <v>45447</v>
      </c>
      <c r="E106" s="1" t="s">
        <v>92</v>
      </c>
      <c r="F106" s="61" t="n">
        <v>15</v>
      </c>
      <c r="G106" s="1" t="s">
        <v>90</v>
      </c>
      <c r="H106" s="1" t="s">
        <v>89</v>
      </c>
      <c r="I106" s="61" t="n">
        <v>30</v>
      </c>
      <c r="J106" s="61" t="s">
        <v>89</v>
      </c>
      <c r="K106" s="61" t="n">
        <v>20</v>
      </c>
      <c r="L106" s="61" t="n">
        <v>15</v>
      </c>
      <c r="M106" s="61" t="n">
        <v>50</v>
      </c>
      <c r="N106" s="1"/>
    </row>
    <row r="107" customFormat="false" ht="23" hidden="false" customHeight="true" outlineLevel="0" collapsed="false">
      <c r="A107" s="1" t="n">
        <v>3331</v>
      </c>
      <c r="B107" s="1" t="s">
        <v>194</v>
      </c>
      <c r="C107" s="1" t="s">
        <v>51</v>
      </c>
      <c r="D107" s="60" t="n">
        <v>45448</v>
      </c>
      <c r="E107" s="1" t="s">
        <v>89</v>
      </c>
      <c r="F107" s="61" t="n">
        <v>10</v>
      </c>
      <c r="G107" s="1" t="s">
        <v>90</v>
      </c>
      <c r="H107" s="1" t="s">
        <v>92</v>
      </c>
      <c r="I107" s="61" t="s">
        <v>94</v>
      </c>
      <c r="J107" s="61" t="s">
        <v>89</v>
      </c>
      <c r="K107" s="61" t="n">
        <v>20</v>
      </c>
      <c r="L107" s="61" t="n">
        <v>5</v>
      </c>
      <c r="M107" s="61" t="n">
        <v>25</v>
      </c>
      <c r="N107" s="1"/>
    </row>
    <row r="108" customFormat="false" ht="23" hidden="false" customHeight="true" outlineLevel="0" collapsed="false">
      <c r="A108" s="1" t="n">
        <v>3332</v>
      </c>
      <c r="B108" s="1" t="s">
        <v>195</v>
      </c>
      <c r="C108" s="1" t="s">
        <v>49</v>
      </c>
      <c r="D108" s="60" t="n">
        <v>45449</v>
      </c>
      <c r="E108" s="1" t="s">
        <v>92</v>
      </c>
      <c r="F108" s="61" t="n">
        <v>5</v>
      </c>
      <c r="G108" s="1" t="s">
        <v>93</v>
      </c>
      <c r="H108" s="1" t="s">
        <v>92</v>
      </c>
      <c r="I108" s="61" t="s">
        <v>94</v>
      </c>
      <c r="J108" s="61" t="s">
        <v>92</v>
      </c>
      <c r="K108" s="61" t="n">
        <v>0</v>
      </c>
      <c r="L108" s="61" t="n">
        <v>0</v>
      </c>
      <c r="M108" s="61" t="n">
        <v>5</v>
      </c>
      <c r="N108" s="1"/>
    </row>
    <row r="109" customFormat="false" ht="23" hidden="false" customHeight="true" outlineLevel="0" collapsed="false">
      <c r="A109" s="1" t="n">
        <v>3333</v>
      </c>
      <c r="B109" s="1" t="s">
        <v>196</v>
      </c>
      <c r="C109" s="1" t="s">
        <v>53</v>
      </c>
      <c r="D109" s="60" t="n">
        <v>45450</v>
      </c>
      <c r="E109" s="1" t="s">
        <v>89</v>
      </c>
      <c r="F109" s="61" t="n">
        <v>15</v>
      </c>
      <c r="G109" s="1" t="s">
        <v>96</v>
      </c>
      <c r="H109" s="1" t="s">
        <v>89</v>
      </c>
      <c r="I109" s="61" t="n">
        <v>30</v>
      </c>
      <c r="J109" s="61" t="s">
        <v>89</v>
      </c>
      <c r="K109" s="61" t="n">
        <v>20</v>
      </c>
      <c r="L109" s="61" t="n">
        <v>20</v>
      </c>
      <c r="M109" s="61" t="n">
        <v>45</v>
      </c>
      <c r="N109" s="1"/>
    </row>
    <row r="110" customFormat="false" ht="23" hidden="false" customHeight="true" outlineLevel="0" collapsed="false">
      <c r="A110" s="1" t="n">
        <v>3334</v>
      </c>
      <c r="B110" s="1" t="s">
        <v>197</v>
      </c>
      <c r="C110" s="1" t="s">
        <v>51</v>
      </c>
      <c r="D110" s="60" t="n">
        <v>45451</v>
      </c>
      <c r="E110" s="1" t="s">
        <v>92</v>
      </c>
      <c r="F110" s="61" t="n">
        <v>10</v>
      </c>
      <c r="G110" s="1" t="s">
        <v>96</v>
      </c>
      <c r="H110" s="1" t="s">
        <v>92</v>
      </c>
      <c r="I110" s="61" t="s">
        <v>94</v>
      </c>
      <c r="J110" s="61" t="s">
        <v>89</v>
      </c>
      <c r="K110" s="61" t="n">
        <v>20</v>
      </c>
      <c r="L110" s="61" t="n">
        <v>12</v>
      </c>
      <c r="M110" s="61" t="n">
        <v>18</v>
      </c>
      <c r="N110" s="1"/>
    </row>
    <row r="111" customFormat="false" ht="23" hidden="false" customHeight="true" outlineLevel="0" collapsed="false">
      <c r="A111" s="1" t="n">
        <v>3335</v>
      </c>
      <c r="B111" s="1" t="s">
        <v>198</v>
      </c>
      <c r="C111" s="1" t="s">
        <v>49</v>
      </c>
      <c r="D111" s="60" t="n">
        <v>45452</v>
      </c>
      <c r="E111" s="1" t="s">
        <v>89</v>
      </c>
      <c r="F111" s="61" t="n">
        <v>5</v>
      </c>
      <c r="G111" s="1" t="s">
        <v>90</v>
      </c>
      <c r="H111" s="1" t="s">
        <v>92</v>
      </c>
      <c r="I111" s="61" t="s">
        <v>94</v>
      </c>
      <c r="J111" s="61" t="s">
        <v>92</v>
      </c>
      <c r="K111" s="61" t="n">
        <v>0</v>
      </c>
      <c r="L111" s="61" t="n">
        <v>2</v>
      </c>
      <c r="M111" s="61" t="n">
        <v>3</v>
      </c>
      <c r="N111" s="1"/>
    </row>
    <row r="112" customFormat="false" ht="23" hidden="false" customHeight="true" outlineLevel="0" collapsed="false">
      <c r="A112" s="1" t="n">
        <v>3336</v>
      </c>
      <c r="B112" s="1" t="s">
        <v>199</v>
      </c>
      <c r="C112" s="1" t="s">
        <v>49</v>
      </c>
      <c r="D112" s="60" t="n">
        <v>45453</v>
      </c>
      <c r="E112" s="1" t="s">
        <v>89</v>
      </c>
      <c r="F112" s="61" t="n">
        <v>5</v>
      </c>
      <c r="G112" s="1" t="s">
        <v>90</v>
      </c>
      <c r="H112" s="1" t="s">
        <v>92</v>
      </c>
      <c r="I112" s="61" t="s">
        <v>94</v>
      </c>
      <c r="J112" s="61" t="s">
        <v>92</v>
      </c>
      <c r="K112" s="61" t="n">
        <v>0</v>
      </c>
      <c r="L112" s="61" t="n">
        <v>0</v>
      </c>
      <c r="M112" s="61" t="n">
        <v>5</v>
      </c>
      <c r="N112" s="1"/>
    </row>
    <row r="113" customFormat="false" ht="23" hidden="false" customHeight="true" outlineLevel="0" collapsed="false">
      <c r="A113" s="1" t="n">
        <v>3337</v>
      </c>
      <c r="B113" s="1" t="s">
        <v>200</v>
      </c>
      <c r="C113" s="1" t="s">
        <v>53</v>
      </c>
      <c r="D113" s="60" t="n">
        <v>45454</v>
      </c>
      <c r="E113" s="1" t="s">
        <v>92</v>
      </c>
      <c r="F113" s="61" t="n">
        <v>15</v>
      </c>
      <c r="G113" s="1" t="s">
        <v>96</v>
      </c>
      <c r="H113" s="1" t="s">
        <v>89</v>
      </c>
      <c r="I113" s="61" t="n">
        <v>30</v>
      </c>
      <c r="J113" s="61" t="s">
        <v>89</v>
      </c>
      <c r="K113" s="61" t="n">
        <v>20</v>
      </c>
      <c r="L113" s="61" t="n">
        <v>7</v>
      </c>
      <c r="M113" s="61" t="n">
        <v>58</v>
      </c>
      <c r="N113" s="1"/>
    </row>
    <row r="114" customFormat="false" ht="23" hidden="false" customHeight="true" outlineLevel="0" collapsed="false">
      <c r="A114" s="1" t="n">
        <v>3338</v>
      </c>
      <c r="B114" s="1" t="s">
        <v>201</v>
      </c>
      <c r="C114" s="1" t="s">
        <v>51</v>
      </c>
      <c r="D114" s="60" t="n">
        <v>45455</v>
      </c>
      <c r="E114" s="1" t="s">
        <v>89</v>
      </c>
      <c r="F114" s="61" t="n">
        <v>10</v>
      </c>
      <c r="G114" s="1" t="s">
        <v>93</v>
      </c>
      <c r="H114" s="1" t="s">
        <v>92</v>
      </c>
      <c r="I114" s="61" t="s">
        <v>94</v>
      </c>
      <c r="J114" s="61" t="s">
        <v>89</v>
      </c>
      <c r="K114" s="61" t="n">
        <v>20</v>
      </c>
      <c r="L114" s="61" t="n">
        <v>10</v>
      </c>
      <c r="M114" s="61" t="n">
        <v>20</v>
      </c>
      <c r="N114" s="1"/>
    </row>
    <row r="115" customFormat="false" ht="23" hidden="false" customHeight="true" outlineLevel="0" collapsed="false">
      <c r="A115" s="1" t="n">
        <v>3339</v>
      </c>
      <c r="B115" s="1" t="s">
        <v>202</v>
      </c>
      <c r="C115" s="1" t="s">
        <v>49</v>
      </c>
      <c r="D115" s="60" t="n">
        <v>45456</v>
      </c>
      <c r="E115" s="1" t="s">
        <v>92</v>
      </c>
      <c r="F115" s="61" t="n">
        <v>5</v>
      </c>
      <c r="G115" s="1" t="s">
        <v>96</v>
      </c>
      <c r="H115" s="1" t="s">
        <v>92</v>
      </c>
      <c r="I115" s="61" t="s">
        <v>94</v>
      </c>
      <c r="J115" s="61" t="s">
        <v>92</v>
      </c>
      <c r="K115" s="61" t="n">
        <v>0</v>
      </c>
      <c r="L115" s="61" t="n">
        <v>1</v>
      </c>
      <c r="M115" s="61" t="n">
        <v>4</v>
      </c>
      <c r="N115" s="1"/>
    </row>
    <row r="116" customFormat="false" ht="23" hidden="false" customHeight="true" outlineLevel="0" collapsed="false">
      <c r="A116" s="1" t="n">
        <v>3340</v>
      </c>
      <c r="B116" s="1" t="s">
        <v>203</v>
      </c>
      <c r="C116" s="1" t="s">
        <v>53</v>
      </c>
      <c r="D116" s="60" t="n">
        <v>45457</v>
      </c>
      <c r="E116" s="1" t="s">
        <v>89</v>
      </c>
      <c r="F116" s="61" t="n">
        <v>15</v>
      </c>
      <c r="G116" s="1" t="s">
        <v>90</v>
      </c>
      <c r="H116" s="1" t="s">
        <v>89</v>
      </c>
      <c r="I116" s="61" t="n">
        <v>30</v>
      </c>
      <c r="J116" s="61" t="s">
        <v>89</v>
      </c>
      <c r="K116" s="61" t="n">
        <v>20</v>
      </c>
      <c r="L116" s="61" t="n">
        <v>15</v>
      </c>
      <c r="M116" s="61" t="n">
        <v>50</v>
      </c>
      <c r="N116" s="1"/>
    </row>
    <row r="117" customFormat="false" ht="23" hidden="false" customHeight="true" outlineLevel="0" collapsed="false">
      <c r="A117" s="1" t="n">
        <v>3341</v>
      </c>
      <c r="B117" s="1" t="s">
        <v>204</v>
      </c>
      <c r="C117" s="1" t="s">
        <v>51</v>
      </c>
      <c r="D117" s="60" t="n">
        <v>45458</v>
      </c>
      <c r="E117" s="1" t="s">
        <v>92</v>
      </c>
      <c r="F117" s="61" t="n">
        <v>10</v>
      </c>
      <c r="G117" s="1" t="s">
        <v>90</v>
      </c>
      <c r="H117" s="1" t="s">
        <v>92</v>
      </c>
      <c r="I117" s="61" t="s">
        <v>94</v>
      </c>
      <c r="J117" s="61" t="s">
        <v>89</v>
      </c>
      <c r="K117" s="61" t="n">
        <v>20</v>
      </c>
      <c r="L117" s="61" t="n">
        <v>5</v>
      </c>
      <c r="M117" s="61" t="n">
        <v>25</v>
      </c>
      <c r="N117" s="1"/>
    </row>
    <row r="118" customFormat="false" ht="23" hidden="false" customHeight="true" outlineLevel="0" collapsed="false">
      <c r="A118" s="1" t="n">
        <v>3342</v>
      </c>
      <c r="B118" s="1" t="s">
        <v>205</v>
      </c>
      <c r="C118" s="1" t="s">
        <v>49</v>
      </c>
      <c r="D118" s="60" t="n">
        <v>45459</v>
      </c>
      <c r="E118" s="1" t="s">
        <v>89</v>
      </c>
      <c r="F118" s="61" t="n">
        <v>5</v>
      </c>
      <c r="G118" s="1" t="s">
        <v>93</v>
      </c>
      <c r="H118" s="1" t="s">
        <v>92</v>
      </c>
      <c r="I118" s="61" t="s">
        <v>94</v>
      </c>
      <c r="J118" s="61" t="s">
        <v>92</v>
      </c>
      <c r="K118" s="61" t="n">
        <v>0</v>
      </c>
      <c r="L118" s="61" t="n">
        <v>0</v>
      </c>
      <c r="M118" s="61" t="n">
        <v>5</v>
      </c>
      <c r="N118" s="1"/>
    </row>
    <row r="119" customFormat="false" ht="23" hidden="false" customHeight="true" outlineLevel="0" collapsed="false">
      <c r="A119" s="1" t="n">
        <v>3343</v>
      </c>
      <c r="B119" s="1" t="s">
        <v>206</v>
      </c>
      <c r="C119" s="1" t="s">
        <v>53</v>
      </c>
      <c r="D119" s="60" t="n">
        <v>45460</v>
      </c>
      <c r="E119" s="1" t="s">
        <v>92</v>
      </c>
      <c r="F119" s="61" t="n">
        <v>15</v>
      </c>
      <c r="G119" s="1" t="s">
        <v>96</v>
      </c>
      <c r="H119" s="1" t="s">
        <v>89</v>
      </c>
      <c r="I119" s="61" t="n">
        <v>30</v>
      </c>
      <c r="J119" s="61" t="s">
        <v>89</v>
      </c>
      <c r="K119" s="61" t="n">
        <v>20</v>
      </c>
      <c r="L119" s="61" t="n">
        <v>20</v>
      </c>
      <c r="M119" s="61" t="n">
        <v>45</v>
      </c>
      <c r="N119" s="1"/>
    </row>
    <row r="120" customFormat="false" ht="23" hidden="false" customHeight="true" outlineLevel="0" collapsed="false">
      <c r="A120" s="1" t="n">
        <v>3344</v>
      </c>
      <c r="B120" s="1" t="s">
        <v>207</v>
      </c>
      <c r="C120" s="1" t="s">
        <v>51</v>
      </c>
      <c r="D120" s="60" t="n">
        <v>45461</v>
      </c>
      <c r="E120" s="1" t="s">
        <v>89</v>
      </c>
      <c r="F120" s="61" t="n">
        <v>10</v>
      </c>
      <c r="G120" s="1" t="s">
        <v>96</v>
      </c>
      <c r="H120" s="1" t="s">
        <v>92</v>
      </c>
      <c r="I120" s="61" t="s">
        <v>94</v>
      </c>
      <c r="J120" s="61" t="s">
        <v>89</v>
      </c>
      <c r="K120" s="61" t="n">
        <v>20</v>
      </c>
      <c r="L120" s="61" t="n">
        <v>12</v>
      </c>
      <c r="M120" s="61" t="n">
        <v>18</v>
      </c>
      <c r="N120" s="1"/>
    </row>
    <row r="121" customFormat="false" ht="23" hidden="false" customHeight="true" outlineLevel="0" collapsed="false">
      <c r="A121" s="1" t="n">
        <v>3345</v>
      </c>
      <c r="B121" s="1" t="s">
        <v>208</v>
      </c>
      <c r="C121" s="1" t="s">
        <v>49</v>
      </c>
      <c r="D121" s="60" t="n">
        <v>45462</v>
      </c>
      <c r="E121" s="1" t="s">
        <v>92</v>
      </c>
      <c r="F121" s="61" t="n">
        <v>5</v>
      </c>
      <c r="G121" s="1" t="s">
        <v>90</v>
      </c>
      <c r="H121" s="1" t="s">
        <v>92</v>
      </c>
      <c r="I121" s="61" t="s">
        <v>94</v>
      </c>
      <c r="J121" s="61" t="s">
        <v>92</v>
      </c>
      <c r="K121" s="61" t="n">
        <v>0</v>
      </c>
      <c r="L121" s="61" t="n">
        <v>2</v>
      </c>
      <c r="M121" s="61" t="n">
        <v>3</v>
      </c>
      <c r="N121" s="1"/>
    </row>
    <row r="122" customFormat="false" ht="23" hidden="false" customHeight="true" outlineLevel="0" collapsed="false">
      <c r="A122" s="1" t="n">
        <v>3346</v>
      </c>
      <c r="B122" s="1" t="s">
        <v>209</v>
      </c>
      <c r="C122" s="1" t="s">
        <v>53</v>
      </c>
      <c r="D122" s="60" t="n">
        <v>45463</v>
      </c>
      <c r="E122" s="1" t="s">
        <v>89</v>
      </c>
      <c r="F122" s="61" t="n">
        <v>15</v>
      </c>
      <c r="G122" s="1" t="s">
        <v>93</v>
      </c>
      <c r="H122" s="1" t="s">
        <v>89</v>
      </c>
      <c r="I122" s="61" t="n">
        <v>30</v>
      </c>
      <c r="J122" s="61" t="s">
        <v>89</v>
      </c>
      <c r="K122" s="61" t="n">
        <v>20</v>
      </c>
      <c r="L122" s="61" t="n">
        <v>5</v>
      </c>
      <c r="M122" s="61" t="n">
        <v>60</v>
      </c>
      <c r="N122" s="1"/>
    </row>
    <row r="123" customFormat="false" ht="23" hidden="false" customHeight="true" outlineLevel="0" collapsed="false">
      <c r="A123" s="1" t="n">
        <v>3347</v>
      </c>
      <c r="B123" s="1" t="s">
        <v>210</v>
      </c>
      <c r="C123" s="1" t="s">
        <v>51</v>
      </c>
      <c r="D123" s="60" t="n">
        <v>45464</v>
      </c>
      <c r="E123" s="1" t="s">
        <v>92</v>
      </c>
      <c r="F123" s="61" t="n">
        <v>10</v>
      </c>
      <c r="G123" s="1" t="s">
        <v>90</v>
      </c>
      <c r="H123" s="1" t="s">
        <v>92</v>
      </c>
      <c r="I123" s="61" t="s">
        <v>94</v>
      </c>
      <c r="J123" s="61" t="s">
        <v>89</v>
      </c>
      <c r="K123" s="61" t="n">
        <v>20</v>
      </c>
      <c r="L123" s="61" t="n">
        <v>10</v>
      </c>
      <c r="M123" s="61" t="n">
        <v>20</v>
      </c>
      <c r="N123" s="1"/>
    </row>
    <row r="124" customFormat="false" ht="23" hidden="false" customHeight="true" outlineLevel="0" collapsed="false">
      <c r="A124" s="1" t="n">
        <v>3348</v>
      </c>
      <c r="B124" s="1" t="s">
        <v>211</v>
      </c>
      <c r="C124" s="1" t="s">
        <v>49</v>
      </c>
      <c r="D124" s="60" t="n">
        <v>45465</v>
      </c>
      <c r="E124" s="1" t="s">
        <v>89</v>
      </c>
      <c r="F124" s="61" t="n">
        <v>5</v>
      </c>
      <c r="G124" s="1" t="s">
        <v>96</v>
      </c>
      <c r="H124" s="1" t="s">
        <v>92</v>
      </c>
      <c r="I124" s="61" t="s">
        <v>94</v>
      </c>
      <c r="J124" s="61" t="s">
        <v>92</v>
      </c>
      <c r="K124" s="61" t="n">
        <v>0</v>
      </c>
      <c r="L124" s="61" t="n">
        <v>0</v>
      </c>
      <c r="M124" s="61" t="n">
        <v>5</v>
      </c>
      <c r="N124" s="1"/>
    </row>
    <row r="125" customFormat="false" ht="23" hidden="false" customHeight="true" outlineLevel="0" collapsed="false">
      <c r="A125" s="1" t="n">
        <v>3349</v>
      </c>
      <c r="B125" s="1" t="s">
        <v>187</v>
      </c>
      <c r="C125" s="1" t="s">
        <v>53</v>
      </c>
      <c r="D125" s="60" t="n">
        <v>45466</v>
      </c>
      <c r="E125" s="1" t="s">
        <v>92</v>
      </c>
      <c r="F125" s="61" t="n">
        <v>15</v>
      </c>
      <c r="G125" s="1" t="s">
        <v>90</v>
      </c>
      <c r="H125" s="1" t="s">
        <v>89</v>
      </c>
      <c r="I125" s="61" t="n">
        <v>30</v>
      </c>
      <c r="J125" s="61" t="s">
        <v>89</v>
      </c>
      <c r="K125" s="61" t="n">
        <v>20</v>
      </c>
      <c r="L125" s="61" t="n">
        <v>3</v>
      </c>
      <c r="M125" s="61" t="n">
        <v>62</v>
      </c>
      <c r="N125" s="1"/>
    </row>
    <row r="126" customFormat="false" ht="23" hidden="false" customHeight="true" outlineLevel="0" collapsed="false">
      <c r="A126" s="1" t="n">
        <v>3350</v>
      </c>
      <c r="B126" s="1" t="s">
        <v>212</v>
      </c>
      <c r="C126" s="1" t="s">
        <v>51</v>
      </c>
      <c r="D126" s="60" t="n">
        <v>45467</v>
      </c>
      <c r="E126" s="1" t="s">
        <v>89</v>
      </c>
      <c r="F126" s="61" t="n">
        <v>10</v>
      </c>
      <c r="G126" s="1" t="s">
        <v>93</v>
      </c>
      <c r="H126" s="1" t="s">
        <v>92</v>
      </c>
      <c r="I126" s="61" t="s">
        <v>94</v>
      </c>
      <c r="J126" s="61" t="s">
        <v>89</v>
      </c>
      <c r="K126" s="61" t="n">
        <v>20</v>
      </c>
      <c r="L126" s="61" t="n">
        <v>15</v>
      </c>
      <c r="M126" s="61" t="n">
        <v>15</v>
      </c>
      <c r="N126" s="1"/>
    </row>
    <row r="127" customFormat="false" ht="23" hidden="false" customHeight="true" outlineLevel="0" collapsed="false">
      <c r="A127" s="1" t="n">
        <v>3351</v>
      </c>
      <c r="B127" s="1" t="s">
        <v>213</v>
      </c>
      <c r="C127" s="1" t="s">
        <v>49</v>
      </c>
      <c r="D127" s="60" t="n">
        <v>45468</v>
      </c>
      <c r="E127" s="1" t="s">
        <v>92</v>
      </c>
      <c r="F127" s="61" t="n">
        <v>5</v>
      </c>
      <c r="G127" s="1" t="s">
        <v>90</v>
      </c>
      <c r="H127" s="1" t="s">
        <v>92</v>
      </c>
      <c r="I127" s="61" t="s">
        <v>94</v>
      </c>
      <c r="J127" s="61" t="s">
        <v>92</v>
      </c>
      <c r="K127" s="61" t="n">
        <v>0</v>
      </c>
      <c r="L127" s="61" t="n">
        <v>1</v>
      </c>
      <c r="M127" s="61" t="n">
        <v>4</v>
      </c>
      <c r="N127" s="1"/>
    </row>
    <row r="128" customFormat="false" ht="23" hidden="false" customHeight="true" outlineLevel="0" collapsed="false">
      <c r="A128" s="1" t="n">
        <v>3352</v>
      </c>
      <c r="B128" s="1" t="s">
        <v>214</v>
      </c>
      <c r="C128" s="1" t="s">
        <v>53</v>
      </c>
      <c r="D128" s="60" t="n">
        <v>45469</v>
      </c>
      <c r="E128" s="1" t="s">
        <v>89</v>
      </c>
      <c r="F128" s="61" t="n">
        <v>15</v>
      </c>
      <c r="G128" s="1" t="s">
        <v>96</v>
      </c>
      <c r="H128" s="1" t="s">
        <v>89</v>
      </c>
      <c r="I128" s="61" t="n">
        <v>30</v>
      </c>
      <c r="J128" s="61" t="s">
        <v>89</v>
      </c>
      <c r="K128" s="61" t="n">
        <v>20</v>
      </c>
      <c r="L128" s="61" t="n">
        <v>7</v>
      </c>
      <c r="M128" s="61" t="n">
        <v>58</v>
      </c>
      <c r="N128" s="1"/>
    </row>
    <row r="129" customFormat="false" ht="23" hidden="false" customHeight="true" outlineLevel="0" collapsed="false">
      <c r="A129" s="1" t="n">
        <v>3353</v>
      </c>
      <c r="B129" s="1" t="s">
        <v>215</v>
      </c>
      <c r="C129" s="1" t="s">
        <v>51</v>
      </c>
      <c r="D129" s="60" t="n">
        <v>45470</v>
      </c>
      <c r="E129" s="1" t="s">
        <v>92</v>
      </c>
      <c r="F129" s="61" t="n">
        <v>10</v>
      </c>
      <c r="G129" s="1" t="s">
        <v>90</v>
      </c>
      <c r="H129" s="1" t="s">
        <v>92</v>
      </c>
      <c r="I129" s="61" t="s">
        <v>94</v>
      </c>
      <c r="J129" s="61" t="s">
        <v>89</v>
      </c>
      <c r="K129" s="61" t="n">
        <v>20</v>
      </c>
      <c r="L129" s="61" t="n">
        <v>10</v>
      </c>
      <c r="M129" s="61" t="n">
        <v>20</v>
      </c>
      <c r="N129" s="1"/>
    </row>
    <row r="130" customFormat="false" ht="23" hidden="false" customHeight="true" outlineLevel="0" collapsed="false">
      <c r="A130" s="1" t="n">
        <v>3354</v>
      </c>
      <c r="B130" s="1" t="s">
        <v>216</v>
      </c>
      <c r="C130" s="1" t="s">
        <v>49</v>
      </c>
      <c r="D130" s="60" t="n">
        <v>45471</v>
      </c>
      <c r="E130" s="1" t="s">
        <v>89</v>
      </c>
      <c r="F130" s="61" t="n">
        <v>5</v>
      </c>
      <c r="G130" s="1" t="s">
        <v>93</v>
      </c>
      <c r="H130" s="1" t="s">
        <v>92</v>
      </c>
      <c r="I130" s="61" t="s">
        <v>94</v>
      </c>
      <c r="J130" s="61" t="s">
        <v>92</v>
      </c>
      <c r="K130" s="61" t="n">
        <v>0</v>
      </c>
      <c r="L130" s="61" t="n">
        <v>0</v>
      </c>
      <c r="M130" s="61" t="n">
        <v>5</v>
      </c>
      <c r="N130" s="1"/>
    </row>
    <row r="131" customFormat="false" ht="23" hidden="false" customHeight="true" outlineLevel="0" collapsed="false">
      <c r="A131" s="1" t="n">
        <v>3355</v>
      </c>
      <c r="B131" s="1" t="s">
        <v>217</v>
      </c>
      <c r="C131" s="1" t="s">
        <v>53</v>
      </c>
      <c r="D131" s="60" t="n">
        <v>45472</v>
      </c>
      <c r="E131" s="1" t="s">
        <v>92</v>
      </c>
      <c r="F131" s="61" t="n">
        <v>15</v>
      </c>
      <c r="G131" s="1" t="s">
        <v>90</v>
      </c>
      <c r="H131" s="1" t="s">
        <v>89</v>
      </c>
      <c r="I131" s="61" t="n">
        <v>30</v>
      </c>
      <c r="J131" s="61" t="s">
        <v>89</v>
      </c>
      <c r="K131" s="61" t="n">
        <v>20</v>
      </c>
      <c r="L131" s="61" t="n">
        <v>20</v>
      </c>
      <c r="M131" s="61" t="n">
        <v>45</v>
      </c>
      <c r="N131" s="1"/>
    </row>
    <row r="132" customFormat="false" ht="23" hidden="false" customHeight="true" outlineLevel="0" collapsed="false">
      <c r="A132" s="1" t="n">
        <v>3356</v>
      </c>
      <c r="B132" s="1" t="s">
        <v>218</v>
      </c>
      <c r="C132" s="1" t="s">
        <v>51</v>
      </c>
      <c r="D132" s="60" t="n">
        <v>45473</v>
      </c>
      <c r="E132" s="1" t="s">
        <v>89</v>
      </c>
      <c r="F132" s="61" t="n">
        <v>10</v>
      </c>
      <c r="G132" s="1" t="s">
        <v>96</v>
      </c>
      <c r="H132" s="1" t="s">
        <v>92</v>
      </c>
      <c r="I132" s="61" t="s">
        <v>94</v>
      </c>
      <c r="J132" s="61" t="s">
        <v>89</v>
      </c>
      <c r="K132" s="61" t="n">
        <v>20</v>
      </c>
      <c r="L132" s="61" t="n">
        <v>15</v>
      </c>
      <c r="M132" s="61" t="n">
        <v>15</v>
      </c>
      <c r="N132" s="1"/>
    </row>
    <row r="133" customFormat="false" ht="23" hidden="false" customHeight="true" outlineLevel="0" collapsed="false">
      <c r="A133" s="1" t="n">
        <v>3357</v>
      </c>
      <c r="B133" s="1" t="s">
        <v>219</v>
      </c>
      <c r="C133" s="1" t="s">
        <v>49</v>
      </c>
      <c r="D133" s="60" t="n">
        <v>45474</v>
      </c>
      <c r="E133" s="1" t="s">
        <v>92</v>
      </c>
      <c r="F133" s="61" t="n">
        <v>5</v>
      </c>
      <c r="G133" s="1" t="s">
        <v>90</v>
      </c>
      <c r="H133" s="1" t="s">
        <v>92</v>
      </c>
      <c r="I133" s="61" t="s">
        <v>94</v>
      </c>
      <c r="J133" s="61" t="s">
        <v>92</v>
      </c>
      <c r="K133" s="61" t="n">
        <v>0</v>
      </c>
      <c r="L133" s="61" t="n">
        <v>1</v>
      </c>
      <c r="M133" s="61" t="n">
        <v>4</v>
      </c>
      <c r="N133" s="1"/>
    </row>
    <row r="134" customFormat="false" ht="23" hidden="false" customHeight="true" outlineLevel="0" collapsed="false">
      <c r="A134" s="1" t="n">
        <v>3358</v>
      </c>
      <c r="B134" s="1" t="s">
        <v>220</v>
      </c>
      <c r="C134" s="1" t="s">
        <v>53</v>
      </c>
      <c r="D134" s="60" t="n">
        <v>45475</v>
      </c>
      <c r="E134" s="1" t="s">
        <v>89</v>
      </c>
      <c r="F134" s="61" t="n">
        <v>15</v>
      </c>
      <c r="G134" s="1" t="s">
        <v>93</v>
      </c>
      <c r="H134" s="1" t="s">
        <v>89</v>
      </c>
      <c r="I134" s="61" t="n">
        <v>30</v>
      </c>
      <c r="J134" s="61" t="s">
        <v>89</v>
      </c>
      <c r="K134" s="61" t="n">
        <v>20</v>
      </c>
      <c r="L134" s="61" t="n">
        <v>3</v>
      </c>
      <c r="M134" s="61" t="n">
        <v>62</v>
      </c>
      <c r="N134" s="1"/>
    </row>
    <row r="135" customFormat="false" ht="23" hidden="false" customHeight="true" outlineLevel="0" collapsed="false">
      <c r="A135" s="1" t="n">
        <v>3359</v>
      </c>
      <c r="B135" s="1" t="s">
        <v>221</v>
      </c>
      <c r="C135" s="1" t="s">
        <v>51</v>
      </c>
      <c r="D135" s="60" t="n">
        <v>45476</v>
      </c>
      <c r="E135" s="1" t="s">
        <v>92</v>
      </c>
      <c r="F135" s="61" t="n">
        <v>10</v>
      </c>
      <c r="G135" s="1" t="s">
        <v>90</v>
      </c>
      <c r="H135" s="1" t="s">
        <v>92</v>
      </c>
      <c r="I135" s="61" t="s">
        <v>94</v>
      </c>
      <c r="J135" s="61" t="s">
        <v>89</v>
      </c>
      <c r="K135" s="61" t="n">
        <v>20</v>
      </c>
      <c r="L135" s="61" t="n">
        <v>10</v>
      </c>
      <c r="M135" s="61" t="n">
        <v>20</v>
      </c>
      <c r="N135" s="1"/>
    </row>
    <row r="136" customFormat="false" ht="23" hidden="false" customHeight="true" outlineLevel="0" collapsed="false">
      <c r="A136" s="1" t="n">
        <v>3360</v>
      </c>
      <c r="B136" s="1" t="s">
        <v>222</v>
      </c>
      <c r="C136" s="1" t="s">
        <v>49</v>
      </c>
      <c r="D136" s="60" t="n">
        <v>45477</v>
      </c>
      <c r="E136" s="1" t="s">
        <v>89</v>
      </c>
      <c r="F136" s="61" t="n">
        <v>5</v>
      </c>
      <c r="G136" s="1" t="s">
        <v>96</v>
      </c>
      <c r="H136" s="1" t="s">
        <v>92</v>
      </c>
      <c r="I136" s="61" t="s">
        <v>94</v>
      </c>
      <c r="J136" s="61" t="s">
        <v>92</v>
      </c>
      <c r="K136" s="61" t="n">
        <v>0</v>
      </c>
      <c r="L136" s="61" t="n">
        <v>0</v>
      </c>
      <c r="M136" s="61" t="n">
        <v>5</v>
      </c>
      <c r="N136" s="1"/>
    </row>
    <row r="137" customFormat="false" ht="23" hidden="false" customHeight="true" outlineLevel="0" collapsed="false">
      <c r="A137" s="1" t="n">
        <v>3361</v>
      </c>
      <c r="B137" s="1" t="s">
        <v>223</v>
      </c>
      <c r="C137" s="1" t="s">
        <v>53</v>
      </c>
      <c r="D137" s="60" t="n">
        <v>45478</v>
      </c>
      <c r="E137" s="1" t="s">
        <v>92</v>
      </c>
      <c r="F137" s="61" t="n">
        <v>15</v>
      </c>
      <c r="G137" s="1" t="s">
        <v>90</v>
      </c>
      <c r="H137" s="1" t="s">
        <v>89</v>
      </c>
      <c r="I137" s="61" t="n">
        <v>30</v>
      </c>
      <c r="J137" s="61" t="s">
        <v>89</v>
      </c>
      <c r="K137" s="61" t="n">
        <v>20</v>
      </c>
      <c r="L137" s="61" t="n">
        <v>15</v>
      </c>
      <c r="M137" s="61" t="n">
        <v>50</v>
      </c>
      <c r="N137" s="1"/>
    </row>
    <row r="138" customFormat="false" ht="23" hidden="false" customHeight="true" outlineLevel="0" collapsed="false">
      <c r="A138" s="1" t="n">
        <v>3362</v>
      </c>
      <c r="B138" s="1" t="s">
        <v>224</v>
      </c>
      <c r="C138" s="1" t="s">
        <v>51</v>
      </c>
      <c r="D138" s="60" t="n">
        <v>45479</v>
      </c>
      <c r="E138" s="1" t="s">
        <v>89</v>
      </c>
      <c r="F138" s="61" t="n">
        <v>10</v>
      </c>
      <c r="G138" s="1" t="s">
        <v>93</v>
      </c>
      <c r="H138" s="1" t="s">
        <v>92</v>
      </c>
      <c r="I138" s="61" t="s">
        <v>94</v>
      </c>
      <c r="J138" s="61" t="s">
        <v>89</v>
      </c>
      <c r="K138" s="61" t="n">
        <v>20</v>
      </c>
      <c r="L138" s="61" t="n">
        <v>15</v>
      </c>
      <c r="M138" s="61" t="n">
        <v>15</v>
      </c>
      <c r="N138" s="1"/>
    </row>
    <row r="139" customFormat="false" ht="23" hidden="false" customHeight="true" outlineLevel="0" collapsed="false">
      <c r="A139" s="1" t="n">
        <v>3363</v>
      </c>
      <c r="B139" s="1" t="s">
        <v>225</v>
      </c>
      <c r="C139" s="1" t="s">
        <v>49</v>
      </c>
      <c r="D139" s="60" t="n">
        <v>45480</v>
      </c>
      <c r="E139" s="1" t="s">
        <v>92</v>
      </c>
      <c r="F139" s="61" t="n">
        <v>5</v>
      </c>
      <c r="G139" s="1" t="s">
        <v>90</v>
      </c>
      <c r="H139" s="1" t="s">
        <v>92</v>
      </c>
      <c r="I139" s="61" t="s">
        <v>94</v>
      </c>
      <c r="J139" s="61" t="s">
        <v>92</v>
      </c>
      <c r="K139" s="61" t="n">
        <v>0</v>
      </c>
      <c r="L139" s="61" t="n">
        <v>1</v>
      </c>
      <c r="M139" s="61" t="n">
        <v>4</v>
      </c>
      <c r="N139" s="1"/>
    </row>
    <row r="140" customFormat="false" ht="23" hidden="false" customHeight="true" outlineLevel="0" collapsed="false">
      <c r="A140" s="1" t="n">
        <v>3364</v>
      </c>
      <c r="B140" s="1" t="s">
        <v>226</v>
      </c>
      <c r="C140" s="1" t="s">
        <v>53</v>
      </c>
      <c r="D140" s="60" t="n">
        <v>45481</v>
      </c>
      <c r="E140" s="1" t="s">
        <v>89</v>
      </c>
      <c r="F140" s="61" t="n">
        <v>15</v>
      </c>
      <c r="G140" s="1" t="s">
        <v>96</v>
      </c>
      <c r="H140" s="1" t="s">
        <v>89</v>
      </c>
      <c r="I140" s="61" t="n">
        <v>30</v>
      </c>
      <c r="J140" s="61" t="s">
        <v>89</v>
      </c>
      <c r="K140" s="61" t="n">
        <v>20</v>
      </c>
      <c r="L140" s="61" t="n">
        <v>7</v>
      </c>
      <c r="M140" s="61" t="n">
        <v>58</v>
      </c>
      <c r="N140" s="1"/>
    </row>
    <row r="141" customFormat="false" ht="23" hidden="false" customHeight="true" outlineLevel="0" collapsed="false">
      <c r="A141" s="1" t="n">
        <v>3365</v>
      </c>
      <c r="B141" s="1" t="s">
        <v>227</v>
      </c>
      <c r="C141" s="1" t="s">
        <v>51</v>
      </c>
      <c r="D141" s="60" t="n">
        <v>45482</v>
      </c>
      <c r="E141" s="1" t="s">
        <v>92</v>
      </c>
      <c r="F141" s="61" t="n">
        <v>10</v>
      </c>
      <c r="G141" s="1" t="s">
        <v>90</v>
      </c>
      <c r="H141" s="1" t="s">
        <v>92</v>
      </c>
      <c r="I141" s="61" t="s">
        <v>94</v>
      </c>
      <c r="J141" s="61" t="s">
        <v>89</v>
      </c>
      <c r="K141" s="61" t="n">
        <v>20</v>
      </c>
      <c r="L141" s="61" t="n">
        <v>10</v>
      </c>
      <c r="M141" s="61" t="n">
        <v>20</v>
      </c>
      <c r="N141" s="1"/>
    </row>
    <row r="142" customFormat="false" ht="23" hidden="false" customHeight="true" outlineLevel="0" collapsed="false">
      <c r="A142" s="1" t="n">
        <v>3366</v>
      </c>
      <c r="B142" s="1" t="s">
        <v>228</v>
      </c>
      <c r="C142" s="1" t="s">
        <v>49</v>
      </c>
      <c r="D142" s="60" t="n">
        <v>45483</v>
      </c>
      <c r="E142" s="1" t="s">
        <v>89</v>
      </c>
      <c r="F142" s="61" t="n">
        <v>5</v>
      </c>
      <c r="G142" s="1" t="s">
        <v>90</v>
      </c>
      <c r="H142" s="1" t="s">
        <v>92</v>
      </c>
      <c r="I142" s="61" t="s">
        <v>94</v>
      </c>
      <c r="J142" s="61" t="s">
        <v>92</v>
      </c>
      <c r="K142" s="61" t="n">
        <v>0</v>
      </c>
      <c r="L142" s="61" t="n">
        <v>0</v>
      </c>
      <c r="M142" s="61" t="n">
        <v>5</v>
      </c>
      <c r="N142" s="1"/>
    </row>
    <row r="143" customFormat="false" ht="23" hidden="false" customHeight="true" outlineLevel="0" collapsed="false">
      <c r="A143" s="1" t="n">
        <v>3367</v>
      </c>
      <c r="B143" s="1" t="s">
        <v>229</v>
      </c>
      <c r="C143" s="1" t="s">
        <v>53</v>
      </c>
      <c r="D143" s="60" t="n">
        <v>45484</v>
      </c>
      <c r="E143" s="1" t="s">
        <v>92</v>
      </c>
      <c r="F143" s="61" t="n">
        <v>15</v>
      </c>
      <c r="G143" s="1" t="s">
        <v>96</v>
      </c>
      <c r="H143" s="1" t="s">
        <v>89</v>
      </c>
      <c r="I143" s="61" t="n">
        <v>30</v>
      </c>
      <c r="J143" s="61" t="s">
        <v>89</v>
      </c>
      <c r="K143" s="61" t="n">
        <v>20</v>
      </c>
      <c r="L143" s="61" t="n">
        <v>7</v>
      </c>
      <c r="M143" s="61" t="n">
        <v>58</v>
      </c>
      <c r="N143" s="1"/>
    </row>
    <row r="144" customFormat="false" ht="23" hidden="false" customHeight="true" outlineLevel="0" collapsed="false">
      <c r="A144" s="1" t="n">
        <v>3368</v>
      </c>
      <c r="B144" s="1" t="s">
        <v>230</v>
      </c>
      <c r="C144" s="1" t="s">
        <v>51</v>
      </c>
      <c r="D144" s="60" t="n">
        <v>45485</v>
      </c>
      <c r="E144" s="1" t="s">
        <v>89</v>
      </c>
      <c r="F144" s="61" t="n">
        <v>10</v>
      </c>
      <c r="G144" s="1" t="s">
        <v>93</v>
      </c>
      <c r="H144" s="1" t="s">
        <v>92</v>
      </c>
      <c r="I144" s="61" t="s">
        <v>94</v>
      </c>
      <c r="J144" s="61" t="s">
        <v>89</v>
      </c>
      <c r="K144" s="61" t="n">
        <v>20</v>
      </c>
      <c r="L144" s="61" t="n">
        <v>10</v>
      </c>
      <c r="M144" s="61" t="n">
        <v>20</v>
      </c>
      <c r="N144" s="1"/>
    </row>
    <row r="145" customFormat="false" ht="23" hidden="false" customHeight="true" outlineLevel="0" collapsed="false">
      <c r="A145" s="1" t="n">
        <v>3369</v>
      </c>
      <c r="B145" s="1" t="s">
        <v>231</v>
      </c>
      <c r="C145" s="1" t="s">
        <v>49</v>
      </c>
      <c r="D145" s="60" t="n">
        <v>45486</v>
      </c>
      <c r="E145" s="1" t="s">
        <v>92</v>
      </c>
      <c r="F145" s="61" t="n">
        <v>5</v>
      </c>
      <c r="G145" s="1" t="s">
        <v>96</v>
      </c>
      <c r="H145" s="1" t="s">
        <v>92</v>
      </c>
      <c r="I145" s="61" t="s">
        <v>94</v>
      </c>
      <c r="J145" s="61" t="s">
        <v>92</v>
      </c>
      <c r="K145" s="61" t="n">
        <v>0</v>
      </c>
      <c r="L145" s="61" t="n">
        <v>1</v>
      </c>
      <c r="M145" s="61" t="n">
        <v>4</v>
      </c>
      <c r="N145" s="1"/>
    </row>
    <row r="146" customFormat="false" ht="23" hidden="false" customHeight="true" outlineLevel="0" collapsed="false">
      <c r="A146" s="1" t="n">
        <v>3370</v>
      </c>
      <c r="B146" s="1" t="s">
        <v>232</v>
      </c>
      <c r="C146" s="1" t="s">
        <v>53</v>
      </c>
      <c r="D146" s="60" t="n">
        <v>45487</v>
      </c>
      <c r="E146" s="1" t="s">
        <v>89</v>
      </c>
      <c r="F146" s="61" t="n">
        <v>15</v>
      </c>
      <c r="G146" s="1" t="s">
        <v>90</v>
      </c>
      <c r="H146" s="1" t="s">
        <v>89</v>
      </c>
      <c r="I146" s="61" t="n">
        <v>30</v>
      </c>
      <c r="J146" s="61" t="s">
        <v>89</v>
      </c>
      <c r="K146" s="61" t="n">
        <v>20</v>
      </c>
      <c r="L146" s="61" t="n">
        <v>15</v>
      </c>
      <c r="M146" s="61" t="n">
        <v>50</v>
      </c>
      <c r="N146" s="1"/>
    </row>
    <row r="147" customFormat="false" ht="23" hidden="false" customHeight="true" outlineLevel="0" collapsed="false">
      <c r="A147" s="1" t="n">
        <v>3371</v>
      </c>
      <c r="B147" s="1" t="s">
        <v>233</v>
      </c>
      <c r="C147" s="1" t="s">
        <v>51</v>
      </c>
      <c r="D147" s="60" t="n">
        <v>45488</v>
      </c>
      <c r="E147" s="1" t="s">
        <v>92</v>
      </c>
      <c r="F147" s="61" t="n">
        <v>10</v>
      </c>
      <c r="G147" s="1" t="s">
        <v>90</v>
      </c>
      <c r="H147" s="1" t="s">
        <v>92</v>
      </c>
      <c r="I147" s="61" t="s">
        <v>94</v>
      </c>
      <c r="J147" s="61" t="s">
        <v>89</v>
      </c>
      <c r="K147" s="61" t="n">
        <v>20</v>
      </c>
      <c r="L147" s="61" t="n">
        <v>5</v>
      </c>
      <c r="M147" s="61" t="n">
        <v>25</v>
      </c>
      <c r="N147" s="1"/>
    </row>
    <row r="148" customFormat="false" ht="23" hidden="false" customHeight="true" outlineLevel="0" collapsed="false">
      <c r="A148" s="1" t="n">
        <v>3372</v>
      </c>
      <c r="B148" s="1" t="s">
        <v>234</v>
      </c>
      <c r="C148" s="1" t="s">
        <v>49</v>
      </c>
      <c r="D148" s="60" t="n">
        <v>45489</v>
      </c>
      <c r="E148" s="1" t="s">
        <v>89</v>
      </c>
      <c r="F148" s="61" t="n">
        <v>5</v>
      </c>
      <c r="G148" s="1" t="s">
        <v>93</v>
      </c>
      <c r="H148" s="1" t="s">
        <v>92</v>
      </c>
      <c r="I148" s="61" t="s">
        <v>94</v>
      </c>
      <c r="J148" s="61" t="s">
        <v>92</v>
      </c>
      <c r="K148" s="61" t="n">
        <v>0</v>
      </c>
      <c r="L148" s="61" t="n">
        <v>0</v>
      </c>
      <c r="M148" s="61" t="n">
        <v>5</v>
      </c>
      <c r="N148" s="1"/>
    </row>
    <row r="149" customFormat="false" ht="23" hidden="false" customHeight="true" outlineLevel="0" collapsed="false">
      <c r="A149" s="1" t="n">
        <v>3373</v>
      </c>
      <c r="B149" s="1" t="s">
        <v>235</v>
      </c>
      <c r="C149" s="1" t="s">
        <v>53</v>
      </c>
      <c r="D149" s="60" t="n">
        <v>45490</v>
      </c>
      <c r="E149" s="1" t="s">
        <v>92</v>
      </c>
      <c r="F149" s="61" t="n">
        <v>15</v>
      </c>
      <c r="G149" s="1" t="s">
        <v>96</v>
      </c>
      <c r="H149" s="1" t="s">
        <v>89</v>
      </c>
      <c r="I149" s="61" t="n">
        <v>30</v>
      </c>
      <c r="J149" s="61" t="s">
        <v>89</v>
      </c>
      <c r="K149" s="61" t="n">
        <v>20</v>
      </c>
      <c r="L149" s="61" t="n">
        <v>20</v>
      </c>
      <c r="M149" s="61" t="n">
        <v>45</v>
      </c>
      <c r="N149" s="1"/>
    </row>
    <row r="150" customFormat="false" ht="23" hidden="false" customHeight="true" outlineLevel="0" collapsed="false">
      <c r="A150" s="1" t="n">
        <v>3374</v>
      </c>
      <c r="B150" s="1" t="s">
        <v>236</v>
      </c>
      <c r="C150" s="1" t="s">
        <v>51</v>
      </c>
      <c r="D150" s="60" t="n">
        <v>45491</v>
      </c>
      <c r="E150" s="1" t="s">
        <v>89</v>
      </c>
      <c r="F150" s="61" t="n">
        <v>10</v>
      </c>
      <c r="G150" s="1" t="s">
        <v>96</v>
      </c>
      <c r="H150" s="1" t="s">
        <v>92</v>
      </c>
      <c r="I150" s="61" t="s">
        <v>94</v>
      </c>
      <c r="J150" s="61" t="s">
        <v>89</v>
      </c>
      <c r="K150" s="61" t="n">
        <v>20</v>
      </c>
      <c r="L150" s="61" t="n">
        <v>12</v>
      </c>
      <c r="M150" s="61" t="n">
        <v>18</v>
      </c>
      <c r="N150" s="1"/>
    </row>
    <row r="151" customFormat="false" ht="23" hidden="false" customHeight="true" outlineLevel="0" collapsed="false">
      <c r="A151" s="1" t="n">
        <v>3375</v>
      </c>
      <c r="B151" s="1" t="s">
        <v>237</v>
      </c>
      <c r="C151" s="1" t="s">
        <v>49</v>
      </c>
      <c r="D151" s="60" t="n">
        <v>45492</v>
      </c>
      <c r="E151" s="1" t="s">
        <v>92</v>
      </c>
      <c r="F151" s="61" t="n">
        <v>5</v>
      </c>
      <c r="G151" s="1" t="s">
        <v>90</v>
      </c>
      <c r="H151" s="1" t="s">
        <v>92</v>
      </c>
      <c r="I151" s="61" t="s">
        <v>94</v>
      </c>
      <c r="J151" s="61" t="s">
        <v>92</v>
      </c>
      <c r="K151" s="61" t="n">
        <v>0</v>
      </c>
      <c r="L151" s="61" t="n">
        <v>2</v>
      </c>
      <c r="M151" s="61" t="n">
        <v>3</v>
      </c>
      <c r="N151" s="1"/>
    </row>
    <row r="152" customFormat="false" ht="23" hidden="false" customHeight="true" outlineLevel="0" collapsed="false">
      <c r="A152" s="1" t="n">
        <v>3376</v>
      </c>
      <c r="B152" s="1" t="s">
        <v>238</v>
      </c>
      <c r="C152" s="1" t="s">
        <v>53</v>
      </c>
      <c r="D152" s="60" t="n">
        <v>45493</v>
      </c>
      <c r="E152" s="1" t="s">
        <v>89</v>
      </c>
      <c r="F152" s="61" t="n">
        <v>15</v>
      </c>
      <c r="G152" s="1" t="s">
        <v>93</v>
      </c>
      <c r="H152" s="1" t="s">
        <v>89</v>
      </c>
      <c r="I152" s="61" t="n">
        <v>30</v>
      </c>
      <c r="J152" s="61" t="s">
        <v>89</v>
      </c>
      <c r="K152" s="61" t="n">
        <v>20</v>
      </c>
      <c r="L152" s="61" t="n">
        <v>5</v>
      </c>
      <c r="M152" s="61" t="n">
        <v>60</v>
      </c>
      <c r="N152" s="1"/>
    </row>
    <row r="153" customFormat="false" ht="23" hidden="false" customHeight="true" outlineLevel="0" collapsed="false">
      <c r="A153" s="1" t="n">
        <v>3377</v>
      </c>
      <c r="B153" s="1" t="s">
        <v>239</v>
      </c>
      <c r="C153" s="1" t="s">
        <v>51</v>
      </c>
      <c r="D153" s="60" t="n">
        <v>45494</v>
      </c>
      <c r="E153" s="1" t="s">
        <v>92</v>
      </c>
      <c r="F153" s="61" t="n">
        <v>10</v>
      </c>
      <c r="G153" s="1" t="s">
        <v>90</v>
      </c>
      <c r="H153" s="1" t="s">
        <v>92</v>
      </c>
      <c r="I153" s="61" t="s">
        <v>94</v>
      </c>
      <c r="J153" s="61" t="s">
        <v>89</v>
      </c>
      <c r="K153" s="61" t="n">
        <v>20</v>
      </c>
      <c r="L153" s="61" t="n">
        <v>10</v>
      </c>
      <c r="M153" s="61" t="n">
        <v>20</v>
      </c>
      <c r="N153" s="1"/>
    </row>
    <row r="154" customFormat="false" ht="23" hidden="false" customHeight="true" outlineLevel="0" collapsed="false">
      <c r="A154" s="1" t="n">
        <v>3378</v>
      </c>
      <c r="B154" s="1" t="s">
        <v>240</v>
      </c>
      <c r="C154" s="1" t="s">
        <v>49</v>
      </c>
      <c r="D154" s="60" t="n">
        <v>45495</v>
      </c>
      <c r="E154" s="1" t="s">
        <v>89</v>
      </c>
      <c r="F154" s="61" t="n">
        <v>5</v>
      </c>
      <c r="G154" s="1" t="s">
        <v>96</v>
      </c>
      <c r="H154" s="1" t="s">
        <v>92</v>
      </c>
      <c r="I154" s="61" t="s">
        <v>94</v>
      </c>
      <c r="J154" s="61" t="s">
        <v>92</v>
      </c>
      <c r="K154" s="61" t="n">
        <v>0</v>
      </c>
      <c r="L154" s="61" t="n">
        <v>0</v>
      </c>
      <c r="M154" s="61" t="n">
        <v>5</v>
      </c>
      <c r="N154" s="1"/>
    </row>
    <row r="155" customFormat="false" ht="23" hidden="false" customHeight="true" outlineLevel="0" collapsed="false">
      <c r="A155" s="1" t="n">
        <v>3379</v>
      </c>
      <c r="B155" s="1" t="s">
        <v>241</v>
      </c>
      <c r="C155" s="1" t="s">
        <v>53</v>
      </c>
      <c r="D155" s="60" t="n">
        <v>45496</v>
      </c>
      <c r="E155" s="1" t="s">
        <v>92</v>
      </c>
      <c r="F155" s="61" t="n">
        <v>15</v>
      </c>
      <c r="G155" s="1" t="s">
        <v>90</v>
      </c>
      <c r="H155" s="1" t="s">
        <v>89</v>
      </c>
      <c r="I155" s="61" t="n">
        <v>30</v>
      </c>
      <c r="J155" s="61" t="s">
        <v>89</v>
      </c>
      <c r="K155" s="61" t="n">
        <v>20</v>
      </c>
      <c r="L155" s="61" t="n">
        <v>3</v>
      </c>
      <c r="M155" s="61" t="n">
        <v>62</v>
      </c>
      <c r="N155" s="1"/>
    </row>
    <row r="156" customFormat="false" ht="23" hidden="false" customHeight="true" outlineLevel="0" collapsed="false">
      <c r="A156" s="1" t="n">
        <v>3380</v>
      </c>
      <c r="B156" s="1" t="s">
        <v>242</v>
      </c>
      <c r="C156" s="1" t="s">
        <v>51</v>
      </c>
      <c r="D156" s="60" t="n">
        <v>45497</v>
      </c>
      <c r="E156" s="1" t="s">
        <v>89</v>
      </c>
      <c r="F156" s="61" t="n">
        <v>10</v>
      </c>
      <c r="G156" s="1" t="s">
        <v>93</v>
      </c>
      <c r="H156" s="1" t="s">
        <v>92</v>
      </c>
      <c r="I156" s="61" t="s">
        <v>94</v>
      </c>
      <c r="J156" s="61" t="s">
        <v>89</v>
      </c>
      <c r="K156" s="61" t="n">
        <v>20</v>
      </c>
      <c r="L156" s="61" t="n">
        <v>15</v>
      </c>
      <c r="M156" s="61" t="n">
        <v>15</v>
      </c>
      <c r="N156" s="1"/>
    </row>
    <row r="157" customFormat="false" ht="23" hidden="false" customHeight="true" outlineLevel="0" collapsed="false">
      <c r="A157" s="1" t="n">
        <v>3381</v>
      </c>
      <c r="B157" s="1" t="s">
        <v>243</v>
      </c>
      <c r="C157" s="1" t="s">
        <v>49</v>
      </c>
      <c r="D157" s="60" t="n">
        <v>45498</v>
      </c>
      <c r="E157" s="1" t="s">
        <v>92</v>
      </c>
      <c r="F157" s="61" t="n">
        <v>5</v>
      </c>
      <c r="G157" s="1" t="s">
        <v>90</v>
      </c>
      <c r="H157" s="1" t="s">
        <v>92</v>
      </c>
      <c r="I157" s="61" t="s">
        <v>94</v>
      </c>
      <c r="J157" s="61" t="s">
        <v>92</v>
      </c>
      <c r="K157" s="61" t="n">
        <v>0</v>
      </c>
      <c r="L157" s="61" t="n">
        <v>1</v>
      </c>
      <c r="M157" s="61" t="n">
        <v>4</v>
      </c>
      <c r="N157" s="1"/>
    </row>
    <row r="158" customFormat="false" ht="23" hidden="false" customHeight="true" outlineLevel="0" collapsed="false">
      <c r="A158" s="1" t="n">
        <v>3382</v>
      </c>
      <c r="B158" s="1" t="s">
        <v>244</v>
      </c>
      <c r="C158" s="1" t="s">
        <v>53</v>
      </c>
      <c r="D158" s="60" t="n">
        <v>45499</v>
      </c>
      <c r="E158" s="1" t="s">
        <v>89</v>
      </c>
      <c r="F158" s="61" t="n">
        <v>15</v>
      </c>
      <c r="G158" s="1" t="s">
        <v>96</v>
      </c>
      <c r="H158" s="1" t="s">
        <v>89</v>
      </c>
      <c r="I158" s="61" t="n">
        <v>30</v>
      </c>
      <c r="J158" s="61" t="s">
        <v>89</v>
      </c>
      <c r="K158" s="61" t="n">
        <v>20</v>
      </c>
      <c r="L158" s="61" t="n">
        <v>7</v>
      </c>
      <c r="M158" s="61" t="n">
        <v>58</v>
      </c>
      <c r="N158" s="1"/>
    </row>
    <row r="159" customFormat="false" ht="23" hidden="false" customHeight="true" outlineLevel="0" collapsed="false">
      <c r="A159" s="1" t="n">
        <v>3383</v>
      </c>
      <c r="B159" s="1" t="s">
        <v>245</v>
      </c>
      <c r="C159" s="1" t="s">
        <v>51</v>
      </c>
      <c r="D159" s="60" t="n">
        <v>45500</v>
      </c>
      <c r="E159" s="1" t="s">
        <v>92</v>
      </c>
      <c r="F159" s="61" t="n">
        <v>10</v>
      </c>
      <c r="G159" s="1" t="s">
        <v>90</v>
      </c>
      <c r="H159" s="1" t="s">
        <v>92</v>
      </c>
      <c r="I159" s="61" t="s">
        <v>94</v>
      </c>
      <c r="J159" s="61" t="s">
        <v>89</v>
      </c>
      <c r="K159" s="61" t="n">
        <v>20</v>
      </c>
      <c r="L159" s="61" t="n">
        <v>10</v>
      </c>
      <c r="M159" s="61" t="n">
        <v>20</v>
      </c>
      <c r="N159" s="1"/>
    </row>
    <row r="160" customFormat="false" ht="23" hidden="false" customHeight="true" outlineLevel="0" collapsed="false">
      <c r="A160" s="1" t="n">
        <v>3384</v>
      </c>
      <c r="B160" s="1" t="s">
        <v>246</v>
      </c>
      <c r="C160" s="1" t="s">
        <v>49</v>
      </c>
      <c r="D160" s="60" t="n">
        <v>45501</v>
      </c>
      <c r="E160" s="1" t="s">
        <v>89</v>
      </c>
      <c r="F160" s="61" t="n">
        <v>5</v>
      </c>
      <c r="G160" s="1" t="s">
        <v>93</v>
      </c>
      <c r="H160" s="1" t="s">
        <v>92</v>
      </c>
      <c r="I160" s="61" t="s">
        <v>94</v>
      </c>
      <c r="J160" s="61" t="s">
        <v>92</v>
      </c>
      <c r="K160" s="61" t="n">
        <v>0</v>
      </c>
      <c r="L160" s="61" t="n">
        <v>0</v>
      </c>
      <c r="M160" s="61" t="n">
        <v>5</v>
      </c>
      <c r="N160" s="1"/>
    </row>
    <row r="161" customFormat="false" ht="23" hidden="false" customHeight="true" outlineLevel="0" collapsed="false">
      <c r="A161" s="1" t="n">
        <v>3385</v>
      </c>
      <c r="B161" s="1" t="s">
        <v>247</v>
      </c>
      <c r="C161" s="1" t="s">
        <v>53</v>
      </c>
      <c r="D161" s="60" t="n">
        <v>45502</v>
      </c>
      <c r="E161" s="1" t="s">
        <v>92</v>
      </c>
      <c r="F161" s="61" t="n">
        <v>15</v>
      </c>
      <c r="G161" s="1" t="s">
        <v>90</v>
      </c>
      <c r="H161" s="1" t="s">
        <v>89</v>
      </c>
      <c r="I161" s="61" t="n">
        <v>30</v>
      </c>
      <c r="J161" s="61" t="s">
        <v>89</v>
      </c>
      <c r="K161" s="61" t="n">
        <v>20</v>
      </c>
      <c r="L161" s="61" t="n">
        <v>20</v>
      </c>
      <c r="M161" s="61" t="n">
        <v>45</v>
      </c>
      <c r="N161" s="1"/>
    </row>
    <row r="162" customFormat="false" ht="23" hidden="false" customHeight="true" outlineLevel="0" collapsed="false">
      <c r="A162" s="1" t="n">
        <v>3386</v>
      </c>
      <c r="B162" s="1" t="s">
        <v>248</v>
      </c>
      <c r="C162" s="1" t="s">
        <v>51</v>
      </c>
      <c r="D162" s="60" t="n">
        <v>45503</v>
      </c>
      <c r="E162" s="1" t="s">
        <v>89</v>
      </c>
      <c r="F162" s="61" t="n">
        <v>10</v>
      </c>
      <c r="G162" s="1" t="s">
        <v>96</v>
      </c>
      <c r="H162" s="1" t="s">
        <v>92</v>
      </c>
      <c r="I162" s="61" t="s">
        <v>94</v>
      </c>
      <c r="J162" s="61" t="s">
        <v>89</v>
      </c>
      <c r="K162" s="61" t="n">
        <v>20</v>
      </c>
      <c r="L162" s="61" t="n">
        <v>15</v>
      </c>
      <c r="M162" s="61" t="n">
        <v>15</v>
      </c>
      <c r="N162" s="1"/>
    </row>
    <row r="163" customFormat="false" ht="23" hidden="false" customHeight="true" outlineLevel="0" collapsed="false">
      <c r="A163" s="1" t="n">
        <v>3387</v>
      </c>
      <c r="B163" s="1" t="s">
        <v>249</v>
      </c>
      <c r="C163" s="1" t="s">
        <v>49</v>
      </c>
      <c r="D163" s="60" t="n">
        <v>45504</v>
      </c>
      <c r="E163" s="1" t="s">
        <v>92</v>
      </c>
      <c r="F163" s="61" t="n">
        <v>5</v>
      </c>
      <c r="G163" s="1" t="s">
        <v>90</v>
      </c>
      <c r="H163" s="1" t="s">
        <v>92</v>
      </c>
      <c r="I163" s="61" t="s">
        <v>94</v>
      </c>
      <c r="J163" s="61" t="s">
        <v>92</v>
      </c>
      <c r="K163" s="61" t="n">
        <v>0</v>
      </c>
      <c r="L163" s="61" t="n">
        <v>1</v>
      </c>
      <c r="M163" s="61" t="n">
        <v>4</v>
      </c>
      <c r="N163" s="1"/>
    </row>
    <row r="164" customFormat="false" ht="23" hidden="false" customHeight="true" outlineLevel="0" collapsed="false">
      <c r="A164" s="1" t="n">
        <v>3388</v>
      </c>
      <c r="B164" s="1" t="s">
        <v>250</v>
      </c>
      <c r="C164" s="1" t="s">
        <v>53</v>
      </c>
      <c r="D164" s="60" t="n">
        <v>45505</v>
      </c>
      <c r="E164" s="1" t="s">
        <v>89</v>
      </c>
      <c r="F164" s="61" t="n">
        <v>15</v>
      </c>
      <c r="G164" s="1" t="s">
        <v>93</v>
      </c>
      <c r="H164" s="1" t="s">
        <v>89</v>
      </c>
      <c r="I164" s="61" t="n">
        <v>30</v>
      </c>
      <c r="J164" s="61" t="s">
        <v>89</v>
      </c>
      <c r="K164" s="61" t="n">
        <v>20</v>
      </c>
      <c r="L164" s="61" t="n">
        <v>3</v>
      </c>
      <c r="M164" s="61" t="n">
        <v>62</v>
      </c>
      <c r="N164" s="1"/>
    </row>
    <row r="165" customFormat="false" ht="23" hidden="false" customHeight="true" outlineLevel="0" collapsed="false">
      <c r="A165" s="1" t="n">
        <v>3389</v>
      </c>
      <c r="B165" s="1" t="s">
        <v>251</v>
      </c>
      <c r="C165" s="1" t="s">
        <v>51</v>
      </c>
      <c r="D165" s="60" t="n">
        <v>45506</v>
      </c>
      <c r="E165" s="1" t="s">
        <v>92</v>
      </c>
      <c r="F165" s="61" t="n">
        <v>10</v>
      </c>
      <c r="G165" s="1" t="s">
        <v>90</v>
      </c>
      <c r="H165" s="1" t="s">
        <v>92</v>
      </c>
      <c r="I165" s="61" t="s">
        <v>94</v>
      </c>
      <c r="J165" s="61" t="s">
        <v>89</v>
      </c>
      <c r="K165" s="61" t="n">
        <v>20</v>
      </c>
      <c r="L165" s="61" t="n">
        <v>10</v>
      </c>
      <c r="M165" s="61" t="n">
        <v>20</v>
      </c>
      <c r="N165" s="1"/>
    </row>
    <row r="166" customFormat="false" ht="23" hidden="false" customHeight="true" outlineLevel="0" collapsed="false">
      <c r="A166" s="1" t="n">
        <v>3390</v>
      </c>
      <c r="B166" s="1" t="s">
        <v>252</v>
      </c>
      <c r="C166" s="1" t="s">
        <v>49</v>
      </c>
      <c r="D166" s="60" t="n">
        <v>45507</v>
      </c>
      <c r="E166" s="1" t="s">
        <v>89</v>
      </c>
      <c r="F166" s="61" t="n">
        <v>5</v>
      </c>
      <c r="G166" s="1" t="s">
        <v>96</v>
      </c>
      <c r="H166" s="1" t="s">
        <v>92</v>
      </c>
      <c r="I166" s="61" t="s">
        <v>94</v>
      </c>
      <c r="J166" s="61" t="s">
        <v>92</v>
      </c>
      <c r="K166" s="61" t="n">
        <v>0</v>
      </c>
      <c r="L166" s="61" t="n">
        <v>0</v>
      </c>
      <c r="M166" s="61" t="n">
        <v>5</v>
      </c>
      <c r="N166" s="1"/>
    </row>
    <row r="167" customFormat="false" ht="23" hidden="false" customHeight="true" outlineLevel="0" collapsed="false">
      <c r="A167" s="1" t="n">
        <v>3391</v>
      </c>
      <c r="B167" s="1" t="s">
        <v>152</v>
      </c>
      <c r="C167" s="1" t="s">
        <v>53</v>
      </c>
      <c r="D167" s="60" t="n">
        <v>45508</v>
      </c>
      <c r="E167" s="1" t="s">
        <v>92</v>
      </c>
      <c r="F167" s="61" t="n">
        <v>15</v>
      </c>
      <c r="G167" s="1" t="s">
        <v>90</v>
      </c>
      <c r="H167" s="1" t="s">
        <v>89</v>
      </c>
      <c r="I167" s="61" t="n">
        <v>30</v>
      </c>
      <c r="J167" s="61" t="s">
        <v>89</v>
      </c>
      <c r="K167" s="61" t="n">
        <v>20</v>
      </c>
      <c r="L167" s="61" t="n">
        <v>15</v>
      </c>
      <c r="M167" s="61" t="n">
        <v>50</v>
      </c>
      <c r="N167" s="1"/>
    </row>
    <row r="168" customFormat="false" ht="23" hidden="false" customHeight="true" outlineLevel="0" collapsed="false">
      <c r="A168" s="1" t="n">
        <v>3392</v>
      </c>
      <c r="B168" s="1" t="s">
        <v>253</v>
      </c>
      <c r="C168" s="1" t="s">
        <v>51</v>
      </c>
      <c r="D168" s="60" t="n">
        <v>45509</v>
      </c>
      <c r="E168" s="1" t="s">
        <v>89</v>
      </c>
      <c r="F168" s="61" t="n">
        <v>10</v>
      </c>
      <c r="G168" s="1" t="s">
        <v>93</v>
      </c>
      <c r="H168" s="1" t="s">
        <v>92</v>
      </c>
      <c r="I168" s="61" t="s">
        <v>94</v>
      </c>
      <c r="J168" s="61" t="s">
        <v>89</v>
      </c>
      <c r="K168" s="61" t="n">
        <v>20</v>
      </c>
      <c r="L168" s="61" t="n">
        <v>15</v>
      </c>
      <c r="M168" s="61" t="n">
        <v>15</v>
      </c>
      <c r="N168" s="1"/>
    </row>
    <row r="169" customFormat="false" ht="23" hidden="false" customHeight="true" outlineLevel="0" collapsed="false">
      <c r="A169" s="1" t="n">
        <v>3393</v>
      </c>
      <c r="B169" s="1" t="s">
        <v>254</v>
      </c>
      <c r="C169" s="1" t="s">
        <v>49</v>
      </c>
      <c r="D169" s="60" t="n">
        <v>45510</v>
      </c>
      <c r="E169" s="1" t="s">
        <v>92</v>
      </c>
      <c r="F169" s="61" t="n">
        <v>5</v>
      </c>
      <c r="G169" s="1" t="s">
        <v>90</v>
      </c>
      <c r="H169" s="1" t="s">
        <v>92</v>
      </c>
      <c r="I169" s="61" t="s">
        <v>94</v>
      </c>
      <c r="J169" s="61" t="s">
        <v>92</v>
      </c>
      <c r="K169" s="61" t="n">
        <v>0</v>
      </c>
      <c r="L169" s="61" t="n">
        <v>1</v>
      </c>
      <c r="M169" s="61" t="n">
        <v>4</v>
      </c>
      <c r="N169" s="1"/>
    </row>
    <row r="170" customFormat="false" ht="23" hidden="false" customHeight="true" outlineLevel="0" collapsed="false">
      <c r="A170" s="1" t="n">
        <v>3394</v>
      </c>
      <c r="B170" s="1" t="s">
        <v>255</v>
      </c>
      <c r="C170" s="1" t="s">
        <v>53</v>
      </c>
      <c r="D170" s="60" t="n">
        <v>45511</v>
      </c>
      <c r="E170" s="1" t="s">
        <v>89</v>
      </c>
      <c r="F170" s="61" t="n">
        <v>15</v>
      </c>
      <c r="G170" s="1" t="s">
        <v>96</v>
      </c>
      <c r="H170" s="1" t="s">
        <v>89</v>
      </c>
      <c r="I170" s="61" t="n">
        <v>30</v>
      </c>
      <c r="J170" s="61" t="s">
        <v>89</v>
      </c>
      <c r="K170" s="61" t="n">
        <v>20</v>
      </c>
      <c r="L170" s="61" t="n">
        <v>7</v>
      </c>
      <c r="M170" s="61" t="n">
        <v>58</v>
      </c>
      <c r="N170" s="1"/>
    </row>
    <row r="171" customFormat="false" ht="23" hidden="false" customHeight="true" outlineLevel="0" collapsed="false">
      <c r="A171" s="1" t="n">
        <v>3395</v>
      </c>
      <c r="B171" s="1" t="s">
        <v>256</v>
      </c>
      <c r="C171" s="1" t="s">
        <v>51</v>
      </c>
      <c r="D171" s="60" t="n">
        <v>45512</v>
      </c>
      <c r="E171" s="1" t="s">
        <v>92</v>
      </c>
      <c r="F171" s="61" t="n">
        <v>10</v>
      </c>
      <c r="G171" s="1" t="s">
        <v>90</v>
      </c>
      <c r="H171" s="1" t="s">
        <v>92</v>
      </c>
      <c r="I171" s="61" t="s">
        <v>94</v>
      </c>
      <c r="J171" s="61" t="s">
        <v>89</v>
      </c>
      <c r="K171" s="61" t="n">
        <v>20</v>
      </c>
      <c r="L171" s="61" t="n">
        <v>10</v>
      </c>
      <c r="M171" s="61" t="n">
        <v>20</v>
      </c>
      <c r="N171" s="1"/>
    </row>
    <row r="172" customFormat="false" ht="23" hidden="false" customHeight="true" outlineLevel="0" collapsed="false">
      <c r="A172" s="1" t="n">
        <v>3396</v>
      </c>
      <c r="B172" s="1" t="s">
        <v>257</v>
      </c>
      <c r="C172" s="1" t="s">
        <v>49</v>
      </c>
      <c r="D172" s="60" t="n">
        <v>45513</v>
      </c>
      <c r="E172" s="1" t="s">
        <v>89</v>
      </c>
      <c r="F172" s="61" t="n">
        <v>5</v>
      </c>
      <c r="G172" s="1" t="s">
        <v>93</v>
      </c>
      <c r="H172" s="1" t="s">
        <v>92</v>
      </c>
      <c r="I172" s="61" t="s">
        <v>94</v>
      </c>
      <c r="J172" s="61" t="s">
        <v>92</v>
      </c>
      <c r="K172" s="61" t="n">
        <v>0</v>
      </c>
      <c r="L172" s="61" t="n">
        <v>0</v>
      </c>
      <c r="M172" s="61" t="n">
        <v>5</v>
      </c>
      <c r="N172" s="1"/>
    </row>
    <row r="173" customFormat="false" ht="23" hidden="false" customHeight="true" outlineLevel="0" collapsed="false">
      <c r="A173" s="1" t="n">
        <v>3397</v>
      </c>
      <c r="B173" s="1" t="s">
        <v>184</v>
      </c>
      <c r="C173" s="1" t="s">
        <v>53</v>
      </c>
      <c r="D173" s="60" t="n">
        <v>45514</v>
      </c>
      <c r="E173" s="1" t="s">
        <v>92</v>
      </c>
      <c r="F173" s="61" t="n">
        <v>15</v>
      </c>
      <c r="G173" s="1" t="s">
        <v>90</v>
      </c>
      <c r="H173" s="1" t="s">
        <v>89</v>
      </c>
      <c r="I173" s="61" t="n">
        <v>30</v>
      </c>
      <c r="J173" s="61" t="s">
        <v>89</v>
      </c>
      <c r="K173" s="61" t="n">
        <v>20</v>
      </c>
      <c r="L173" s="61" t="n">
        <v>20</v>
      </c>
      <c r="M173" s="61" t="n">
        <v>45</v>
      </c>
      <c r="N173" s="1"/>
    </row>
    <row r="174" customFormat="false" ht="23" hidden="false" customHeight="true" outlineLevel="0" collapsed="false">
      <c r="A174" s="1" t="n">
        <v>3398</v>
      </c>
      <c r="B174" s="1" t="s">
        <v>258</v>
      </c>
      <c r="C174" s="1" t="s">
        <v>51</v>
      </c>
      <c r="D174" s="60" t="n">
        <v>45515</v>
      </c>
      <c r="E174" s="1" t="s">
        <v>89</v>
      </c>
      <c r="F174" s="61" t="n">
        <v>10</v>
      </c>
      <c r="G174" s="1" t="s">
        <v>96</v>
      </c>
      <c r="H174" s="1" t="s">
        <v>92</v>
      </c>
      <c r="I174" s="61" t="s">
        <v>94</v>
      </c>
      <c r="J174" s="61" t="s">
        <v>89</v>
      </c>
      <c r="K174" s="61" t="n">
        <v>20</v>
      </c>
      <c r="L174" s="61" t="n">
        <v>15</v>
      </c>
      <c r="M174" s="61" t="n">
        <v>15</v>
      </c>
      <c r="N174" s="1"/>
    </row>
    <row r="175" customFormat="false" ht="23" hidden="false" customHeight="true" outlineLevel="0" collapsed="false">
      <c r="A175" s="1" t="n">
        <v>3399</v>
      </c>
      <c r="B175" s="1" t="s">
        <v>259</v>
      </c>
      <c r="C175" s="1" t="s">
        <v>49</v>
      </c>
      <c r="D175" s="60" t="n">
        <v>45516</v>
      </c>
      <c r="E175" s="1" t="s">
        <v>92</v>
      </c>
      <c r="F175" s="61" t="n">
        <v>5</v>
      </c>
      <c r="G175" s="1" t="s">
        <v>90</v>
      </c>
      <c r="H175" s="1" t="s">
        <v>92</v>
      </c>
      <c r="I175" s="61" t="s">
        <v>94</v>
      </c>
      <c r="J175" s="61" t="s">
        <v>92</v>
      </c>
      <c r="K175" s="61" t="n">
        <v>0</v>
      </c>
      <c r="L175" s="61" t="n">
        <v>1</v>
      </c>
      <c r="M175" s="61" t="n">
        <v>4</v>
      </c>
      <c r="N175" s="1"/>
    </row>
    <row r="176" customFormat="false" ht="23" hidden="false" customHeight="true" outlineLevel="0" collapsed="false">
      <c r="A176" s="1" t="n">
        <v>3400</v>
      </c>
      <c r="B176" s="1" t="s">
        <v>260</v>
      </c>
      <c r="C176" s="1" t="s">
        <v>53</v>
      </c>
      <c r="D176" s="60" t="n">
        <v>45517</v>
      </c>
      <c r="E176" s="1" t="s">
        <v>89</v>
      </c>
      <c r="F176" s="61" t="n">
        <v>15</v>
      </c>
      <c r="G176" s="1" t="s">
        <v>93</v>
      </c>
      <c r="H176" s="1" t="s">
        <v>89</v>
      </c>
      <c r="I176" s="61" t="n">
        <v>30</v>
      </c>
      <c r="J176" s="61" t="s">
        <v>89</v>
      </c>
      <c r="K176" s="61" t="n">
        <v>20</v>
      </c>
      <c r="L176" s="61" t="n">
        <v>5</v>
      </c>
      <c r="M176" s="61" t="n">
        <v>60</v>
      </c>
      <c r="N176" s="1"/>
    </row>
    <row r="177" customFormat="false" ht="23" hidden="false" customHeight="true" outlineLevel="0" collapsed="false">
      <c r="A177" s="1" t="n">
        <v>3401</v>
      </c>
      <c r="B177" s="1" t="s">
        <v>261</v>
      </c>
      <c r="C177" s="1" t="s">
        <v>51</v>
      </c>
      <c r="D177" s="60" t="n">
        <v>45518</v>
      </c>
      <c r="E177" s="1" t="s">
        <v>92</v>
      </c>
      <c r="F177" s="61" t="n">
        <v>10</v>
      </c>
      <c r="G177" s="1" t="s">
        <v>90</v>
      </c>
      <c r="H177" s="1" t="s">
        <v>92</v>
      </c>
      <c r="I177" s="61" t="s">
        <v>94</v>
      </c>
      <c r="J177" s="61" t="s">
        <v>89</v>
      </c>
      <c r="K177" s="61" t="n">
        <v>20</v>
      </c>
      <c r="L177" s="61" t="n">
        <v>10</v>
      </c>
      <c r="M177" s="61" t="n">
        <v>20</v>
      </c>
      <c r="N177" s="1"/>
    </row>
    <row r="178" customFormat="false" ht="23" hidden="false" customHeight="true" outlineLevel="0" collapsed="false">
      <c r="A178" s="1" t="n">
        <v>3402</v>
      </c>
      <c r="B178" s="1" t="s">
        <v>262</v>
      </c>
      <c r="C178" s="1" t="s">
        <v>49</v>
      </c>
      <c r="D178" s="60" t="n">
        <v>45519</v>
      </c>
      <c r="E178" s="1" t="s">
        <v>89</v>
      </c>
      <c r="F178" s="61" t="n">
        <v>5</v>
      </c>
      <c r="G178" s="1" t="s">
        <v>96</v>
      </c>
      <c r="H178" s="1" t="s">
        <v>92</v>
      </c>
      <c r="I178" s="61" t="s">
        <v>94</v>
      </c>
      <c r="J178" s="61" t="s">
        <v>92</v>
      </c>
      <c r="K178" s="61" t="n">
        <v>0</v>
      </c>
      <c r="L178" s="61" t="n">
        <v>0</v>
      </c>
      <c r="M178" s="61" t="n">
        <v>5</v>
      </c>
      <c r="N178" s="1"/>
    </row>
    <row r="179" customFormat="false" ht="23" hidden="false" customHeight="true" outlineLevel="0" collapsed="false">
      <c r="A179" s="1" t="n">
        <v>3403</v>
      </c>
      <c r="B179" s="1" t="s">
        <v>263</v>
      </c>
      <c r="C179" s="1" t="s">
        <v>53</v>
      </c>
      <c r="D179" s="60" t="n">
        <v>45520</v>
      </c>
      <c r="E179" s="1" t="s">
        <v>92</v>
      </c>
      <c r="F179" s="61" t="n">
        <v>15</v>
      </c>
      <c r="G179" s="1" t="s">
        <v>90</v>
      </c>
      <c r="H179" s="1" t="s">
        <v>89</v>
      </c>
      <c r="I179" s="61" t="n">
        <v>30</v>
      </c>
      <c r="J179" s="61" t="s">
        <v>89</v>
      </c>
      <c r="K179" s="61" t="n">
        <v>20</v>
      </c>
      <c r="L179" s="61" t="n">
        <v>3</v>
      </c>
      <c r="M179" s="61" t="n">
        <v>62</v>
      </c>
      <c r="N179" s="1"/>
    </row>
    <row r="180" customFormat="false" ht="23" hidden="false" customHeight="true" outlineLevel="0" collapsed="false">
      <c r="A180" s="1" t="n">
        <v>3404</v>
      </c>
      <c r="B180" s="1" t="s">
        <v>264</v>
      </c>
      <c r="C180" s="1" t="s">
        <v>51</v>
      </c>
      <c r="D180" s="60" t="n">
        <v>45521</v>
      </c>
      <c r="E180" s="1" t="s">
        <v>89</v>
      </c>
      <c r="F180" s="61" t="n">
        <v>10</v>
      </c>
      <c r="G180" s="1" t="s">
        <v>93</v>
      </c>
      <c r="H180" s="1" t="s">
        <v>92</v>
      </c>
      <c r="I180" s="61" t="s">
        <v>94</v>
      </c>
      <c r="J180" s="61" t="s">
        <v>89</v>
      </c>
      <c r="K180" s="61" t="n">
        <v>20</v>
      </c>
      <c r="L180" s="61" t="n">
        <v>15</v>
      </c>
      <c r="M180" s="61" t="n">
        <v>15</v>
      </c>
      <c r="N180" s="1"/>
    </row>
    <row r="181" customFormat="false" ht="23" hidden="false" customHeight="true" outlineLevel="0" collapsed="false">
      <c r="A181" s="1" t="n">
        <v>3405</v>
      </c>
      <c r="B181" s="1" t="s">
        <v>265</v>
      </c>
      <c r="C181" s="1" t="s">
        <v>49</v>
      </c>
      <c r="D181" s="60" t="n">
        <v>45522</v>
      </c>
      <c r="E181" s="1" t="s">
        <v>92</v>
      </c>
      <c r="F181" s="61" t="n">
        <v>5</v>
      </c>
      <c r="G181" s="1" t="s">
        <v>90</v>
      </c>
      <c r="H181" s="1" t="s">
        <v>92</v>
      </c>
      <c r="I181" s="61" t="s">
        <v>94</v>
      </c>
      <c r="J181" s="61" t="s">
        <v>92</v>
      </c>
      <c r="K181" s="61" t="n">
        <v>0</v>
      </c>
      <c r="L181" s="61" t="n">
        <v>1</v>
      </c>
      <c r="M181" s="61" t="n">
        <v>4</v>
      </c>
      <c r="N181" s="1"/>
    </row>
    <row r="182" customFormat="false" ht="23" hidden="false" customHeight="true" outlineLevel="0" collapsed="false">
      <c r="A182" s="1" t="n">
        <v>3406</v>
      </c>
      <c r="B182" s="1" t="s">
        <v>266</v>
      </c>
      <c r="C182" s="1" t="s">
        <v>49</v>
      </c>
      <c r="D182" s="60" t="n">
        <v>45523</v>
      </c>
      <c r="E182" s="1" t="s">
        <v>89</v>
      </c>
      <c r="F182" s="61" t="n">
        <v>5</v>
      </c>
      <c r="G182" s="1" t="s">
        <v>90</v>
      </c>
      <c r="H182" s="1" t="s">
        <v>92</v>
      </c>
      <c r="I182" s="61" t="s">
        <v>94</v>
      </c>
      <c r="J182" s="61" t="s">
        <v>92</v>
      </c>
      <c r="K182" s="61" t="n">
        <v>0</v>
      </c>
      <c r="L182" s="61" t="n">
        <v>0</v>
      </c>
      <c r="M182" s="61" t="n">
        <v>5</v>
      </c>
      <c r="N182" s="1"/>
    </row>
    <row r="183" customFormat="false" ht="23" hidden="false" customHeight="true" outlineLevel="0" collapsed="false">
      <c r="A183" s="1" t="n">
        <v>3407</v>
      </c>
      <c r="B183" s="1" t="s">
        <v>267</v>
      </c>
      <c r="C183" s="1" t="s">
        <v>53</v>
      </c>
      <c r="D183" s="60" t="n">
        <v>45524</v>
      </c>
      <c r="E183" s="1" t="s">
        <v>92</v>
      </c>
      <c r="F183" s="61" t="n">
        <v>15</v>
      </c>
      <c r="G183" s="1" t="s">
        <v>96</v>
      </c>
      <c r="H183" s="1" t="s">
        <v>89</v>
      </c>
      <c r="I183" s="61" t="n">
        <v>30</v>
      </c>
      <c r="J183" s="61" t="s">
        <v>89</v>
      </c>
      <c r="K183" s="61" t="n">
        <v>20</v>
      </c>
      <c r="L183" s="61" t="n">
        <v>7</v>
      </c>
      <c r="M183" s="61" t="n">
        <v>58</v>
      </c>
      <c r="N183" s="1"/>
    </row>
    <row r="184" customFormat="false" ht="23" hidden="false" customHeight="true" outlineLevel="0" collapsed="false">
      <c r="A184" s="1" t="n">
        <v>3408</v>
      </c>
      <c r="B184" s="1" t="s">
        <v>268</v>
      </c>
      <c r="C184" s="1" t="s">
        <v>51</v>
      </c>
      <c r="D184" s="60" t="n">
        <v>45525</v>
      </c>
      <c r="E184" s="1" t="s">
        <v>89</v>
      </c>
      <c r="F184" s="61" t="n">
        <v>10</v>
      </c>
      <c r="G184" s="1" t="s">
        <v>93</v>
      </c>
      <c r="H184" s="1" t="s">
        <v>92</v>
      </c>
      <c r="I184" s="61" t="s">
        <v>94</v>
      </c>
      <c r="J184" s="61" t="s">
        <v>89</v>
      </c>
      <c r="K184" s="61" t="n">
        <v>20</v>
      </c>
      <c r="L184" s="61" t="n">
        <v>10</v>
      </c>
      <c r="M184" s="61" t="n">
        <v>20</v>
      </c>
      <c r="N184" s="1"/>
    </row>
    <row r="185" customFormat="false" ht="23" hidden="false" customHeight="true" outlineLevel="0" collapsed="false">
      <c r="A185" s="1" t="n">
        <v>3409</v>
      </c>
      <c r="B185" s="1" t="s">
        <v>269</v>
      </c>
      <c r="C185" s="1" t="s">
        <v>49</v>
      </c>
      <c r="D185" s="60" t="n">
        <v>45526</v>
      </c>
      <c r="E185" s="1" t="s">
        <v>92</v>
      </c>
      <c r="F185" s="61" t="n">
        <v>5</v>
      </c>
      <c r="G185" s="1" t="s">
        <v>96</v>
      </c>
      <c r="H185" s="1" t="s">
        <v>92</v>
      </c>
      <c r="I185" s="61" t="s">
        <v>94</v>
      </c>
      <c r="J185" s="61" t="s">
        <v>92</v>
      </c>
      <c r="K185" s="61" t="n">
        <v>0</v>
      </c>
      <c r="L185" s="61" t="n">
        <v>1</v>
      </c>
      <c r="M185" s="61" t="n">
        <v>4</v>
      </c>
      <c r="N185" s="1"/>
    </row>
    <row r="186" customFormat="false" ht="23" hidden="false" customHeight="true" outlineLevel="0" collapsed="false">
      <c r="A186" s="1" t="n">
        <v>3410</v>
      </c>
      <c r="B186" s="1" t="s">
        <v>270</v>
      </c>
      <c r="C186" s="1" t="s">
        <v>53</v>
      </c>
      <c r="D186" s="60" t="n">
        <v>45527</v>
      </c>
      <c r="E186" s="1" t="s">
        <v>89</v>
      </c>
      <c r="F186" s="61" t="n">
        <v>15</v>
      </c>
      <c r="G186" s="1" t="s">
        <v>90</v>
      </c>
      <c r="H186" s="1" t="s">
        <v>89</v>
      </c>
      <c r="I186" s="61" t="n">
        <v>30</v>
      </c>
      <c r="J186" s="61" t="s">
        <v>89</v>
      </c>
      <c r="K186" s="61" t="n">
        <v>20</v>
      </c>
      <c r="L186" s="61" t="n">
        <v>15</v>
      </c>
      <c r="M186" s="61" t="n">
        <v>50</v>
      </c>
      <c r="N186" s="1"/>
    </row>
    <row r="187" customFormat="false" ht="23" hidden="false" customHeight="true" outlineLevel="0" collapsed="false">
      <c r="A187" s="1" t="n">
        <v>3411</v>
      </c>
      <c r="B187" s="1" t="s">
        <v>271</v>
      </c>
      <c r="C187" s="1" t="s">
        <v>51</v>
      </c>
      <c r="D187" s="60" t="n">
        <v>45528</v>
      </c>
      <c r="E187" s="1" t="s">
        <v>92</v>
      </c>
      <c r="F187" s="61" t="n">
        <v>10</v>
      </c>
      <c r="G187" s="1" t="s">
        <v>90</v>
      </c>
      <c r="H187" s="1" t="s">
        <v>92</v>
      </c>
      <c r="I187" s="61" t="s">
        <v>94</v>
      </c>
      <c r="J187" s="61" t="s">
        <v>89</v>
      </c>
      <c r="K187" s="61" t="n">
        <v>20</v>
      </c>
      <c r="L187" s="61" t="n">
        <v>5</v>
      </c>
      <c r="M187" s="61" t="n">
        <v>25</v>
      </c>
      <c r="N187" s="1"/>
    </row>
    <row r="188" customFormat="false" ht="23" hidden="false" customHeight="true" outlineLevel="0" collapsed="false">
      <c r="A188" s="1" t="n">
        <v>3412</v>
      </c>
      <c r="B188" s="1" t="s">
        <v>272</v>
      </c>
      <c r="C188" s="1" t="s">
        <v>49</v>
      </c>
      <c r="D188" s="60" t="n">
        <v>45529</v>
      </c>
      <c r="E188" s="1" t="s">
        <v>89</v>
      </c>
      <c r="F188" s="61" t="n">
        <v>5</v>
      </c>
      <c r="G188" s="1" t="s">
        <v>93</v>
      </c>
      <c r="H188" s="1" t="s">
        <v>92</v>
      </c>
      <c r="I188" s="61" t="s">
        <v>94</v>
      </c>
      <c r="J188" s="61" t="s">
        <v>92</v>
      </c>
      <c r="K188" s="61" t="n">
        <v>0</v>
      </c>
      <c r="L188" s="61" t="n">
        <v>0</v>
      </c>
      <c r="M188" s="61" t="n">
        <v>5</v>
      </c>
      <c r="N188" s="1"/>
    </row>
    <row r="189" customFormat="false" ht="23" hidden="false" customHeight="true" outlineLevel="0" collapsed="false">
      <c r="A189" s="1" t="n">
        <v>3413</v>
      </c>
      <c r="B189" s="1" t="s">
        <v>273</v>
      </c>
      <c r="C189" s="1" t="s">
        <v>53</v>
      </c>
      <c r="D189" s="60" t="n">
        <v>45530</v>
      </c>
      <c r="E189" s="1" t="s">
        <v>92</v>
      </c>
      <c r="F189" s="61" t="n">
        <v>15</v>
      </c>
      <c r="G189" s="1" t="s">
        <v>96</v>
      </c>
      <c r="H189" s="1" t="s">
        <v>89</v>
      </c>
      <c r="I189" s="61" t="n">
        <v>30</v>
      </c>
      <c r="J189" s="61" t="s">
        <v>89</v>
      </c>
      <c r="K189" s="61" t="n">
        <v>20</v>
      </c>
      <c r="L189" s="61" t="n">
        <v>20</v>
      </c>
      <c r="M189" s="61" t="n">
        <v>45</v>
      </c>
      <c r="N189" s="1"/>
    </row>
    <row r="190" customFormat="false" ht="23" hidden="false" customHeight="true" outlineLevel="0" collapsed="false">
      <c r="A190" s="1" t="n">
        <v>3414</v>
      </c>
      <c r="B190" s="1" t="s">
        <v>274</v>
      </c>
      <c r="C190" s="1" t="s">
        <v>51</v>
      </c>
      <c r="D190" s="60" t="n">
        <v>45531</v>
      </c>
      <c r="E190" s="1" t="s">
        <v>89</v>
      </c>
      <c r="F190" s="61" t="n">
        <v>10</v>
      </c>
      <c r="G190" s="1" t="s">
        <v>96</v>
      </c>
      <c r="H190" s="1" t="s">
        <v>92</v>
      </c>
      <c r="I190" s="61" t="s">
        <v>94</v>
      </c>
      <c r="J190" s="61" t="s">
        <v>89</v>
      </c>
      <c r="K190" s="61" t="n">
        <v>20</v>
      </c>
      <c r="L190" s="61" t="n">
        <v>12</v>
      </c>
      <c r="M190" s="61" t="n">
        <v>18</v>
      </c>
      <c r="N190" s="1"/>
    </row>
    <row r="191" customFormat="false" ht="23" hidden="false" customHeight="true" outlineLevel="0" collapsed="false">
      <c r="A191" s="1" t="n">
        <v>3415</v>
      </c>
      <c r="B191" s="1" t="s">
        <v>275</v>
      </c>
      <c r="C191" s="1" t="s">
        <v>49</v>
      </c>
      <c r="D191" s="60" t="n">
        <v>45532</v>
      </c>
      <c r="E191" s="1" t="s">
        <v>92</v>
      </c>
      <c r="F191" s="61" t="n">
        <v>5</v>
      </c>
      <c r="G191" s="1" t="s">
        <v>90</v>
      </c>
      <c r="H191" s="1" t="s">
        <v>92</v>
      </c>
      <c r="I191" s="61" t="s">
        <v>94</v>
      </c>
      <c r="J191" s="61" t="s">
        <v>92</v>
      </c>
      <c r="K191" s="61" t="n">
        <v>0</v>
      </c>
      <c r="L191" s="61" t="n">
        <v>2</v>
      </c>
      <c r="M191" s="61" t="n">
        <v>3</v>
      </c>
      <c r="N191" s="1"/>
    </row>
    <row r="192" customFormat="false" ht="23" hidden="false" customHeight="true" outlineLevel="0" collapsed="false">
      <c r="A192" s="1" t="n">
        <v>3416</v>
      </c>
      <c r="B192" s="1" t="s">
        <v>276</v>
      </c>
      <c r="C192" s="1" t="s">
        <v>53</v>
      </c>
      <c r="D192" s="60" t="n">
        <v>45533</v>
      </c>
      <c r="E192" s="1" t="s">
        <v>89</v>
      </c>
      <c r="F192" s="61" t="n">
        <v>15</v>
      </c>
      <c r="G192" s="1" t="s">
        <v>93</v>
      </c>
      <c r="H192" s="1" t="s">
        <v>89</v>
      </c>
      <c r="I192" s="61" t="n">
        <v>30</v>
      </c>
      <c r="J192" s="61" t="s">
        <v>89</v>
      </c>
      <c r="K192" s="61" t="n">
        <v>20</v>
      </c>
      <c r="L192" s="61" t="n">
        <v>5</v>
      </c>
      <c r="M192" s="61" t="n">
        <v>60</v>
      </c>
      <c r="N192" s="1"/>
    </row>
    <row r="193" customFormat="false" ht="23" hidden="false" customHeight="true" outlineLevel="0" collapsed="false">
      <c r="A193" s="1" t="n">
        <v>3417</v>
      </c>
      <c r="B193" s="1" t="s">
        <v>277</v>
      </c>
      <c r="C193" s="1" t="s">
        <v>51</v>
      </c>
      <c r="D193" s="60" t="n">
        <v>45534</v>
      </c>
      <c r="E193" s="1" t="s">
        <v>92</v>
      </c>
      <c r="F193" s="61" t="n">
        <v>10</v>
      </c>
      <c r="G193" s="1" t="s">
        <v>90</v>
      </c>
      <c r="H193" s="1" t="s">
        <v>92</v>
      </c>
      <c r="I193" s="61" t="s">
        <v>94</v>
      </c>
      <c r="J193" s="61" t="s">
        <v>89</v>
      </c>
      <c r="K193" s="61" t="n">
        <v>20</v>
      </c>
      <c r="L193" s="61" t="n">
        <v>10</v>
      </c>
      <c r="M193" s="61" t="n">
        <v>20</v>
      </c>
      <c r="N193" s="1"/>
    </row>
    <row r="194" customFormat="false" ht="23" hidden="false" customHeight="true" outlineLevel="0" collapsed="false">
      <c r="A194" s="1" t="n">
        <v>3418</v>
      </c>
      <c r="B194" s="1" t="s">
        <v>278</v>
      </c>
      <c r="C194" s="1" t="s">
        <v>49</v>
      </c>
      <c r="D194" s="60" t="n">
        <v>45535</v>
      </c>
      <c r="E194" s="1" t="s">
        <v>89</v>
      </c>
      <c r="F194" s="61" t="n">
        <v>5</v>
      </c>
      <c r="G194" s="1" t="s">
        <v>96</v>
      </c>
      <c r="H194" s="1" t="s">
        <v>92</v>
      </c>
      <c r="I194" s="61" t="s">
        <v>94</v>
      </c>
      <c r="J194" s="61" t="s">
        <v>92</v>
      </c>
      <c r="K194" s="61" t="n">
        <v>0</v>
      </c>
      <c r="L194" s="61" t="n">
        <v>0</v>
      </c>
      <c r="M194" s="61" t="n">
        <v>5</v>
      </c>
      <c r="N194" s="1"/>
    </row>
    <row r="195" customFormat="false" ht="23" hidden="false" customHeight="true" outlineLevel="0" collapsed="false">
      <c r="A195" s="1" t="n">
        <v>3419</v>
      </c>
      <c r="B195" s="1" t="s">
        <v>279</v>
      </c>
      <c r="C195" s="1" t="s">
        <v>53</v>
      </c>
      <c r="D195" s="60" t="n">
        <v>45536</v>
      </c>
      <c r="E195" s="1" t="s">
        <v>92</v>
      </c>
      <c r="F195" s="61" t="n">
        <v>15</v>
      </c>
      <c r="G195" s="1" t="s">
        <v>90</v>
      </c>
      <c r="H195" s="1" t="s">
        <v>89</v>
      </c>
      <c r="I195" s="61" t="n">
        <v>30</v>
      </c>
      <c r="J195" s="61" t="s">
        <v>89</v>
      </c>
      <c r="K195" s="61" t="n">
        <v>20</v>
      </c>
      <c r="L195" s="61" t="n">
        <v>3</v>
      </c>
      <c r="M195" s="61" t="n">
        <v>62</v>
      </c>
      <c r="N195" s="1"/>
    </row>
    <row r="196" customFormat="false" ht="23" hidden="false" customHeight="true" outlineLevel="0" collapsed="false">
      <c r="A196" s="1" t="n">
        <v>3420</v>
      </c>
      <c r="B196" s="1" t="s">
        <v>280</v>
      </c>
      <c r="C196" s="1" t="s">
        <v>51</v>
      </c>
      <c r="D196" s="60" t="n">
        <v>45537</v>
      </c>
      <c r="E196" s="1" t="s">
        <v>89</v>
      </c>
      <c r="F196" s="61" t="n">
        <v>10</v>
      </c>
      <c r="G196" s="1" t="s">
        <v>93</v>
      </c>
      <c r="H196" s="1" t="s">
        <v>92</v>
      </c>
      <c r="I196" s="61" t="s">
        <v>94</v>
      </c>
      <c r="J196" s="61" t="s">
        <v>89</v>
      </c>
      <c r="K196" s="61" t="n">
        <v>20</v>
      </c>
      <c r="L196" s="61" t="n">
        <v>15</v>
      </c>
      <c r="M196" s="61" t="n">
        <v>15</v>
      </c>
      <c r="N196" s="1"/>
    </row>
    <row r="197" customFormat="false" ht="23" hidden="false" customHeight="true" outlineLevel="0" collapsed="false">
      <c r="A197" s="1" t="n">
        <v>3421</v>
      </c>
      <c r="B197" s="1" t="s">
        <v>109</v>
      </c>
      <c r="C197" s="1" t="s">
        <v>49</v>
      </c>
      <c r="D197" s="60" t="n">
        <v>45538</v>
      </c>
      <c r="E197" s="1" t="s">
        <v>92</v>
      </c>
      <c r="F197" s="61" t="n">
        <v>5</v>
      </c>
      <c r="G197" s="1" t="s">
        <v>90</v>
      </c>
      <c r="H197" s="1" t="s">
        <v>92</v>
      </c>
      <c r="I197" s="61" t="s">
        <v>94</v>
      </c>
      <c r="J197" s="61" t="s">
        <v>92</v>
      </c>
      <c r="K197" s="61" t="n">
        <v>0</v>
      </c>
      <c r="L197" s="61" t="n">
        <v>1</v>
      </c>
      <c r="M197" s="61" t="n">
        <v>4</v>
      </c>
      <c r="N197" s="1"/>
    </row>
    <row r="198" customFormat="false" ht="23" hidden="false" customHeight="true" outlineLevel="0" collapsed="false">
      <c r="A198" s="1" t="n">
        <v>3422</v>
      </c>
      <c r="B198" s="1" t="s">
        <v>281</v>
      </c>
      <c r="C198" s="1" t="s">
        <v>53</v>
      </c>
      <c r="D198" s="60" t="n">
        <v>45539</v>
      </c>
      <c r="E198" s="1" t="s">
        <v>89</v>
      </c>
      <c r="F198" s="61" t="n">
        <v>15</v>
      </c>
      <c r="G198" s="1" t="s">
        <v>96</v>
      </c>
      <c r="H198" s="1" t="s">
        <v>89</v>
      </c>
      <c r="I198" s="61" t="n">
        <v>30</v>
      </c>
      <c r="J198" s="61" t="s">
        <v>89</v>
      </c>
      <c r="K198" s="61" t="n">
        <v>20</v>
      </c>
      <c r="L198" s="61" t="n">
        <v>7</v>
      </c>
      <c r="M198" s="61" t="n">
        <v>58</v>
      </c>
      <c r="N198" s="1"/>
    </row>
    <row r="199" customFormat="false" ht="23" hidden="false" customHeight="true" outlineLevel="0" collapsed="false">
      <c r="A199" s="1" t="n">
        <v>3423</v>
      </c>
      <c r="B199" s="1" t="s">
        <v>282</v>
      </c>
      <c r="C199" s="1" t="s">
        <v>51</v>
      </c>
      <c r="D199" s="60" t="n">
        <v>45540</v>
      </c>
      <c r="E199" s="1" t="s">
        <v>92</v>
      </c>
      <c r="F199" s="61" t="n">
        <v>10</v>
      </c>
      <c r="G199" s="1" t="s">
        <v>90</v>
      </c>
      <c r="H199" s="1" t="s">
        <v>92</v>
      </c>
      <c r="I199" s="61" t="s">
        <v>94</v>
      </c>
      <c r="J199" s="61" t="s">
        <v>89</v>
      </c>
      <c r="K199" s="61" t="n">
        <v>20</v>
      </c>
      <c r="L199" s="61" t="n">
        <v>10</v>
      </c>
      <c r="M199" s="61" t="n">
        <v>20</v>
      </c>
      <c r="N199" s="1"/>
    </row>
    <row r="200" customFormat="false" ht="23" hidden="false" customHeight="true" outlineLevel="0" collapsed="false">
      <c r="A200" s="1" t="n">
        <v>3424</v>
      </c>
      <c r="B200" s="1" t="s">
        <v>108</v>
      </c>
      <c r="C200" s="1" t="s">
        <v>49</v>
      </c>
      <c r="D200" s="60" t="n">
        <v>45541</v>
      </c>
      <c r="E200" s="1" t="s">
        <v>89</v>
      </c>
      <c r="F200" s="61" t="n">
        <v>5</v>
      </c>
      <c r="G200" s="1" t="s">
        <v>93</v>
      </c>
      <c r="H200" s="1" t="s">
        <v>92</v>
      </c>
      <c r="I200" s="61" t="s">
        <v>94</v>
      </c>
      <c r="J200" s="61" t="s">
        <v>92</v>
      </c>
      <c r="K200" s="61" t="n">
        <v>0</v>
      </c>
      <c r="L200" s="61" t="n">
        <v>0</v>
      </c>
      <c r="M200" s="61" t="n">
        <v>5</v>
      </c>
      <c r="N200" s="1"/>
    </row>
    <row r="201" customFormat="false" ht="23" hidden="false" customHeight="true" outlineLevel="0" collapsed="false">
      <c r="A201" s="1" t="n">
        <v>3425</v>
      </c>
      <c r="B201" s="1" t="s">
        <v>283</v>
      </c>
      <c r="C201" s="1" t="s">
        <v>53</v>
      </c>
      <c r="D201" s="60" t="n">
        <v>45542</v>
      </c>
      <c r="E201" s="1" t="s">
        <v>92</v>
      </c>
      <c r="F201" s="61" t="n">
        <v>15</v>
      </c>
      <c r="G201" s="1" t="s">
        <v>90</v>
      </c>
      <c r="H201" s="1" t="s">
        <v>89</v>
      </c>
      <c r="I201" s="61" t="n">
        <v>30</v>
      </c>
      <c r="J201" s="61" t="s">
        <v>89</v>
      </c>
      <c r="K201" s="61" t="n">
        <v>20</v>
      </c>
      <c r="L201" s="61" t="n">
        <v>20</v>
      </c>
      <c r="M201" s="61" t="n">
        <v>45</v>
      </c>
      <c r="N201" s="1"/>
    </row>
    <row r="202" customFormat="false" ht="23" hidden="false" customHeight="true" outlineLevel="0" collapsed="false">
      <c r="A202" s="1" t="n">
        <v>3426</v>
      </c>
      <c r="B202" s="1" t="s">
        <v>261</v>
      </c>
      <c r="C202" s="1" t="s">
        <v>51</v>
      </c>
      <c r="D202" s="60" t="n">
        <v>45543</v>
      </c>
      <c r="E202" s="1" t="s">
        <v>89</v>
      </c>
      <c r="F202" s="61" t="n">
        <v>10</v>
      </c>
      <c r="G202" s="1" t="s">
        <v>96</v>
      </c>
      <c r="H202" s="1" t="s">
        <v>92</v>
      </c>
      <c r="I202" s="61" t="s">
        <v>94</v>
      </c>
      <c r="J202" s="61" t="s">
        <v>89</v>
      </c>
      <c r="K202" s="61" t="n">
        <v>20</v>
      </c>
      <c r="L202" s="61" t="n">
        <v>15</v>
      </c>
      <c r="M202" s="61" t="n">
        <v>15</v>
      </c>
      <c r="N202" s="1"/>
    </row>
    <row r="203" customFormat="false" ht="23" hidden="false" customHeight="true" outlineLevel="0" collapsed="false">
      <c r="A203" s="1" t="n">
        <v>3427</v>
      </c>
      <c r="B203" s="1" t="s">
        <v>284</v>
      </c>
      <c r="C203" s="1" t="s">
        <v>49</v>
      </c>
      <c r="D203" s="60" t="n">
        <v>45544</v>
      </c>
      <c r="E203" s="1" t="s">
        <v>92</v>
      </c>
      <c r="F203" s="61" t="n">
        <v>5</v>
      </c>
      <c r="G203" s="1" t="s">
        <v>90</v>
      </c>
      <c r="H203" s="1" t="s">
        <v>92</v>
      </c>
      <c r="I203" s="61" t="s">
        <v>94</v>
      </c>
      <c r="J203" s="61" t="s">
        <v>92</v>
      </c>
      <c r="K203" s="61" t="n">
        <v>0</v>
      </c>
      <c r="L203" s="61" t="n">
        <v>1</v>
      </c>
      <c r="M203" s="61" t="n">
        <v>4</v>
      </c>
      <c r="N203" s="1"/>
    </row>
    <row r="204" customFormat="false" ht="23" hidden="false" customHeight="true" outlineLevel="0" collapsed="false">
      <c r="A204" s="1" t="n">
        <v>3428</v>
      </c>
      <c r="B204" s="1" t="s">
        <v>285</v>
      </c>
      <c r="C204" s="1" t="s">
        <v>53</v>
      </c>
      <c r="D204" s="60" t="n">
        <v>45545</v>
      </c>
      <c r="E204" s="1" t="s">
        <v>89</v>
      </c>
      <c r="F204" s="61" t="n">
        <v>15</v>
      </c>
      <c r="G204" s="1" t="s">
        <v>93</v>
      </c>
      <c r="H204" s="1" t="s">
        <v>89</v>
      </c>
      <c r="I204" s="61" t="n">
        <v>30</v>
      </c>
      <c r="J204" s="61" t="s">
        <v>89</v>
      </c>
      <c r="K204" s="61" t="n">
        <v>20</v>
      </c>
      <c r="L204" s="61" t="n">
        <v>3</v>
      </c>
      <c r="M204" s="61" t="n">
        <v>62</v>
      </c>
      <c r="N204" s="1"/>
    </row>
    <row r="205" customFormat="false" ht="23" hidden="false" customHeight="true" outlineLevel="0" collapsed="false">
      <c r="A205" s="1" t="n">
        <v>3429</v>
      </c>
      <c r="B205" s="1" t="s">
        <v>286</v>
      </c>
      <c r="C205" s="1" t="s">
        <v>51</v>
      </c>
      <c r="D205" s="60" t="n">
        <v>45546</v>
      </c>
      <c r="E205" s="1" t="s">
        <v>92</v>
      </c>
      <c r="F205" s="61" t="n">
        <v>10</v>
      </c>
      <c r="G205" s="1" t="s">
        <v>90</v>
      </c>
      <c r="H205" s="1" t="s">
        <v>92</v>
      </c>
      <c r="I205" s="61" t="s">
        <v>94</v>
      </c>
      <c r="J205" s="61" t="s">
        <v>89</v>
      </c>
      <c r="K205" s="61" t="n">
        <v>20</v>
      </c>
      <c r="L205" s="61" t="n">
        <v>10</v>
      </c>
      <c r="M205" s="61" t="n">
        <v>20</v>
      </c>
      <c r="N205" s="1"/>
    </row>
    <row r="206" customFormat="false" ht="23" hidden="false" customHeight="true" outlineLevel="0" collapsed="false">
      <c r="A206" s="1" t="n">
        <v>3430</v>
      </c>
      <c r="B206" s="1" t="s">
        <v>287</v>
      </c>
      <c r="C206" s="1" t="s">
        <v>49</v>
      </c>
      <c r="D206" s="60" t="n">
        <v>45547</v>
      </c>
      <c r="E206" s="1" t="s">
        <v>89</v>
      </c>
      <c r="F206" s="61" t="n">
        <v>5</v>
      </c>
      <c r="G206" s="1" t="s">
        <v>96</v>
      </c>
      <c r="H206" s="1" t="s">
        <v>92</v>
      </c>
      <c r="I206" s="61" t="s">
        <v>94</v>
      </c>
      <c r="J206" s="61" t="s">
        <v>92</v>
      </c>
      <c r="K206" s="61" t="n">
        <v>0</v>
      </c>
      <c r="L206" s="61" t="n">
        <v>0</v>
      </c>
      <c r="M206" s="61" t="n">
        <v>5</v>
      </c>
      <c r="N206" s="1"/>
    </row>
    <row r="207" customFormat="false" ht="23" hidden="false" customHeight="true" outlineLevel="0" collapsed="false">
      <c r="A207" s="1" t="n">
        <v>3431</v>
      </c>
      <c r="B207" s="1" t="s">
        <v>288</v>
      </c>
      <c r="C207" s="1" t="s">
        <v>53</v>
      </c>
      <c r="D207" s="60" t="n">
        <v>45548</v>
      </c>
      <c r="E207" s="1" t="s">
        <v>92</v>
      </c>
      <c r="F207" s="61" t="n">
        <v>15</v>
      </c>
      <c r="G207" s="1" t="s">
        <v>90</v>
      </c>
      <c r="H207" s="1" t="s">
        <v>89</v>
      </c>
      <c r="I207" s="61" t="n">
        <v>30</v>
      </c>
      <c r="J207" s="61" t="s">
        <v>89</v>
      </c>
      <c r="K207" s="61" t="n">
        <v>20</v>
      </c>
      <c r="L207" s="61" t="n">
        <v>15</v>
      </c>
      <c r="M207" s="61" t="n">
        <v>50</v>
      </c>
      <c r="N207" s="1"/>
    </row>
    <row r="208" customFormat="false" ht="23" hidden="false" customHeight="true" outlineLevel="0" collapsed="false">
      <c r="A208" s="1" t="n">
        <v>3432</v>
      </c>
      <c r="B208" s="1" t="s">
        <v>289</v>
      </c>
      <c r="C208" s="1" t="s">
        <v>51</v>
      </c>
      <c r="D208" s="60" t="n">
        <v>45549</v>
      </c>
      <c r="E208" s="1" t="s">
        <v>89</v>
      </c>
      <c r="F208" s="61" t="n">
        <v>10</v>
      </c>
      <c r="G208" s="1" t="s">
        <v>93</v>
      </c>
      <c r="H208" s="1" t="s">
        <v>92</v>
      </c>
      <c r="I208" s="61" t="s">
        <v>94</v>
      </c>
      <c r="J208" s="61" t="s">
        <v>89</v>
      </c>
      <c r="K208" s="61" t="n">
        <v>20</v>
      </c>
      <c r="L208" s="61" t="n">
        <v>15</v>
      </c>
      <c r="M208" s="61" t="n">
        <v>15</v>
      </c>
      <c r="N208" s="1"/>
    </row>
    <row r="209" customFormat="false" ht="23" hidden="false" customHeight="true" outlineLevel="0" collapsed="false">
      <c r="A209" s="1" t="n">
        <v>3433</v>
      </c>
      <c r="B209" s="1" t="s">
        <v>290</v>
      </c>
      <c r="C209" s="1" t="s">
        <v>49</v>
      </c>
      <c r="D209" s="60" t="n">
        <v>45550</v>
      </c>
      <c r="E209" s="1" t="s">
        <v>92</v>
      </c>
      <c r="F209" s="61" t="n">
        <v>5</v>
      </c>
      <c r="G209" s="1" t="s">
        <v>90</v>
      </c>
      <c r="H209" s="1" t="s">
        <v>92</v>
      </c>
      <c r="I209" s="61" t="s">
        <v>94</v>
      </c>
      <c r="J209" s="61" t="s">
        <v>92</v>
      </c>
      <c r="K209" s="61" t="n">
        <v>0</v>
      </c>
      <c r="L209" s="61" t="n">
        <v>1</v>
      </c>
      <c r="M209" s="61" t="n">
        <v>4</v>
      </c>
      <c r="N209" s="1"/>
    </row>
    <row r="210" customFormat="false" ht="23" hidden="false" customHeight="true" outlineLevel="0" collapsed="false">
      <c r="A210" s="1" t="n">
        <v>3434</v>
      </c>
      <c r="B210" s="1" t="s">
        <v>291</v>
      </c>
      <c r="C210" s="1" t="s">
        <v>53</v>
      </c>
      <c r="D210" s="60" t="n">
        <v>45551</v>
      </c>
      <c r="E210" s="1" t="s">
        <v>89</v>
      </c>
      <c r="F210" s="61" t="n">
        <v>15</v>
      </c>
      <c r="G210" s="1" t="s">
        <v>96</v>
      </c>
      <c r="H210" s="1" t="s">
        <v>89</v>
      </c>
      <c r="I210" s="61" t="n">
        <v>30</v>
      </c>
      <c r="J210" s="61" t="s">
        <v>89</v>
      </c>
      <c r="K210" s="61" t="n">
        <v>20</v>
      </c>
      <c r="L210" s="61" t="n">
        <v>7</v>
      </c>
      <c r="M210" s="61" t="n">
        <v>58</v>
      </c>
      <c r="N210" s="1"/>
    </row>
    <row r="211" customFormat="false" ht="23" hidden="false" customHeight="true" outlineLevel="0" collapsed="false">
      <c r="A211" s="1" t="n">
        <v>3435</v>
      </c>
      <c r="B211" s="1" t="s">
        <v>292</v>
      </c>
      <c r="C211" s="1" t="s">
        <v>51</v>
      </c>
      <c r="D211" s="60" t="n">
        <v>45552</v>
      </c>
      <c r="E211" s="1" t="s">
        <v>92</v>
      </c>
      <c r="F211" s="61" t="n">
        <v>10</v>
      </c>
      <c r="G211" s="1" t="s">
        <v>90</v>
      </c>
      <c r="H211" s="1" t="s">
        <v>92</v>
      </c>
      <c r="I211" s="61" t="s">
        <v>94</v>
      </c>
      <c r="J211" s="61" t="s">
        <v>89</v>
      </c>
      <c r="K211" s="61" t="n">
        <v>20</v>
      </c>
      <c r="L211" s="61" t="n">
        <v>10</v>
      </c>
      <c r="M211" s="61" t="n">
        <v>20</v>
      </c>
      <c r="N211" s="1"/>
    </row>
    <row r="212" customFormat="false" ht="23" hidden="false" customHeight="true" outlineLevel="0" collapsed="false">
      <c r="A212" s="1" t="n">
        <v>3436</v>
      </c>
      <c r="B212" s="1" t="s">
        <v>293</v>
      </c>
      <c r="C212" s="1" t="s">
        <v>49</v>
      </c>
      <c r="D212" s="60" t="n">
        <v>45553</v>
      </c>
      <c r="E212" s="1" t="s">
        <v>89</v>
      </c>
      <c r="F212" s="61" t="n">
        <v>5</v>
      </c>
      <c r="G212" s="1" t="s">
        <v>90</v>
      </c>
      <c r="H212" s="1" t="s">
        <v>92</v>
      </c>
      <c r="I212" s="61" t="s">
        <v>94</v>
      </c>
      <c r="J212" s="61" t="s">
        <v>92</v>
      </c>
      <c r="K212" s="61" t="n">
        <v>0</v>
      </c>
      <c r="L212" s="61" t="n">
        <v>0</v>
      </c>
      <c r="M212" s="61" t="n">
        <v>5</v>
      </c>
      <c r="N212" s="1"/>
    </row>
    <row r="213" customFormat="false" ht="23" hidden="false" customHeight="true" outlineLevel="0" collapsed="false">
      <c r="A213" s="1" t="n">
        <v>3437</v>
      </c>
      <c r="B213" s="1" t="s">
        <v>294</v>
      </c>
      <c r="C213" s="1" t="s">
        <v>53</v>
      </c>
      <c r="D213" s="60" t="n">
        <v>45554</v>
      </c>
      <c r="E213" s="1" t="s">
        <v>92</v>
      </c>
      <c r="F213" s="61" t="n">
        <v>15</v>
      </c>
      <c r="G213" s="1" t="s">
        <v>96</v>
      </c>
      <c r="H213" s="1" t="s">
        <v>89</v>
      </c>
      <c r="I213" s="61" t="n">
        <v>30</v>
      </c>
      <c r="J213" s="61" t="s">
        <v>89</v>
      </c>
      <c r="K213" s="61" t="n">
        <v>20</v>
      </c>
      <c r="L213" s="61" t="n">
        <v>7</v>
      </c>
      <c r="M213" s="61" t="n">
        <v>58</v>
      </c>
      <c r="N213" s="1"/>
    </row>
    <row r="214" customFormat="false" ht="23" hidden="false" customHeight="true" outlineLevel="0" collapsed="false">
      <c r="A214" s="1" t="n">
        <v>3438</v>
      </c>
      <c r="B214" s="1" t="s">
        <v>295</v>
      </c>
      <c r="C214" s="1" t="s">
        <v>51</v>
      </c>
      <c r="D214" s="60" t="n">
        <v>45555</v>
      </c>
      <c r="E214" s="1" t="s">
        <v>89</v>
      </c>
      <c r="F214" s="61" t="n">
        <v>10</v>
      </c>
      <c r="G214" s="1" t="s">
        <v>93</v>
      </c>
      <c r="H214" s="1" t="s">
        <v>92</v>
      </c>
      <c r="I214" s="61" t="s">
        <v>94</v>
      </c>
      <c r="J214" s="61" t="s">
        <v>89</v>
      </c>
      <c r="K214" s="61" t="n">
        <v>20</v>
      </c>
      <c r="L214" s="61" t="n">
        <v>10</v>
      </c>
      <c r="M214" s="61" t="n">
        <v>20</v>
      </c>
      <c r="N214" s="1"/>
    </row>
    <row r="215" customFormat="false" ht="23" hidden="false" customHeight="true" outlineLevel="0" collapsed="false">
      <c r="A215" s="1" t="n">
        <v>3439</v>
      </c>
      <c r="B215" s="1" t="s">
        <v>296</v>
      </c>
      <c r="C215" s="1" t="s">
        <v>49</v>
      </c>
      <c r="D215" s="60" t="n">
        <v>45556</v>
      </c>
      <c r="E215" s="1" t="s">
        <v>92</v>
      </c>
      <c r="F215" s="61" t="n">
        <v>5</v>
      </c>
      <c r="G215" s="1" t="s">
        <v>96</v>
      </c>
      <c r="H215" s="1" t="s">
        <v>92</v>
      </c>
      <c r="I215" s="61" t="s">
        <v>94</v>
      </c>
      <c r="J215" s="61" t="s">
        <v>92</v>
      </c>
      <c r="K215" s="61" t="n">
        <v>0</v>
      </c>
      <c r="L215" s="61" t="n">
        <v>1</v>
      </c>
      <c r="M215" s="61" t="n">
        <v>4</v>
      </c>
      <c r="N215" s="1"/>
    </row>
    <row r="216" customFormat="false" ht="23" hidden="false" customHeight="true" outlineLevel="0" collapsed="false">
      <c r="A216" s="1" t="n">
        <v>3440</v>
      </c>
      <c r="B216" s="1" t="s">
        <v>297</v>
      </c>
      <c r="C216" s="1" t="s">
        <v>53</v>
      </c>
      <c r="D216" s="60" t="n">
        <v>45557</v>
      </c>
      <c r="E216" s="1" t="s">
        <v>89</v>
      </c>
      <c r="F216" s="61" t="n">
        <v>15</v>
      </c>
      <c r="G216" s="1" t="s">
        <v>90</v>
      </c>
      <c r="H216" s="1" t="s">
        <v>89</v>
      </c>
      <c r="I216" s="61" t="n">
        <v>30</v>
      </c>
      <c r="J216" s="61" t="s">
        <v>89</v>
      </c>
      <c r="K216" s="61" t="n">
        <v>20</v>
      </c>
      <c r="L216" s="61" t="n">
        <v>15</v>
      </c>
      <c r="M216" s="61" t="n">
        <v>50</v>
      </c>
      <c r="N216" s="1"/>
    </row>
    <row r="217" customFormat="false" ht="23" hidden="false" customHeight="true" outlineLevel="0" collapsed="false">
      <c r="A217" s="1" t="n">
        <v>3441</v>
      </c>
      <c r="B217" s="1" t="s">
        <v>298</v>
      </c>
      <c r="C217" s="1" t="s">
        <v>51</v>
      </c>
      <c r="D217" s="60" t="n">
        <v>45558</v>
      </c>
      <c r="E217" s="1" t="s">
        <v>92</v>
      </c>
      <c r="F217" s="61" t="n">
        <v>10</v>
      </c>
      <c r="G217" s="1" t="s">
        <v>90</v>
      </c>
      <c r="H217" s="1" t="s">
        <v>92</v>
      </c>
      <c r="I217" s="61" t="s">
        <v>94</v>
      </c>
      <c r="J217" s="61" t="s">
        <v>89</v>
      </c>
      <c r="K217" s="61" t="n">
        <v>20</v>
      </c>
      <c r="L217" s="61" t="n">
        <v>5</v>
      </c>
      <c r="M217" s="61" t="n">
        <v>25</v>
      </c>
      <c r="N217" s="1"/>
    </row>
    <row r="218" customFormat="false" ht="23" hidden="false" customHeight="true" outlineLevel="0" collapsed="false">
      <c r="A218" s="1" t="n">
        <v>3442</v>
      </c>
      <c r="B218" s="1" t="s">
        <v>299</v>
      </c>
      <c r="C218" s="1" t="s">
        <v>49</v>
      </c>
      <c r="D218" s="60" t="n">
        <v>45559</v>
      </c>
      <c r="E218" s="1" t="s">
        <v>89</v>
      </c>
      <c r="F218" s="61" t="n">
        <v>5</v>
      </c>
      <c r="G218" s="1" t="s">
        <v>93</v>
      </c>
      <c r="H218" s="1" t="s">
        <v>92</v>
      </c>
      <c r="I218" s="61" t="s">
        <v>94</v>
      </c>
      <c r="J218" s="61" t="s">
        <v>92</v>
      </c>
      <c r="K218" s="61" t="n">
        <v>0</v>
      </c>
      <c r="L218" s="61" t="n">
        <v>0</v>
      </c>
      <c r="M218" s="61" t="n">
        <v>5</v>
      </c>
      <c r="N218" s="1"/>
    </row>
    <row r="219" customFormat="false" ht="23" hidden="false" customHeight="true" outlineLevel="0" collapsed="false">
      <c r="A219" s="1" t="n">
        <v>3443</v>
      </c>
      <c r="B219" s="1" t="s">
        <v>300</v>
      </c>
      <c r="C219" s="1" t="s">
        <v>53</v>
      </c>
      <c r="D219" s="60" t="n">
        <v>45560</v>
      </c>
      <c r="E219" s="1" t="s">
        <v>92</v>
      </c>
      <c r="F219" s="61" t="n">
        <v>15</v>
      </c>
      <c r="G219" s="1" t="s">
        <v>96</v>
      </c>
      <c r="H219" s="1" t="s">
        <v>89</v>
      </c>
      <c r="I219" s="61" t="n">
        <v>30</v>
      </c>
      <c r="J219" s="61" t="s">
        <v>89</v>
      </c>
      <c r="K219" s="61" t="n">
        <v>20</v>
      </c>
      <c r="L219" s="61" t="n">
        <v>20</v>
      </c>
      <c r="M219" s="61" t="n">
        <v>45</v>
      </c>
      <c r="N219" s="1"/>
    </row>
    <row r="220" customFormat="false" ht="23" hidden="false" customHeight="true" outlineLevel="0" collapsed="false">
      <c r="A220" s="1" t="n">
        <v>3444</v>
      </c>
      <c r="B220" s="1" t="s">
        <v>301</v>
      </c>
      <c r="C220" s="1" t="s">
        <v>51</v>
      </c>
      <c r="D220" s="60" t="n">
        <v>45561</v>
      </c>
      <c r="E220" s="1" t="s">
        <v>89</v>
      </c>
      <c r="F220" s="61" t="n">
        <v>10</v>
      </c>
      <c r="G220" s="1" t="s">
        <v>96</v>
      </c>
      <c r="H220" s="1" t="s">
        <v>92</v>
      </c>
      <c r="I220" s="61" t="s">
        <v>94</v>
      </c>
      <c r="J220" s="61" t="s">
        <v>89</v>
      </c>
      <c r="K220" s="61" t="n">
        <v>20</v>
      </c>
      <c r="L220" s="61" t="n">
        <v>12</v>
      </c>
      <c r="M220" s="61" t="n">
        <v>18</v>
      </c>
      <c r="N220" s="1"/>
    </row>
    <row r="221" customFormat="false" ht="23" hidden="false" customHeight="true" outlineLevel="0" collapsed="false">
      <c r="A221" s="1" t="n">
        <v>3445</v>
      </c>
      <c r="B221" s="1" t="s">
        <v>131</v>
      </c>
      <c r="C221" s="1" t="s">
        <v>49</v>
      </c>
      <c r="D221" s="60" t="n">
        <v>45562</v>
      </c>
      <c r="E221" s="1" t="s">
        <v>92</v>
      </c>
      <c r="F221" s="61" t="n">
        <v>5</v>
      </c>
      <c r="G221" s="1" t="s">
        <v>90</v>
      </c>
      <c r="H221" s="1" t="s">
        <v>92</v>
      </c>
      <c r="I221" s="61" t="s">
        <v>94</v>
      </c>
      <c r="J221" s="61" t="s">
        <v>92</v>
      </c>
      <c r="K221" s="61" t="n">
        <v>0</v>
      </c>
      <c r="L221" s="61" t="n">
        <v>2</v>
      </c>
      <c r="M221" s="61" t="n">
        <v>3</v>
      </c>
      <c r="N221" s="1"/>
    </row>
    <row r="222" customFormat="false" ht="23" hidden="false" customHeight="true" outlineLevel="0" collapsed="false">
      <c r="A222" s="1" t="n">
        <v>3446</v>
      </c>
      <c r="B222" s="1" t="s">
        <v>302</v>
      </c>
      <c r="C222" s="1" t="s">
        <v>53</v>
      </c>
      <c r="D222" s="60" t="n">
        <v>45563</v>
      </c>
      <c r="E222" s="1" t="s">
        <v>89</v>
      </c>
      <c r="F222" s="61" t="n">
        <v>15</v>
      </c>
      <c r="G222" s="1" t="s">
        <v>93</v>
      </c>
      <c r="H222" s="1" t="s">
        <v>89</v>
      </c>
      <c r="I222" s="61" t="n">
        <v>30</v>
      </c>
      <c r="J222" s="61" t="s">
        <v>89</v>
      </c>
      <c r="K222" s="61" t="n">
        <v>20</v>
      </c>
      <c r="L222" s="61" t="n">
        <v>5</v>
      </c>
      <c r="M222" s="61" t="n">
        <v>60</v>
      </c>
      <c r="N222" s="1"/>
    </row>
    <row r="223" customFormat="false" ht="23" hidden="false" customHeight="true" outlineLevel="0" collapsed="false">
      <c r="A223" s="1" t="n">
        <v>3447</v>
      </c>
      <c r="B223" s="1" t="s">
        <v>303</v>
      </c>
      <c r="C223" s="1" t="s">
        <v>51</v>
      </c>
      <c r="D223" s="60" t="n">
        <v>45564</v>
      </c>
      <c r="E223" s="1" t="s">
        <v>92</v>
      </c>
      <c r="F223" s="61" t="n">
        <v>10</v>
      </c>
      <c r="G223" s="1" t="s">
        <v>90</v>
      </c>
      <c r="H223" s="1" t="s">
        <v>92</v>
      </c>
      <c r="I223" s="61" t="s">
        <v>94</v>
      </c>
      <c r="J223" s="61" t="s">
        <v>89</v>
      </c>
      <c r="K223" s="61" t="n">
        <v>20</v>
      </c>
      <c r="L223" s="61" t="n">
        <v>10</v>
      </c>
      <c r="M223" s="61" t="n">
        <v>20</v>
      </c>
      <c r="N223" s="1"/>
    </row>
    <row r="224" customFormat="false" ht="23" hidden="false" customHeight="true" outlineLevel="0" collapsed="false">
      <c r="A224" s="1" t="n">
        <v>3448</v>
      </c>
      <c r="B224" s="1" t="s">
        <v>304</v>
      </c>
      <c r="C224" s="1" t="s">
        <v>49</v>
      </c>
      <c r="D224" s="60" t="n">
        <v>45565</v>
      </c>
      <c r="E224" s="1" t="s">
        <v>89</v>
      </c>
      <c r="F224" s="61" t="n">
        <v>5</v>
      </c>
      <c r="G224" s="1" t="s">
        <v>96</v>
      </c>
      <c r="H224" s="1" t="s">
        <v>92</v>
      </c>
      <c r="I224" s="61" t="s">
        <v>94</v>
      </c>
      <c r="J224" s="61" t="s">
        <v>92</v>
      </c>
      <c r="K224" s="61" t="n">
        <v>0</v>
      </c>
      <c r="L224" s="61" t="n">
        <v>0</v>
      </c>
      <c r="M224" s="61" t="n">
        <v>5</v>
      </c>
      <c r="N224" s="1"/>
    </row>
    <row r="225" customFormat="false" ht="23" hidden="false" customHeight="true" outlineLevel="0" collapsed="false">
      <c r="A225" s="1" t="n">
        <v>3449</v>
      </c>
      <c r="B225" s="1" t="s">
        <v>305</v>
      </c>
      <c r="C225" s="1" t="s">
        <v>53</v>
      </c>
      <c r="D225" s="60" t="n">
        <v>45566</v>
      </c>
      <c r="E225" s="1" t="s">
        <v>92</v>
      </c>
      <c r="F225" s="61" t="n">
        <v>15</v>
      </c>
      <c r="G225" s="1" t="s">
        <v>90</v>
      </c>
      <c r="H225" s="1" t="s">
        <v>89</v>
      </c>
      <c r="I225" s="61" t="n">
        <v>30</v>
      </c>
      <c r="J225" s="61" t="s">
        <v>89</v>
      </c>
      <c r="K225" s="61" t="n">
        <v>20</v>
      </c>
      <c r="L225" s="61" t="n">
        <v>3</v>
      </c>
      <c r="M225" s="61" t="n">
        <v>62</v>
      </c>
      <c r="N225" s="1"/>
    </row>
    <row r="226" customFormat="false" ht="23" hidden="false" customHeight="true" outlineLevel="0" collapsed="false">
      <c r="A226" s="1" t="n">
        <v>3450</v>
      </c>
      <c r="B226" s="1" t="s">
        <v>306</v>
      </c>
      <c r="C226" s="1" t="s">
        <v>51</v>
      </c>
      <c r="D226" s="60" t="n">
        <v>45567</v>
      </c>
      <c r="E226" s="1" t="s">
        <v>89</v>
      </c>
      <c r="F226" s="61" t="n">
        <v>10</v>
      </c>
      <c r="G226" s="1" t="s">
        <v>93</v>
      </c>
      <c r="H226" s="1" t="s">
        <v>92</v>
      </c>
      <c r="I226" s="61" t="s">
        <v>94</v>
      </c>
      <c r="J226" s="61" t="s">
        <v>89</v>
      </c>
      <c r="K226" s="61" t="n">
        <v>20</v>
      </c>
      <c r="L226" s="61" t="n">
        <v>15</v>
      </c>
      <c r="M226" s="61" t="n">
        <v>15</v>
      </c>
      <c r="N226" s="1"/>
    </row>
    <row r="227" customFormat="false" ht="23" hidden="false" customHeight="true" outlineLevel="0" collapsed="false">
      <c r="A227" s="1" t="n">
        <v>3451</v>
      </c>
      <c r="B227" s="1" t="s">
        <v>307</v>
      </c>
      <c r="C227" s="1" t="s">
        <v>49</v>
      </c>
      <c r="D227" s="60" t="n">
        <v>45568</v>
      </c>
      <c r="E227" s="1" t="s">
        <v>92</v>
      </c>
      <c r="F227" s="61" t="n">
        <v>5</v>
      </c>
      <c r="G227" s="1" t="s">
        <v>90</v>
      </c>
      <c r="H227" s="1" t="s">
        <v>92</v>
      </c>
      <c r="I227" s="61" t="s">
        <v>94</v>
      </c>
      <c r="J227" s="61" t="s">
        <v>92</v>
      </c>
      <c r="K227" s="61" t="n">
        <v>0</v>
      </c>
      <c r="L227" s="61" t="n">
        <v>1</v>
      </c>
      <c r="M227" s="61" t="n">
        <v>4</v>
      </c>
      <c r="N227" s="1"/>
    </row>
    <row r="228" customFormat="false" ht="23" hidden="false" customHeight="true" outlineLevel="0" collapsed="false">
      <c r="A228" s="1" t="n">
        <v>3452</v>
      </c>
      <c r="B228" s="1" t="s">
        <v>285</v>
      </c>
      <c r="C228" s="1" t="s">
        <v>53</v>
      </c>
      <c r="D228" s="60" t="n">
        <v>45569</v>
      </c>
      <c r="E228" s="1" t="s">
        <v>89</v>
      </c>
      <c r="F228" s="61" t="n">
        <v>15</v>
      </c>
      <c r="G228" s="1" t="s">
        <v>96</v>
      </c>
      <c r="H228" s="1" t="s">
        <v>89</v>
      </c>
      <c r="I228" s="61" t="n">
        <v>30</v>
      </c>
      <c r="J228" s="61" t="s">
        <v>89</v>
      </c>
      <c r="K228" s="61" t="n">
        <v>20</v>
      </c>
      <c r="L228" s="61" t="n">
        <v>7</v>
      </c>
      <c r="M228" s="61" t="n">
        <v>58</v>
      </c>
      <c r="N228" s="1"/>
    </row>
    <row r="229" customFormat="false" ht="23" hidden="false" customHeight="true" outlineLevel="0" collapsed="false">
      <c r="A229" s="1" t="n">
        <v>3453</v>
      </c>
      <c r="B229" s="1" t="s">
        <v>139</v>
      </c>
      <c r="C229" s="1" t="s">
        <v>51</v>
      </c>
      <c r="D229" s="60" t="n">
        <v>45570</v>
      </c>
      <c r="E229" s="1" t="s">
        <v>92</v>
      </c>
      <c r="F229" s="61" t="n">
        <v>10</v>
      </c>
      <c r="G229" s="1" t="s">
        <v>90</v>
      </c>
      <c r="H229" s="1" t="s">
        <v>92</v>
      </c>
      <c r="I229" s="61" t="s">
        <v>94</v>
      </c>
      <c r="J229" s="61" t="s">
        <v>89</v>
      </c>
      <c r="K229" s="61" t="n">
        <v>20</v>
      </c>
      <c r="L229" s="61" t="n">
        <v>10</v>
      </c>
      <c r="M229" s="61" t="n">
        <v>20</v>
      </c>
      <c r="N229" s="1"/>
    </row>
    <row r="230" customFormat="false" ht="23" hidden="false" customHeight="true" outlineLevel="0" collapsed="false">
      <c r="A230" s="1" t="n">
        <v>3454</v>
      </c>
      <c r="B230" s="1" t="s">
        <v>308</v>
      </c>
      <c r="C230" s="1" t="s">
        <v>49</v>
      </c>
      <c r="D230" s="60" t="n">
        <v>45571</v>
      </c>
      <c r="E230" s="1" t="s">
        <v>89</v>
      </c>
      <c r="F230" s="61" t="n">
        <v>5</v>
      </c>
      <c r="G230" s="1" t="s">
        <v>93</v>
      </c>
      <c r="H230" s="1" t="s">
        <v>92</v>
      </c>
      <c r="I230" s="61" t="s">
        <v>94</v>
      </c>
      <c r="J230" s="61" t="s">
        <v>92</v>
      </c>
      <c r="K230" s="61" t="n">
        <v>0</v>
      </c>
      <c r="L230" s="61" t="n">
        <v>0</v>
      </c>
      <c r="M230" s="61" t="n">
        <v>5</v>
      </c>
      <c r="N230" s="1"/>
    </row>
    <row r="231" customFormat="false" ht="23" hidden="false" customHeight="true" outlineLevel="0" collapsed="false">
      <c r="A231" s="1" t="n">
        <v>3455</v>
      </c>
      <c r="B231" s="1" t="s">
        <v>309</v>
      </c>
      <c r="C231" s="1" t="s">
        <v>53</v>
      </c>
      <c r="D231" s="60" t="n">
        <v>45572</v>
      </c>
      <c r="E231" s="1" t="s">
        <v>92</v>
      </c>
      <c r="F231" s="61" t="n">
        <v>15</v>
      </c>
      <c r="G231" s="1" t="s">
        <v>90</v>
      </c>
      <c r="H231" s="1" t="s">
        <v>89</v>
      </c>
      <c r="I231" s="61" t="n">
        <v>30</v>
      </c>
      <c r="J231" s="61" t="s">
        <v>89</v>
      </c>
      <c r="K231" s="61" t="n">
        <v>20</v>
      </c>
      <c r="L231" s="61" t="n">
        <v>20</v>
      </c>
      <c r="M231" s="61" t="n">
        <v>45</v>
      </c>
      <c r="N231" s="1"/>
    </row>
    <row r="232" customFormat="false" ht="23" hidden="false" customHeight="true" outlineLevel="0" collapsed="false">
      <c r="A232" s="1" t="n">
        <v>3456</v>
      </c>
      <c r="B232" s="1" t="s">
        <v>310</v>
      </c>
      <c r="C232" s="1" t="s">
        <v>51</v>
      </c>
      <c r="D232" s="60" t="n">
        <v>45573</v>
      </c>
      <c r="E232" s="1" t="s">
        <v>89</v>
      </c>
      <c r="F232" s="61" t="n">
        <v>10</v>
      </c>
      <c r="G232" s="1" t="s">
        <v>96</v>
      </c>
      <c r="H232" s="1" t="s">
        <v>92</v>
      </c>
      <c r="I232" s="61" t="s">
        <v>94</v>
      </c>
      <c r="J232" s="61" t="s">
        <v>89</v>
      </c>
      <c r="K232" s="61" t="n">
        <v>20</v>
      </c>
      <c r="L232" s="61" t="n">
        <v>15</v>
      </c>
      <c r="M232" s="61" t="n">
        <v>15</v>
      </c>
      <c r="N232" s="1"/>
    </row>
    <row r="233" customFormat="false" ht="23" hidden="false" customHeight="true" outlineLevel="0" collapsed="false">
      <c r="A233" s="1" t="n">
        <v>3457</v>
      </c>
      <c r="B233" s="1" t="s">
        <v>311</v>
      </c>
      <c r="C233" s="1" t="s">
        <v>49</v>
      </c>
      <c r="D233" s="60" t="n">
        <v>45574</v>
      </c>
      <c r="E233" s="1" t="s">
        <v>92</v>
      </c>
      <c r="F233" s="61" t="n">
        <v>5</v>
      </c>
      <c r="G233" s="1" t="s">
        <v>90</v>
      </c>
      <c r="H233" s="1" t="s">
        <v>92</v>
      </c>
      <c r="I233" s="61" t="s">
        <v>94</v>
      </c>
      <c r="J233" s="61" t="s">
        <v>92</v>
      </c>
      <c r="K233" s="61" t="n">
        <v>0</v>
      </c>
      <c r="L233" s="61" t="n">
        <v>1</v>
      </c>
      <c r="M233" s="61" t="n">
        <v>4</v>
      </c>
      <c r="N233" s="1"/>
    </row>
    <row r="234" customFormat="false" ht="23" hidden="false" customHeight="true" outlineLevel="0" collapsed="false">
      <c r="A234" s="1" t="n">
        <v>3458</v>
      </c>
      <c r="B234" s="1" t="s">
        <v>312</v>
      </c>
      <c r="C234" s="1" t="s">
        <v>53</v>
      </c>
      <c r="D234" s="60" t="n">
        <v>45575</v>
      </c>
      <c r="E234" s="1" t="s">
        <v>89</v>
      </c>
      <c r="F234" s="61" t="n">
        <v>15</v>
      </c>
      <c r="G234" s="1" t="s">
        <v>93</v>
      </c>
      <c r="H234" s="1" t="s">
        <v>89</v>
      </c>
      <c r="I234" s="61" t="n">
        <v>30</v>
      </c>
      <c r="J234" s="61" t="s">
        <v>89</v>
      </c>
      <c r="K234" s="61" t="n">
        <v>20</v>
      </c>
      <c r="L234" s="61" t="n">
        <v>3</v>
      </c>
      <c r="M234" s="61" t="n">
        <v>62</v>
      </c>
      <c r="N234" s="1"/>
    </row>
    <row r="235" customFormat="false" ht="23" hidden="false" customHeight="true" outlineLevel="0" collapsed="false">
      <c r="A235" s="1" t="n">
        <v>3459</v>
      </c>
      <c r="B235" s="1" t="s">
        <v>313</v>
      </c>
      <c r="C235" s="1" t="s">
        <v>51</v>
      </c>
      <c r="D235" s="60" t="n">
        <v>45576</v>
      </c>
      <c r="E235" s="1" t="s">
        <v>92</v>
      </c>
      <c r="F235" s="61" t="n">
        <v>10</v>
      </c>
      <c r="G235" s="1" t="s">
        <v>90</v>
      </c>
      <c r="H235" s="1" t="s">
        <v>92</v>
      </c>
      <c r="I235" s="61" t="s">
        <v>94</v>
      </c>
      <c r="J235" s="61" t="s">
        <v>89</v>
      </c>
      <c r="K235" s="61" t="n">
        <v>20</v>
      </c>
      <c r="L235" s="61" t="n">
        <v>10</v>
      </c>
      <c r="M235" s="61" t="n">
        <v>20</v>
      </c>
      <c r="N235" s="1"/>
    </row>
    <row r="236" customFormat="false" ht="23" hidden="false" customHeight="true" outlineLevel="0" collapsed="false">
      <c r="A236" s="1" t="n">
        <v>3460</v>
      </c>
      <c r="B236" s="1" t="s">
        <v>221</v>
      </c>
      <c r="C236" s="1" t="s">
        <v>49</v>
      </c>
      <c r="D236" s="60" t="n">
        <v>45577</v>
      </c>
      <c r="E236" s="1" t="s">
        <v>89</v>
      </c>
      <c r="F236" s="61" t="n">
        <v>5</v>
      </c>
      <c r="G236" s="1" t="s">
        <v>96</v>
      </c>
      <c r="H236" s="1" t="s">
        <v>92</v>
      </c>
      <c r="I236" s="61" t="s">
        <v>94</v>
      </c>
      <c r="J236" s="61" t="s">
        <v>92</v>
      </c>
      <c r="K236" s="61" t="n">
        <v>0</v>
      </c>
      <c r="L236" s="61" t="n">
        <v>0</v>
      </c>
      <c r="M236" s="61" t="n">
        <v>5</v>
      </c>
      <c r="N236" s="1"/>
    </row>
    <row r="237" customFormat="false" ht="23" hidden="false" customHeight="true" outlineLevel="0" collapsed="false">
      <c r="A237" s="1" t="n">
        <v>3461</v>
      </c>
      <c r="B237" s="1" t="s">
        <v>314</v>
      </c>
      <c r="C237" s="1" t="s">
        <v>53</v>
      </c>
      <c r="D237" s="60" t="n">
        <v>45578</v>
      </c>
      <c r="E237" s="1" t="s">
        <v>92</v>
      </c>
      <c r="F237" s="61" t="n">
        <v>15</v>
      </c>
      <c r="G237" s="1" t="s">
        <v>90</v>
      </c>
      <c r="H237" s="1" t="s">
        <v>89</v>
      </c>
      <c r="I237" s="61" t="n">
        <v>30</v>
      </c>
      <c r="J237" s="61" t="s">
        <v>89</v>
      </c>
      <c r="K237" s="61" t="n">
        <v>20</v>
      </c>
      <c r="L237" s="61" t="n">
        <v>15</v>
      </c>
      <c r="M237" s="61" t="n">
        <v>50</v>
      </c>
      <c r="N237" s="1"/>
    </row>
    <row r="238" customFormat="false" ht="23" hidden="false" customHeight="true" outlineLevel="0" collapsed="false">
      <c r="A238" s="1" t="n">
        <v>3462</v>
      </c>
      <c r="B238" s="1" t="s">
        <v>315</v>
      </c>
      <c r="C238" s="1" t="s">
        <v>51</v>
      </c>
      <c r="D238" s="60" t="n">
        <v>45579</v>
      </c>
      <c r="E238" s="1" t="s">
        <v>89</v>
      </c>
      <c r="F238" s="61" t="n">
        <v>10</v>
      </c>
      <c r="G238" s="1" t="s">
        <v>93</v>
      </c>
      <c r="H238" s="1" t="s">
        <v>92</v>
      </c>
      <c r="I238" s="61" t="s">
        <v>94</v>
      </c>
      <c r="J238" s="61" t="s">
        <v>89</v>
      </c>
      <c r="K238" s="61" t="n">
        <v>20</v>
      </c>
      <c r="L238" s="61" t="n">
        <v>15</v>
      </c>
      <c r="M238" s="61" t="n">
        <v>15</v>
      </c>
      <c r="N238" s="1"/>
    </row>
    <row r="239" customFormat="false" ht="23" hidden="false" customHeight="true" outlineLevel="0" collapsed="false">
      <c r="A239" s="1" t="n">
        <v>3463</v>
      </c>
      <c r="B239" s="1" t="s">
        <v>316</v>
      </c>
      <c r="C239" s="1" t="s">
        <v>49</v>
      </c>
      <c r="D239" s="60" t="n">
        <v>45580</v>
      </c>
      <c r="E239" s="1" t="s">
        <v>92</v>
      </c>
      <c r="F239" s="61" t="n">
        <v>5</v>
      </c>
      <c r="G239" s="1" t="s">
        <v>90</v>
      </c>
      <c r="H239" s="1" t="s">
        <v>92</v>
      </c>
      <c r="I239" s="61" t="s">
        <v>94</v>
      </c>
      <c r="J239" s="61" t="s">
        <v>92</v>
      </c>
      <c r="K239" s="61" t="n">
        <v>0</v>
      </c>
      <c r="L239" s="61" t="n">
        <v>1</v>
      </c>
      <c r="M239" s="61" t="n">
        <v>4</v>
      </c>
      <c r="N239" s="1"/>
    </row>
    <row r="240" customFormat="false" ht="23" hidden="false" customHeight="true" outlineLevel="0" collapsed="false">
      <c r="A240" s="1" t="n">
        <v>3464</v>
      </c>
      <c r="B240" s="1" t="s">
        <v>317</v>
      </c>
      <c r="C240" s="1" t="s">
        <v>53</v>
      </c>
      <c r="D240" s="60" t="n">
        <v>45581</v>
      </c>
      <c r="E240" s="1" t="s">
        <v>89</v>
      </c>
      <c r="F240" s="61" t="n">
        <v>15</v>
      </c>
      <c r="G240" s="1" t="s">
        <v>96</v>
      </c>
      <c r="H240" s="1" t="s">
        <v>89</v>
      </c>
      <c r="I240" s="61" t="n">
        <v>30</v>
      </c>
      <c r="J240" s="61" t="s">
        <v>89</v>
      </c>
      <c r="K240" s="61" t="n">
        <v>20</v>
      </c>
      <c r="L240" s="61" t="n">
        <v>7</v>
      </c>
      <c r="M240" s="61" t="n">
        <v>58</v>
      </c>
      <c r="N240" s="1"/>
    </row>
    <row r="241" customFormat="false" ht="23" hidden="false" customHeight="true" outlineLevel="0" collapsed="false">
      <c r="A241" s="1" t="n">
        <v>3465</v>
      </c>
      <c r="B241" s="1" t="s">
        <v>318</v>
      </c>
      <c r="C241" s="1" t="s">
        <v>51</v>
      </c>
      <c r="D241" s="60" t="n">
        <v>45582</v>
      </c>
      <c r="E241" s="1" t="s">
        <v>92</v>
      </c>
      <c r="F241" s="61" t="n">
        <v>10</v>
      </c>
      <c r="G241" s="1" t="s">
        <v>90</v>
      </c>
      <c r="H241" s="1" t="s">
        <v>92</v>
      </c>
      <c r="I241" s="61" t="s">
        <v>94</v>
      </c>
      <c r="J241" s="61" t="s">
        <v>89</v>
      </c>
      <c r="K241" s="61" t="n">
        <v>20</v>
      </c>
      <c r="L241" s="61" t="n">
        <v>10</v>
      </c>
      <c r="M241" s="61" t="n">
        <v>20</v>
      </c>
      <c r="N241" s="1"/>
    </row>
    <row r="242" customFormat="false" ht="23" hidden="false" customHeight="true" outlineLevel="0" collapsed="false">
      <c r="A242" s="1" t="n">
        <v>3466</v>
      </c>
      <c r="B242" s="1" t="s">
        <v>319</v>
      </c>
      <c r="C242" s="1" t="s">
        <v>49</v>
      </c>
      <c r="D242" s="60" t="n">
        <v>45583</v>
      </c>
      <c r="E242" s="1" t="s">
        <v>89</v>
      </c>
      <c r="F242" s="61" t="n">
        <v>5</v>
      </c>
      <c r="G242" s="1" t="s">
        <v>93</v>
      </c>
      <c r="H242" s="1" t="s">
        <v>92</v>
      </c>
      <c r="I242" s="61" t="s">
        <v>94</v>
      </c>
      <c r="J242" s="61" t="s">
        <v>92</v>
      </c>
      <c r="K242" s="61" t="n">
        <v>0</v>
      </c>
      <c r="L242" s="61" t="n">
        <v>0</v>
      </c>
      <c r="M242" s="61" t="n">
        <v>5</v>
      </c>
      <c r="N242" s="1"/>
    </row>
    <row r="243" customFormat="false" ht="23" hidden="false" customHeight="true" outlineLevel="0" collapsed="false">
      <c r="A243" s="1" t="n">
        <v>3467</v>
      </c>
      <c r="B243" s="1" t="s">
        <v>320</v>
      </c>
      <c r="C243" s="1" t="s">
        <v>53</v>
      </c>
      <c r="D243" s="60" t="n">
        <v>45584</v>
      </c>
      <c r="E243" s="1" t="s">
        <v>92</v>
      </c>
      <c r="F243" s="61" t="n">
        <v>15</v>
      </c>
      <c r="G243" s="1" t="s">
        <v>90</v>
      </c>
      <c r="H243" s="1" t="s">
        <v>89</v>
      </c>
      <c r="I243" s="61" t="n">
        <v>30</v>
      </c>
      <c r="J243" s="61" t="s">
        <v>89</v>
      </c>
      <c r="K243" s="61" t="n">
        <v>20</v>
      </c>
      <c r="L243" s="61" t="n">
        <v>15</v>
      </c>
      <c r="M243" s="61" t="n">
        <v>50</v>
      </c>
      <c r="N243" s="1"/>
    </row>
    <row r="244" customFormat="false" ht="23" hidden="false" customHeight="true" outlineLevel="0" collapsed="false">
      <c r="A244" s="1" t="n">
        <v>3468</v>
      </c>
      <c r="B244" s="1" t="s">
        <v>321</v>
      </c>
      <c r="C244" s="1" t="s">
        <v>51</v>
      </c>
      <c r="D244" s="60" t="n">
        <v>45585</v>
      </c>
      <c r="E244" s="1" t="s">
        <v>89</v>
      </c>
      <c r="F244" s="61" t="n">
        <v>10</v>
      </c>
      <c r="G244" s="1" t="s">
        <v>96</v>
      </c>
      <c r="H244" s="1" t="s">
        <v>92</v>
      </c>
      <c r="I244" s="61" t="s">
        <v>94</v>
      </c>
      <c r="J244" s="61" t="s">
        <v>89</v>
      </c>
      <c r="K244" s="61" t="n">
        <v>20</v>
      </c>
      <c r="L244" s="61" t="n">
        <v>12</v>
      </c>
      <c r="M244" s="61" t="n">
        <v>18</v>
      </c>
      <c r="N244" s="1"/>
    </row>
    <row r="245" customFormat="false" ht="23" hidden="false" customHeight="true" outlineLevel="0" collapsed="false">
      <c r="A245" s="1" t="n">
        <v>3469</v>
      </c>
      <c r="B245" s="1" t="s">
        <v>322</v>
      </c>
      <c r="C245" s="1" t="s">
        <v>49</v>
      </c>
      <c r="D245" s="60" t="n">
        <v>45586</v>
      </c>
      <c r="E245" s="1" t="s">
        <v>92</v>
      </c>
      <c r="F245" s="61" t="n">
        <v>5</v>
      </c>
      <c r="G245" s="1" t="s">
        <v>90</v>
      </c>
      <c r="H245" s="1" t="s">
        <v>92</v>
      </c>
      <c r="I245" s="61" t="s">
        <v>94</v>
      </c>
      <c r="J245" s="61" t="s">
        <v>92</v>
      </c>
      <c r="K245" s="61" t="n">
        <v>0</v>
      </c>
      <c r="L245" s="61" t="n">
        <v>2</v>
      </c>
      <c r="M245" s="61" t="n">
        <v>3</v>
      </c>
      <c r="N245" s="1"/>
    </row>
    <row r="246" customFormat="false" ht="23" hidden="false" customHeight="true" outlineLevel="0" collapsed="false">
      <c r="A246" s="1" t="n">
        <v>3470</v>
      </c>
      <c r="B246" s="1" t="s">
        <v>323</v>
      </c>
      <c r="C246" s="1" t="s">
        <v>53</v>
      </c>
      <c r="D246" s="60" t="n">
        <v>45587</v>
      </c>
      <c r="E246" s="1" t="s">
        <v>89</v>
      </c>
      <c r="F246" s="61" t="n">
        <v>15</v>
      </c>
      <c r="G246" s="1" t="s">
        <v>93</v>
      </c>
      <c r="H246" s="1" t="s">
        <v>89</v>
      </c>
      <c r="I246" s="61" t="n">
        <v>30</v>
      </c>
      <c r="J246" s="61" t="s">
        <v>89</v>
      </c>
      <c r="K246" s="61" t="n">
        <v>20</v>
      </c>
      <c r="L246" s="61" t="n">
        <v>5</v>
      </c>
      <c r="M246" s="61" t="n">
        <v>60</v>
      </c>
      <c r="N246" s="1"/>
    </row>
    <row r="247" customFormat="false" ht="23" hidden="false" customHeight="true" outlineLevel="0" collapsed="false">
      <c r="A247" s="1" t="n">
        <v>3471</v>
      </c>
      <c r="B247" s="1" t="s">
        <v>324</v>
      </c>
      <c r="C247" s="1" t="s">
        <v>51</v>
      </c>
      <c r="D247" s="60" t="n">
        <v>45588</v>
      </c>
      <c r="E247" s="1" t="s">
        <v>92</v>
      </c>
      <c r="F247" s="61" t="n">
        <v>10</v>
      </c>
      <c r="G247" s="1" t="s">
        <v>90</v>
      </c>
      <c r="H247" s="1" t="s">
        <v>92</v>
      </c>
      <c r="I247" s="61" t="s">
        <v>94</v>
      </c>
      <c r="J247" s="61" t="s">
        <v>89</v>
      </c>
      <c r="K247" s="61" t="n">
        <v>20</v>
      </c>
      <c r="L247" s="61" t="n">
        <v>10</v>
      </c>
      <c r="M247" s="61" t="n">
        <v>20</v>
      </c>
      <c r="N247" s="1"/>
    </row>
    <row r="248" customFormat="false" ht="23" hidden="false" customHeight="true" outlineLevel="0" collapsed="false">
      <c r="A248" s="1" t="n">
        <v>3472</v>
      </c>
      <c r="B248" s="1" t="s">
        <v>325</v>
      </c>
      <c r="C248" s="1" t="s">
        <v>49</v>
      </c>
      <c r="D248" s="60" t="n">
        <v>45589</v>
      </c>
      <c r="E248" s="1" t="s">
        <v>89</v>
      </c>
      <c r="F248" s="61" t="n">
        <v>5</v>
      </c>
      <c r="G248" s="1" t="s">
        <v>96</v>
      </c>
      <c r="H248" s="1" t="s">
        <v>92</v>
      </c>
      <c r="I248" s="61" t="s">
        <v>94</v>
      </c>
      <c r="J248" s="61" t="s">
        <v>92</v>
      </c>
      <c r="K248" s="61" t="n">
        <v>0</v>
      </c>
      <c r="L248" s="61" t="n">
        <v>0</v>
      </c>
      <c r="M248" s="61" t="n">
        <v>5</v>
      </c>
      <c r="N248" s="1"/>
    </row>
    <row r="249" customFormat="false" ht="23" hidden="false" customHeight="true" outlineLevel="0" collapsed="false">
      <c r="A249" s="1" t="n">
        <v>3473</v>
      </c>
      <c r="B249" s="1" t="s">
        <v>234</v>
      </c>
      <c r="C249" s="1" t="s">
        <v>53</v>
      </c>
      <c r="D249" s="60" t="n">
        <v>45590</v>
      </c>
      <c r="E249" s="1" t="s">
        <v>92</v>
      </c>
      <c r="F249" s="61" t="n">
        <v>15</v>
      </c>
      <c r="G249" s="1" t="s">
        <v>90</v>
      </c>
      <c r="H249" s="1" t="s">
        <v>89</v>
      </c>
      <c r="I249" s="61" t="n">
        <v>30</v>
      </c>
      <c r="J249" s="61" t="s">
        <v>89</v>
      </c>
      <c r="K249" s="61" t="n">
        <v>20</v>
      </c>
      <c r="L249" s="61" t="n">
        <v>3</v>
      </c>
      <c r="M249" s="61" t="n">
        <v>62</v>
      </c>
      <c r="N249" s="1"/>
    </row>
    <row r="250" customFormat="false" ht="23" hidden="false" customHeight="true" outlineLevel="0" collapsed="false">
      <c r="A250" s="1" t="n">
        <v>3474</v>
      </c>
      <c r="B250" s="1" t="s">
        <v>326</v>
      </c>
      <c r="C250" s="1" t="s">
        <v>51</v>
      </c>
      <c r="D250" s="60" t="n">
        <v>45591</v>
      </c>
      <c r="E250" s="1" t="s">
        <v>89</v>
      </c>
      <c r="F250" s="61" t="n">
        <v>10</v>
      </c>
      <c r="G250" s="1" t="s">
        <v>93</v>
      </c>
      <c r="H250" s="1" t="s">
        <v>92</v>
      </c>
      <c r="I250" s="61" t="s">
        <v>94</v>
      </c>
      <c r="J250" s="61" t="s">
        <v>89</v>
      </c>
      <c r="K250" s="61" t="n">
        <v>20</v>
      </c>
      <c r="L250" s="61" t="n">
        <v>15</v>
      </c>
      <c r="M250" s="61" t="n">
        <v>15</v>
      </c>
      <c r="N250" s="1"/>
    </row>
    <row r="251" customFormat="false" ht="23" hidden="false" customHeight="true" outlineLevel="0" collapsed="false">
      <c r="A251" s="1" t="n">
        <v>3475</v>
      </c>
      <c r="B251" s="1" t="s">
        <v>327</v>
      </c>
      <c r="C251" s="1" t="s">
        <v>49</v>
      </c>
      <c r="D251" s="60" t="n">
        <v>45592</v>
      </c>
      <c r="E251" s="1" t="s">
        <v>92</v>
      </c>
      <c r="F251" s="61" t="n">
        <v>5</v>
      </c>
      <c r="G251" s="1" t="s">
        <v>90</v>
      </c>
      <c r="H251" s="1" t="s">
        <v>92</v>
      </c>
      <c r="I251" s="61" t="s">
        <v>94</v>
      </c>
      <c r="J251" s="61" t="s">
        <v>92</v>
      </c>
      <c r="K251" s="61" t="n">
        <v>0</v>
      </c>
      <c r="L251" s="61" t="n">
        <v>1</v>
      </c>
      <c r="M251" s="61" t="n">
        <v>4</v>
      </c>
      <c r="N251" s="1"/>
    </row>
    <row r="252" customFormat="false" ht="23" hidden="false" customHeight="true" outlineLevel="0" collapsed="false">
      <c r="A252" s="1" t="n">
        <v>3476</v>
      </c>
      <c r="B252" s="1" t="s">
        <v>328</v>
      </c>
      <c r="C252" s="1" t="s">
        <v>53</v>
      </c>
      <c r="D252" s="60" t="n">
        <v>45593</v>
      </c>
      <c r="E252" s="1" t="s">
        <v>89</v>
      </c>
      <c r="F252" s="61" t="n">
        <v>15</v>
      </c>
      <c r="G252" s="1" t="s">
        <v>96</v>
      </c>
      <c r="H252" s="1" t="s">
        <v>89</v>
      </c>
      <c r="I252" s="61" t="n">
        <v>30</v>
      </c>
      <c r="J252" s="61" t="s">
        <v>89</v>
      </c>
      <c r="K252" s="61" t="n">
        <v>20</v>
      </c>
      <c r="L252" s="61" t="n">
        <v>7</v>
      </c>
      <c r="M252" s="61" t="n">
        <v>58</v>
      </c>
      <c r="N252" s="1"/>
    </row>
    <row r="253" customFormat="false" ht="23" hidden="false" customHeight="true" outlineLevel="0" collapsed="false">
      <c r="A253" s="1" t="n">
        <v>3477</v>
      </c>
      <c r="B253" s="1" t="s">
        <v>329</v>
      </c>
      <c r="C253" s="1" t="s">
        <v>51</v>
      </c>
      <c r="D253" s="60" t="n">
        <v>45594</v>
      </c>
      <c r="E253" s="1" t="s">
        <v>92</v>
      </c>
      <c r="F253" s="61" t="n">
        <v>10</v>
      </c>
      <c r="G253" s="1" t="s">
        <v>90</v>
      </c>
      <c r="H253" s="1" t="s">
        <v>92</v>
      </c>
      <c r="I253" s="61" t="s">
        <v>94</v>
      </c>
      <c r="J253" s="61" t="s">
        <v>89</v>
      </c>
      <c r="K253" s="61" t="n">
        <v>20</v>
      </c>
      <c r="L253" s="61" t="n">
        <v>10</v>
      </c>
      <c r="M253" s="61" t="n">
        <v>20</v>
      </c>
      <c r="N253" s="1"/>
    </row>
    <row r="254" customFormat="false" ht="23" hidden="false" customHeight="true" outlineLevel="0" collapsed="false">
      <c r="A254" s="1" t="n">
        <v>3478</v>
      </c>
      <c r="B254" s="1" t="s">
        <v>330</v>
      </c>
      <c r="C254" s="1" t="s">
        <v>49</v>
      </c>
      <c r="D254" s="60" t="n">
        <v>45595</v>
      </c>
      <c r="E254" s="1" t="s">
        <v>89</v>
      </c>
      <c r="F254" s="61" t="n">
        <v>5</v>
      </c>
      <c r="G254" s="1" t="s">
        <v>93</v>
      </c>
      <c r="H254" s="1" t="s">
        <v>92</v>
      </c>
      <c r="I254" s="61" t="s">
        <v>94</v>
      </c>
      <c r="J254" s="61" t="s">
        <v>92</v>
      </c>
      <c r="K254" s="61" t="n">
        <v>0</v>
      </c>
      <c r="L254" s="61" t="n">
        <v>0</v>
      </c>
      <c r="M254" s="61" t="n">
        <v>5</v>
      </c>
      <c r="N254" s="1"/>
    </row>
    <row r="255" customFormat="false" ht="23" hidden="false" customHeight="true" outlineLevel="0" collapsed="false">
      <c r="A255" s="1" t="n">
        <v>3479</v>
      </c>
      <c r="B255" s="1" t="s">
        <v>331</v>
      </c>
      <c r="C255" s="1" t="s">
        <v>53</v>
      </c>
      <c r="D255" s="60" t="n">
        <v>45596</v>
      </c>
      <c r="E255" s="1" t="s">
        <v>92</v>
      </c>
      <c r="F255" s="61" t="n">
        <v>15</v>
      </c>
      <c r="G255" s="1" t="s">
        <v>90</v>
      </c>
      <c r="H255" s="1" t="s">
        <v>89</v>
      </c>
      <c r="I255" s="61" t="n">
        <v>30</v>
      </c>
      <c r="J255" s="61" t="s">
        <v>89</v>
      </c>
      <c r="K255" s="61" t="n">
        <v>20</v>
      </c>
      <c r="L255" s="61" t="n">
        <v>20</v>
      </c>
      <c r="M255" s="61" t="n">
        <v>45</v>
      </c>
      <c r="N255" s="1"/>
    </row>
    <row r="256" customFormat="false" ht="23" hidden="false" customHeight="true" outlineLevel="0" collapsed="false">
      <c r="A256" s="1" t="n">
        <v>3480</v>
      </c>
      <c r="B256" s="1" t="s">
        <v>332</v>
      </c>
      <c r="C256" s="1" t="s">
        <v>51</v>
      </c>
      <c r="D256" s="60" t="n">
        <v>45597</v>
      </c>
      <c r="E256" s="1" t="s">
        <v>89</v>
      </c>
      <c r="F256" s="61" t="n">
        <v>10</v>
      </c>
      <c r="G256" s="1" t="s">
        <v>96</v>
      </c>
      <c r="H256" s="1" t="s">
        <v>92</v>
      </c>
      <c r="I256" s="61" t="s">
        <v>94</v>
      </c>
      <c r="J256" s="61" t="s">
        <v>89</v>
      </c>
      <c r="K256" s="61" t="n">
        <v>20</v>
      </c>
      <c r="L256" s="61" t="n">
        <v>15</v>
      </c>
      <c r="M256" s="61" t="n">
        <v>15</v>
      </c>
      <c r="N256" s="1"/>
    </row>
    <row r="257" customFormat="false" ht="23" hidden="false" customHeight="true" outlineLevel="0" collapsed="false">
      <c r="A257" s="1" t="n">
        <v>3481</v>
      </c>
      <c r="B257" s="1" t="s">
        <v>333</v>
      </c>
      <c r="C257" s="1" t="s">
        <v>49</v>
      </c>
      <c r="D257" s="60" t="n">
        <v>45598</v>
      </c>
      <c r="E257" s="1" t="s">
        <v>92</v>
      </c>
      <c r="F257" s="61" t="n">
        <v>5</v>
      </c>
      <c r="G257" s="1" t="s">
        <v>90</v>
      </c>
      <c r="H257" s="1" t="s">
        <v>92</v>
      </c>
      <c r="I257" s="61" t="s">
        <v>94</v>
      </c>
      <c r="J257" s="61" t="s">
        <v>92</v>
      </c>
      <c r="K257" s="61" t="n">
        <v>0</v>
      </c>
      <c r="L257" s="61" t="n">
        <v>1</v>
      </c>
      <c r="M257" s="61" t="n">
        <v>4</v>
      </c>
      <c r="N257" s="1"/>
    </row>
    <row r="258" customFormat="false" ht="23" hidden="false" customHeight="true" outlineLevel="0" collapsed="false">
      <c r="A258" s="1" t="n">
        <v>3482</v>
      </c>
      <c r="B258" s="1" t="s">
        <v>334</v>
      </c>
      <c r="C258" s="1" t="s">
        <v>53</v>
      </c>
      <c r="D258" s="60" t="n">
        <v>45599</v>
      </c>
      <c r="E258" s="1" t="s">
        <v>89</v>
      </c>
      <c r="F258" s="61" t="n">
        <v>15</v>
      </c>
      <c r="G258" s="1" t="s">
        <v>93</v>
      </c>
      <c r="H258" s="1" t="s">
        <v>89</v>
      </c>
      <c r="I258" s="61" t="n">
        <v>30</v>
      </c>
      <c r="J258" s="61" t="s">
        <v>89</v>
      </c>
      <c r="K258" s="61" t="n">
        <v>20</v>
      </c>
      <c r="L258" s="61" t="n">
        <v>3</v>
      </c>
      <c r="M258" s="61" t="n">
        <v>62</v>
      </c>
      <c r="N258" s="1"/>
    </row>
    <row r="259" customFormat="false" ht="23" hidden="false" customHeight="true" outlineLevel="0" collapsed="false">
      <c r="A259" s="1" t="n">
        <v>3483</v>
      </c>
      <c r="B259" s="1" t="s">
        <v>335</v>
      </c>
      <c r="C259" s="1" t="s">
        <v>51</v>
      </c>
      <c r="D259" s="60" t="n">
        <v>45600</v>
      </c>
      <c r="E259" s="1" t="s">
        <v>92</v>
      </c>
      <c r="F259" s="61" t="n">
        <v>10</v>
      </c>
      <c r="G259" s="1" t="s">
        <v>90</v>
      </c>
      <c r="H259" s="1" t="s">
        <v>92</v>
      </c>
      <c r="I259" s="61" t="s">
        <v>94</v>
      </c>
      <c r="J259" s="61" t="s">
        <v>89</v>
      </c>
      <c r="K259" s="61" t="n">
        <v>20</v>
      </c>
      <c r="L259" s="61" t="n">
        <v>10</v>
      </c>
      <c r="M259" s="61" t="n">
        <v>20</v>
      </c>
      <c r="N259" s="1"/>
    </row>
    <row r="260" customFormat="false" ht="23" hidden="false" customHeight="true" outlineLevel="0" collapsed="false">
      <c r="A260" s="1" t="n">
        <v>3484</v>
      </c>
      <c r="B260" s="1" t="s">
        <v>336</v>
      </c>
      <c r="C260" s="1" t="s">
        <v>49</v>
      </c>
      <c r="D260" s="60" t="n">
        <v>45601</v>
      </c>
      <c r="E260" s="1" t="s">
        <v>89</v>
      </c>
      <c r="F260" s="61" t="n">
        <v>5</v>
      </c>
      <c r="G260" s="1" t="s">
        <v>96</v>
      </c>
      <c r="H260" s="1" t="s">
        <v>92</v>
      </c>
      <c r="I260" s="61" t="s">
        <v>94</v>
      </c>
      <c r="J260" s="61" t="s">
        <v>92</v>
      </c>
      <c r="K260" s="61" t="n">
        <v>0</v>
      </c>
      <c r="L260" s="61" t="n">
        <v>0</v>
      </c>
      <c r="M260" s="61" t="n">
        <v>5</v>
      </c>
      <c r="N260" s="1"/>
    </row>
    <row r="261" customFormat="false" ht="23" hidden="false" customHeight="true" outlineLevel="0" collapsed="false">
      <c r="A261" s="1" t="n">
        <v>3485</v>
      </c>
      <c r="B261" s="1" t="s">
        <v>337</v>
      </c>
      <c r="C261" s="1" t="s">
        <v>53</v>
      </c>
      <c r="D261" s="60" t="n">
        <v>45602</v>
      </c>
      <c r="E261" s="1" t="s">
        <v>92</v>
      </c>
      <c r="F261" s="61" t="n">
        <v>15</v>
      </c>
      <c r="G261" s="1" t="s">
        <v>90</v>
      </c>
      <c r="H261" s="1" t="s">
        <v>89</v>
      </c>
      <c r="I261" s="61" t="n">
        <v>30</v>
      </c>
      <c r="J261" s="61" t="s">
        <v>89</v>
      </c>
      <c r="K261" s="61" t="n">
        <v>20</v>
      </c>
      <c r="L261" s="61" t="n">
        <v>15</v>
      </c>
      <c r="M261" s="61" t="n">
        <v>50</v>
      </c>
      <c r="N261" s="1"/>
    </row>
    <row r="262" customFormat="false" ht="23" hidden="false" customHeight="true" outlineLevel="0" collapsed="false">
      <c r="A262" s="1" t="n">
        <v>3486</v>
      </c>
      <c r="B262" s="1" t="s">
        <v>338</v>
      </c>
      <c r="C262" s="1" t="s">
        <v>49</v>
      </c>
      <c r="D262" s="60" t="n">
        <v>45603</v>
      </c>
      <c r="E262" s="1" t="s">
        <v>89</v>
      </c>
      <c r="F262" s="61" t="n">
        <v>5</v>
      </c>
      <c r="G262" s="1" t="s">
        <v>90</v>
      </c>
      <c r="H262" s="1" t="s">
        <v>92</v>
      </c>
      <c r="I262" s="61" t="s">
        <v>94</v>
      </c>
      <c r="J262" s="61" t="s">
        <v>92</v>
      </c>
      <c r="K262" s="61" t="n">
        <v>0</v>
      </c>
      <c r="L262" s="61" t="n">
        <v>0</v>
      </c>
      <c r="M262" s="61" t="n">
        <v>5</v>
      </c>
      <c r="N262" s="1"/>
    </row>
    <row r="263" customFormat="false" ht="23" hidden="false" customHeight="true" outlineLevel="0" collapsed="false">
      <c r="A263" s="1" t="n">
        <v>3487</v>
      </c>
      <c r="B263" s="1" t="s">
        <v>339</v>
      </c>
      <c r="C263" s="1" t="s">
        <v>53</v>
      </c>
      <c r="D263" s="60" t="n">
        <v>45604</v>
      </c>
      <c r="E263" s="1" t="s">
        <v>92</v>
      </c>
      <c r="F263" s="61" t="n">
        <v>15</v>
      </c>
      <c r="G263" s="1" t="s">
        <v>96</v>
      </c>
      <c r="H263" s="1" t="s">
        <v>89</v>
      </c>
      <c r="I263" s="61" t="n">
        <v>30</v>
      </c>
      <c r="J263" s="61" t="s">
        <v>89</v>
      </c>
      <c r="K263" s="61" t="n">
        <v>20</v>
      </c>
      <c r="L263" s="61" t="n">
        <v>7</v>
      </c>
      <c r="M263" s="61" t="n">
        <v>58</v>
      </c>
      <c r="N263" s="1"/>
    </row>
    <row r="264" customFormat="false" ht="23" hidden="false" customHeight="true" outlineLevel="0" collapsed="false">
      <c r="A264" s="1" t="n">
        <v>3488</v>
      </c>
      <c r="B264" s="1" t="s">
        <v>340</v>
      </c>
      <c r="C264" s="1" t="s">
        <v>51</v>
      </c>
      <c r="D264" s="60" t="n">
        <v>45605</v>
      </c>
      <c r="E264" s="1" t="s">
        <v>89</v>
      </c>
      <c r="F264" s="61" t="n">
        <v>10</v>
      </c>
      <c r="G264" s="1" t="s">
        <v>93</v>
      </c>
      <c r="H264" s="1" t="s">
        <v>92</v>
      </c>
      <c r="I264" s="61" t="s">
        <v>94</v>
      </c>
      <c r="J264" s="61" t="s">
        <v>89</v>
      </c>
      <c r="K264" s="61" t="n">
        <v>20</v>
      </c>
      <c r="L264" s="61" t="n">
        <v>10</v>
      </c>
      <c r="M264" s="61" t="n">
        <v>20</v>
      </c>
      <c r="N264" s="1"/>
    </row>
    <row r="265" customFormat="false" ht="23" hidden="false" customHeight="true" outlineLevel="0" collapsed="false">
      <c r="A265" s="1" t="n">
        <v>3489</v>
      </c>
      <c r="B265" s="1" t="s">
        <v>341</v>
      </c>
      <c r="C265" s="1" t="s">
        <v>49</v>
      </c>
      <c r="D265" s="60" t="n">
        <v>45606</v>
      </c>
      <c r="E265" s="1" t="s">
        <v>92</v>
      </c>
      <c r="F265" s="61" t="n">
        <v>5</v>
      </c>
      <c r="G265" s="1" t="s">
        <v>96</v>
      </c>
      <c r="H265" s="1" t="s">
        <v>92</v>
      </c>
      <c r="I265" s="61" t="s">
        <v>94</v>
      </c>
      <c r="J265" s="61" t="s">
        <v>92</v>
      </c>
      <c r="K265" s="61" t="n">
        <v>0</v>
      </c>
      <c r="L265" s="61" t="n">
        <v>1</v>
      </c>
      <c r="M265" s="61" t="n">
        <v>4</v>
      </c>
      <c r="N265" s="1"/>
    </row>
    <row r="266" customFormat="false" ht="23" hidden="false" customHeight="true" outlineLevel="0" collapsed="false">
      <c r="A266" s="1" t="n">
        <v>3490</v>
      </c>
      <c r="B266" s="1" t="s">
        <v>342</v>
      </c>
      <c r="C266" s="1" t="s">
        <v>53</v>
      </c>
      <c r="D266" s="60" t="n">
        <v>45607</v>
      </c>
      <c r="E266" s="1" t="s">
        <v>89</v>
      </c>
      <c r="F266" s="61" t="n">
        <v>15</v>
      </c>
      <c r="G266" s="1" t="s">
        <v>90</v>
      </c>
      <c r="H266" s="1" t="s">
        <v>89</v>
      </c>
      <c r="I266" s="61" t="n">
        <v>30</v>
      </c>
      <c r="J266" s="61" t="s">
        <v>89</v>
      </c>
      <c r="K266" s="61" t="n">
        <v>20</v>
      </c>
      <c r="L266" s="61" t="n">
        <v>15</v>
      </c>
      <c r="M266" s="61" t="n">
        <v>50</v>
      </c>
      <c r="N266" s="1"/>
    </row>
    <row r="267" customFormat="false" ht="23" hidden="false" customHeight="true" outlineLevel="0" collapsed="false">
      <c r="A267" s="1" t="n">
        <v>3491</v>
      </c>
      <c r="B267" s="1" t="s">
        <v>343</v>
      </c>
      <c r="C267" s="1" t="s">
        <v>51</v>
      </c>
      <c r="D267" s="60" t="n">
        <v>45608</v>
      </c>
      <c r="E267" s="1" t="s">
        <v>92</v>
      </c>
      <c r="F267" s="61" t="n">
        <v>10</v>
      </c>
      <c r="G267" s="1" t="s">
        <v>90</v>
      </c>
      <c r="H267" s="1" t="s">
        <v>92</v>
      </c>
      <c r="I267" s="61" t="s">
        <v>94</v>
      </c>
      <c r="J267" s="61" t="s">
        <v>89</v>
      </c>
      <c r="K267" s="61" t="n">
        <v>20</v>
      </c>
      <c r="L267" s="61" t="n">
        <v>5</v>
      </c>
      <c r="M267" s="61" t="n">
        <v>25</v>
      </c>
      <c r="N267" s="1"/>
    </row>
    <row r="268" customFormat="false" ht="23" hidden="false" customHeight="true" outlineLevel="0" collapsed="false">
      <c r="A268" s="1" t="n">
        <v>3492</v>
      </c>
      <c r="B268" s="1" t="s">
        <v>344</v>
      </c>
      <c r="C268" s="1" t="s">
        <v>49</v>
      </c>
      <c r="D268" s="60" t="n">
        <v>45609</v>
      </c>
      <c r="E268" s="1" t="s">
        <v>89</v>
      </c>
      <c r="F268" s="61" t="n">
        <v>5</v>
      </c>
      <c r="G268" s="1" t="s">
        <v>93</v>
      </c>
      <c r="H268" s="1" t="s">
        <v>92</v>
      </c>
      <c r="I268" s="61" t="s">
        <v>94</v>
      </c>
      <c r="J268" s="61" t="s">
        <v>92</v>
      </c>
      <c r="K268" s="61" t="n">
        <v>0</v>
      </c>
      <c r="L268" s="61" t="n">
        <v>0</v>
      </c>
      <c r="M268" s="61" t="n">
        <v>5</v>
      </c>
      <c r="N268" s="1"/>
    </row>
    <row r="269" customFormat="false" ht="23" hidden="false" customHeight="true" outlineLevel="0" collapsed="false">
      <c r="A269" s="1" t="n">
        <v>3493</v>
      </c>
      <c r="B269" s="1" t="s">
        <v>345</v>
      </c>
      <c r="C269" s="1" t="s">
        <v>53</v>
      </c>
      <c r="D269" s="60" t="n">
        <v>45610</v>
      </c>
      <c r="E269" s="1" t="s">
        <v>92</v>
      </c>
      <c r="F269" s="61" t="n">
        <v>15</v>
      </c>
      <c r="G269" s="1" t="s">
        <v>96</v>
      </c>
      <c r="H269" s="1" t="s">
        <v>89</v>
      </c>
      <c r="I269" s="61" t="n">
        <v>30</v>
      </c>
      <c r="J269" s="61" t="s">
        <v>89</v>
      </c>
      <c r="K269" s="61" t="n">
        <v>20</v>
      </c>
      <c r="L269" s="61" t="n">
        <v>20</v>
      </c>
      <c r="M269" s="61" t="n">
        <v>45</v>
      </c>
      <c r="N269" s="1"/>
    </row>
    <row r="270" customFormat="false" ht="23" hidden="false" customHeight="true" outlineLevel="0" collapsed="false">
      <c r="A270" s="1" t="n">
        <v>3494</v>
      </c>
      <c r="B270" s="1" t="s">
        <v>346</v>
      </c>
      <c r="C270" s="1" t="s">
        <v>51</v>
      </c>
      <c r="D270" s="60" t="n">
        <v>45611</v>
      </c>
      <c r="E270" s="1" t="s">
        <v>89</v>
      </c>
      <c r="F270" s="61" t="n">
        <v>10</v>
      </c>
      <c r="G270" s="1" t="s">
        <v>96</v>
      </c>
      <c r="H270" s="1" t="s">
        <v>92</v>
      </c>
      <c r="I270" s="61" t="s">
        <v>94</v>
      </c>
      <c r="J270" s="61" t="s">
        <v>89</v>
      </c>
      <c r="K270" s="61" t="n">
        <v>20</v>
      </c>
      <c r="L270" s="61" t="n">
        <v>12</v>
      </c>
      <c r="M270" s="61" t="n">
        <v>18</v>
      </c>
      <c r="N270" s="1"/>
    </row>
    <row r="271" customFormat="false" ht="23" hidden="false" customHeight="true" outlineLevel="0" collapsed="false">
      <c r="A271" s="1" t="n">
        <v>3495</v>
      </c>
      <c r="B271" s="1" t="s">
        <v>347</v>
      </c>
      <c r="C271" s="1" t="s">
        <v>49</v>
      </c>
      <c r="D271" s="60" t="n">
        <v>45612</v>
      </c>
      <c r="E271" s="1" t="s">
        <v>92</v>
      </c>
      <c r="F271" s="61" t="n">
        <v>5</v>
      </c>
      <c r="G271" s="1" t="s">
        <v>90</v>
      </c>
      <c r="H271" s="1" t="s">
        <v>92</v>
      </c>
      <c r="I271" s="61" t="s">
        <v>94</v>
      </c>
      <c r="J271" s="61" t="s">
        <v>92</v>
      </c>
      <c r="K271" s="61" t="n">
        <v>0</v>
      </c>
      <c r="L271" s="61" t="n">
        <v>2</v>
      </c>
      <c r="M271" s="61" t="n">
        <v>3</v>
      </c>
      <c r="N271" s="1"/>
    </row>
    <row r="272" customFormat="false" ht="23" hidden="false" customHeight="true" outlineLevel="0" collapsed="false">
      <c r="A272" s="1" t="n">
        <v>3496</v>
      </c>
      <c r="B272" s="1" t="s">
        <v>348</v>
      </c>
      <c r="C272" s="1" t="s">
        <v>53</v>
      </c>
      <c r="D272" s="60" t="n">
        <v>45613</v>
      </c>
      <c r="E272" s="1" t="s">
        <v>89</v>
      </c>
      <c r="F272" s="61" t="n">
        <v>15</v>
      </c>
      <c r="G272" s="1" t="s">
        <v>93</v>
      </c>
      <c r="H272" s="1" t="s">
        <v>89</v>
      </c>
      <c r="I272" s="61" t="n">
        <v>30</v>
      </c>
      <c r="J272" s="61" t="s">
        <v>89</v>
      </c>
      <c r="K272" s="61" t="n">
        <v>20</v>
      </c>
      <c r="L272" s="61" t="n">
        <v>5</v>
      </c>
      <c r="M272" s="61" t="n">
        <v>60</v>
      </c>
      <c r="N272" s="1"/>
    </row>
    <row r="273" customFormat="false" ht="23" hidden="false" customHeight="true" outlineLevel="0" collapsed="false">
      <c r="A273" s="1" t="n">
        <v>3497</v>
      </c>
      <c r="B273" s="1" t="s">
        <v>349</v>
      </c>
      <c r="C273" s="1" t="s">
        <v>51</v>
      </c>
      <c r="D273" s="60" t="n">
        <v>45614</v>
      </c>
      <c r="E273" s="1" t="s">
        <v>92</v>
      </c>
      <c r="F273" s="61" t="n">
        <v>10</v>
      </c>
      <c r="G273" s="1" t="s">
        <v>90</v>
      </c>
      <c r="H273" s="1" t="s">
        <v>92</v>
      </c>
      <c r="I273" s="61" t="s">
        <v>94</v>
      </c>
      <c r="J273" s="61" t="s">
        <v>89</v>
      </c>
      <c r="K273" s="61" t="n">
        <v>20</v>
      </c>
      <c r="L273" s="61" t="n">
        <v>10</v>
      </c>
      <c r="M273" s="61" t="n">
        <v>20</v>
      </c>
      <c r="N273" s="1"/>
    </row>
    <row r="274" customFormat="false" ht="23" hidden="false" customHeight="true" outlineLevel="0" collapsed="false">
      <c r="A274" s="1" t="n">
        <v>3498</v>
      </c>
      <c r="B274" s="1" t="s">
        <v>350</v>
      </c>
      <c r="C274" s="1" t="s">
        <v>49</v>
      </c>
      <c r="D274" s="60" t="n">
        <v>45615</v>
      </c>
      <c r="E274" s="1" t="s">
        <v>89</v>
      </c>
      <c r="F274" s="61" t="n">
        <v>5</v>
      </c>
      <c r="G274" s="1" t="s">
        <v>96</v>
      </c>
      <c r="H274" s="1" t="s">
        <v>92</v>
      </c>
      <c r="I274" s="61" t="s">
        <v>94</v>
      </c>
      <c r="J274" s="61" t="s">
        <v>92</v>
      </c>
      <c r="K274" s="61" t="n">
        <v>0</v>
      </c>
      <c r="L274" s="61" t="n">
        <v>0</v>
      </c>
      <c r="M274" s="61" t="n">
        <v>5</v>
      </c>
      <c r="N274" s="1"/>
    </row>
    <row r="275" customFormat="false" ht="23" hidden="false" customHeight="true" outlineLevel="0" collapsed="false">
      <c r="A275" s="1" t="n">
        <v>3499</v>
      </c>
      <c r="B275" s="1" t="s">
        <v>351</v>
      </c>
      <c r="C275" s="1" t="s">
        <v>53</v>
      </c>
      <c r="D275" s="60" t="n">
        <v>45616</v>
      </c>
      <c r="E275" s="1" t="s">
        <v>92</v>
      </c>
      <c r="F275" s="61" t="n">
        <v>15</v>
      </c>
      <c r="G275" s="1" t="s">
        <v>90</v>
      </c>
      <c r="H275" s="1" t="s">
        <v>89</v>
      </c>
      <c r="I275" s="61" t="n">
        <v>30</v>
      </c>
      <c r="J275" s="61" t="s">
        <v>89</v>
      </c>
      <c r="K275" s="61" t="n">
        <v>20</v>
      </c>
      <c r="L275" s="61" t="n">
        <v>3</v>
      </c>
      <c r="M275" s="61" t="n">
        <v>62</v>
      </c>
      <c r="N275" s="1"/>
    </row>
    <row r="276" customFormat="false" ht="23" hidden="false" customHeight="true" outlineLevel="0" collapsed="false">
      <c r="A276" s="1" t="n">
        <v>3500</v>
      </c>
      <c r="B276" s="1" t="s">
        <v>352</v>
      </c>
      <c r="C276" s="1" t="s">
        <v>51</v>
      </c>
      <c r="D276" s="60" t="n">
        <v>45617</v>
      </c>
      <c r="E276" s="1" t="s">
        <v>89</v>
      </c>
      <c r="F276" s="61" t="n">
        <v>10</v>
      </c>
      <c r="G276" s="1" t="s">
        <v>93</v>
      </c>
      <c r="H276" s="1" t="s">
        <v>92</v>
      </c>
      <c r="I276" s="61" t="s">
        <v>94</v>
      </c>
      <c r="J276" s="61" t="s">
        <v>89</v>
      </c>
      <c r="K276" s="61" t="n">
        <v>20</v>
      </c>
      <c r="L276" s="61" t="n">
        <v>15</v>
      </c>
      <c r="M276" s="61" t="n">
        <v>15</v>
      </c>
      <c r="N276" s="1"/>
    </row>
    <row r="277" customFormat="false" ht="23" hidden="false" customHeight="true" outlineLevel="0" collapsed="false">
      <c r="A277" s="1" t="n">
        <v>3501</v>
      </c>
      <c r="B277" s="1" t="s">
        <v>353</v>
      </c>
      <c r="C277" s="1" t="s">
        <v>49</v>
      </c>
      <c r="D277" s="60" t="n">
        <v>45618</v>
      </c>
      <c r="E277" s="1" t="s">
        <v>92</v>
      </c>
      <c r="F277" s="61" t="n">
        <v>5</v>
      </c>
      <c r="G277" s="1" t="s">
        <v>90</v>
      </c>
      <c r="H277" s="1" t="s">
        <v>92</v>
      </c>
      <c r="I277" s="61" t="s">
        <v>94</v>
      </c>
      <c r="J277" s="61" t="s">
        <v>92</v>
      </c>
      <c r="K277" s="61" t="n">
        <v>0</v>
      </c>
      <c r="L277" s="61" t="n">
        <v>1</v>
      </c>
      <c r="M277" s="61" t="n">
        <v>4</v>
      </c>
      <c r="N277" s="1"/>
    </row>
    <row r="278" customFormat="false" ht="23" hidden="false" customHeight="true" outlineLevel="0" collapsed="false">
      <c r="A278" s="1" t="n">
        <v>3502</v>
      </c>
      <c r="B278" s="1" t="s">
        <v>354</v>
      </c>
      <c r="C278" s="1" t="s">
        <v>53</v>
      </c>
      <c r="D278" s="60" t="n">
        <v>45619</v>
      </c>
      <c r="E278" s="1" t="s">
        <v>89</v>
      </c>
      <c r="F278" s="61" t="n">
        <v>15</v>
      </c>
      <c r="G278" s="1" t="s">
        <v>96</v>
      </c>
      <c r="H278" s="1" t="s">
        <v>89</v>
      </c>
      <c r="I278" s="61" t="n">
        <v>30</v>
      </c>
      <c r="J278" s="61" t="s">
        <v>89</v>
      </c>
      <c r="K278" s="61" t="n">
        <v>20</v>
      </c>
      <c r="L278" s="61" t="n">
        <v>7</v>
      </c>
      <c r="M278" s="61" t="n">
        <v>58</v>
      </c>
      <c r="N278" s="1"/>
    </row>
    <row r="279" customFormat="false" ht="23" hidden="false" customHeight="true" outlineLevel="0" collapsed="false">
      <c r="A279" s="1" t="n">
        <v>3503</v>
      </c>
      <c r="B279" s="1" t="s">
        <v>213</v>
      </c>
      <c r="C279" s="1" t="s">
        <v>51</v>
      </c>
      <c r="D279" s="60" t="n">
        <v>45620</v>
      </c>
      <c r="E279" s="1" t="s">
        <v>92</v>
      </c>
      <c r="F279" s="61" t="n">
        <v>10</v>
      </c>
      <c r="G279" s="1" t="s">
        <v>90</v>
      </c>
      <c r="H279" s="1" t="s">
        <v>92</v>
      </c>
      <c r="I279" s="61" t="s">
        <v>94</v>
      </c>
      <c r="J279" s="61" t="s">
        <v>89</v>
      </c>
      <c r="K279" s="61" t="n">
        <v>20</v>
      </c>
      <c r="L279" s="61" t="n">
        <v>10</v>
      </c>
      <c r="M279" s="61" t="n">
        <v>20</v>
      </c>
      <c r="N279" s="1"/>
    </row>
    <row r="280" customFormat="false" ht="23" hidden="false" customHeight="true" outlineLevel="0" collapsed="false">
      <c r="A280" s="1" t="n">
        <v>3504</v>
      </c>
      <c r="B280" s="1" t="s">
        <v>355</v>
      </c>
      <c r="C280" s="1" t="s">
        <v>49</v>
      </c>
      <c r="D280" s="60" t="n">
        <v>45621</v>
      </c>
      <c r="E280" s="1" t="s">
        <v>89</v>
      </c>
      <c r="F280" s="61" t="n">
        <v>5</v>
      </c>
      <c r="G280" s="1" t="s">
        <v>93</v>
      </c>
      <c r="H280" s="1" t="s">
        <v>92</v>
      </c>
      <c r="I280" s="61" t="s">
        <v>94</v>
      </c>
      <c r="J280" s="61" t="s">
        <v>92</v>
      </c>
      <c r="K280" s="61" t="n">
        <v>0</v>
      </c>
      <c r="L280" s="61" t="n">
        <v>0</v>
      </c>
      <c r="M280" s="61" t="n">
        <v>5</v>
      </c>
      <c r="N280" s="1"/>
    </row>
    <row r="281" customFormat="false" ht="23" hidden="false" customHeight="true" outlineLevel="0" collapsed="false">
      <c r="A281" s="1" t="n">
        <v>3505</v>
      </c>
      <c r="B281" s="1" t="s">
        <v>356</v>
      </c>
      <c r="C281" s="1" t="s">
        <v>53</v>
      </c>
      <c r="D281" s="60" t="n">
        <v>45622</v>
      </c>
      <c r="E281" s="1" t="s">
        <v>92</v>
      </c>
      <c r="F281" s="61" t="n">
        <v>15</v>
      </c>
      <c r="G281" s="1" t="s">
        <v>90</v>
      </c>
      <c r="H281" s="1" t="s">
        <v>89</v>
      </c>
      <c r="I281" s="61" t="n">
        <v>30</v>
      </c>
      <c r="J281" s="61" t="s">
        <v>89</v>
      </c>
      <c r="K281" s="61" t="n">
        <v>20</v>
      </c>
      <c r="L281" s="61" t="n">
        <v>20</v>
      </c>
      <c r="M281" s="61" t="n">
        <v>45</v>
      </c>
      <c r="N281" s="1"/>
    </row>
    <row r="282" customFormat="false" ht="23" hidden="false" customHeight="true" outlineLevel="0" collapsed="false">
      <c r="A282" s="1" t="n">
        <v>3506</v>
      </c>
      <c r="B282" s="1" t="s">
        <v>357</v>
      </c>
      <c r="C282" s="1" t="s">
        <v>51</v>
      </c>
      <c r="D282" s="60" t="n">
        <v>45623</v>
      </c>
      <c r="E282" s="1" t="s">
        <v>89</v>
      </c>
      <c r="F282" s="61" t="n">
        <v>10</v>
      </c>
      <c r="G282" s="1" t="s">
        <v>96</v>
      </c>
      <c r="H282" s="1" t="s">
        <v>92</v>
      </c>
      <c r="I282" s="61" t="s">
        <v>94</v>
      </c>
      <c r="J282" s="61" t="s">
        <v>89</v>
      </c>
      <c r="K282" s="61" t="n">
        <v>20</v>
      </c>
      <c r="L282" s="61" t="n">
        <v>15</v>
      </c>
      <c r="M282" s="61" t="n">
        <v>15</v>
      </c>
      <c r="N282" s="1"/>
    </row>
    <row r="283" customFormat="false" ht="23" hidden="false" customHeight="true" outlineLevel="0" collapsed="false">
      <c r="A283" s="1" t="n">
        <v>3507</v>
      </c>
      <c r="B283" s="1" t="s">
        <v>358</v>
      </c>
      <c r="C283" s="1" t="s">
        <v>49</v>
      </c>
      <c r="D283" s="60" t="n">
        <v>45624</v>
      </c>
      <c r="E283" s="1" t="s">
        <v>92</v>
      </c>
      <c r="F283" s="61" t="n">
        <v>5</v>
      </c>
      <c r="G283" s="1" t="s">
        <v>90</v>
      </c>
      <c r="H283" s="1" t="s">
        <v>92</v>
      </c>
      <c r="I283" s="61" t="s">
        <v>94</v>
      </c>
      <c r="J283" s="61" t="s">
        <v>92</v>
      </c>
      <c r="K283" s="61" t="n">
        <v>0</v>
      </c>
      <c r="L283" s="61" t="n">
        <v>1</v>
      </c>
      <c r="M283" s="61" t="n">
        <v>4</v>
      </c>
      <c r="N283" s="1"/>
    </row>
    <row r="284" customFormat="false" ht="23" hidden="false" customHeight="true" outlineLevel="0" collapsed="false">
      <c r="A284" s="1" t="n">
        <v>3508</v>
      </c>
      <c r="B284" s="1" t="s">
        <v>359</v>
      </c>
      <c r="C284" s="1" t="s">
        <v>53</v>
      </c>
      <c r="D284" s="60" t="n">
        <v>45625</v>
      </c>
      <c r="E284" s="1" t="s">
        <v>89</v>
      </c>
      <c r="F284" s="61" t="n">
        <v>15</v>
      </c>
      <c r="G284" s="1" t="s">
        <v>93</v>
      </c>
      <c r="H284" s="1" t="s">
        <v>89</v>
      </c>
      <c r="I284" s="61" t="n">
        <v>30</v>
      </c>
      <c r="J284" s="61" t="s">
        <v>89</v>
      </c>
      <c r="K284" s="61" t="n">
        <v>20</v>
      </c>
      <c r="L284" s="61" t="n">
        <v>3</v>
      </c>
      <c r="M284" s="61" t="n">
        <v>62</v>
      </c>
      <c r="N284" s="1"/>
    </row>
    <row r="285" customFormat="false" ht="23" hidden="false" customHeight="true" outlineLevel="0" collapsed="false">
      <c r="A285" s="1" t="n">
        <v>3509</v>
      </c>
      <c r="B285" s="1" t="s">
        <v>360</v>
      </c>
      <c r="C285" s="1" t="s">
        <v>51</v>
      </c>
      <c r="D285" s="60" t="n">
        <v>45626</v>
      </c>
      <c r="E285" s="1" t="s">
        <v>92</v>
      </c>
      <c r="F285" s="61" t="n">
        <v>10</v>
      </c>
      <c r="G285" s="1" t="s">
        <v>90</v>
      </c>
      <c r="H285" s="1" t="s">
        <v>92</v>
      </c>
      <c r="I285" s="61" t="s">
        <v>94</v>
      </c>
      <c r="J285" s="61" t="s">
        <v>89</v>
      </c>
      <c r="K285" s="61" t="n">
        <v>20</v>
      </c>
      <c r="L285" s="61" t="n">
        <v>10</v>
      </c>
      <c r="M285" s="61" t="n">
        <v>20</v>
      </c>
      <c r="N285" s="1"/>
    </row>
    <row r="286" customFormat="false" ht="23" hidden="false" customHeight="true" outlineLevel="0" collapsed="false">
      <c r="A286" s="1" t="n">
        <v>3510</v>
      </c>
      <c r="B286" s="1" t="s">
        <v>361</v>
      </c>
      <c r="C286" s="1" t="s">
        <v>49</v>
      </c>
      <c r="D286" s="60" t="n">
        <v>45627</v>
      </c>
      <c r="E286" s="1" t="s">
        <v>89</v>
      </c>
      <c r="F286" s="61" t="n">
        <v>5</v>
      </c>
      <c r="G286" s="1" t="s">
        <v>96</v>
      </c>
      <c r="H286" s="1" t="s">
        <v>92</v>
      </c>
      <c r="I286" s="61" t="s">
        <v>94</v>
      </c>
      <c r="J286" s="61" t="s">
        <v>92</v>
      </c>
      <c r="K286" s="61" t="n">
        <v>0</v>
      </c>
      <c r="L286" s="61" t="n">
        <v>0</v>
      </c>
      <c r="M286" s="61" t="n">
        <v>5</v>
      </c>
      <c r="N286" s="1"/>
    </row>
    <row r="287" customFormat="false" ht="23" hidden="false" customHeight="true" outlineLevel="0" collapsed="false">
      <c r="A287" s="1" t="n">
        <v>3511</v>
      </c>
      <c r="B287" s="1" t="s">
        <v>362</v>
      </c>
      <c r="C287" s="1" t="s">
        <v>53</v>
      </c>
      <c r="D287" s="60" t="n">
        <v>45628</v>
      </c>
      <c r="E287" s="1" t="s">
        <v>92</v>
      </c>
      <c r="F287" s="61" t="n">
        <v>15</v>
      </c>
      <c r="G287" s="1" t="s">
        <v>90</v>
      </c>
      <c r="H287" s="1" t="s">
        <v>89</v>
      </c>
      <c r="I287" s="61" t="n">
        <v>30</v>
      </c>
      <c r="J287" s="61" t="s">
        <v>89</v>
      </c>
      <c r="K287" s="61" t="n">
        <v>20</v>
      </c>
      <c r="L287" s="61" t="n">
        <v>15</v>
      </c>
      <c r="M287" s="61" t="n">
        <v>50</v>
      </c>
      <c r="N287" s="1"/>
    </row>
    <row r="288" customFormat="false" ht="23" hidden="false" customHeight="true" outlineLevel="0" collapsed="false">
      <c r="A288" s="1" t="n">
        <v>3512</v>
      </c>
      <c r="B288" s="1" t="s">
        <v>363</v>
      </c>
      <c r="C288" s="1" t="s">
        <v>51</v>
      </c>
      <c r="D288" s="60" t="n">
        <v>45629</v>
      </c>
      <c r="E288" s="1" t="s">
        <v>89</v>
      </c>
      <c r="F288" s="61" t="n">
        <v>10</v>
      </c>
      <c r="G288" s="1" t="s">
        <v>93</v>
      </c>
      <c r="H288" s="1" t="s">
        <v>92</v>
      </c>
      <c r="I288" s="61" t="s">
        <v>94</v>
      </c>
      <c r="J288" s="61" t="s">
        <v>89</v>
      </c>
      <c r="K288" s="61" t="n">
        <v>20</v>
      </c>
      <c r="L288" s="61" t="n">
        <v>15</v>
      </c>
      <c r="M288" s="61" t="n">
        <v>15</v>
      </c>
      <c r="N288" s="1"/>
    </row>
    <row r="289" customFormat="false" ht="23" hidden="false" customHeight="true" outlineLevel="0" collapsed="false">
      <c r="A289" s="1" t="n">
        <v>3513</v>
      </c>
      <c r="B289" s="1" t="s">
        <v>364</v>
      </c>
      <c r="C289" s="1" t="s">
        <v>49</v>
      </c>
      <c r="D289" s="60" t="n">
        <v>45630</v>
      </c>
      <c r="E289" s="1" t="s">
        <v>92</v>
      </c>
      <c r="F289" s="61" t="n">
        <v>5</v>
      </c>
      <c r="G289" s="1" t="s">
        <v>90</v>
      </c>
      <c r="H289" s="1" t="s">
        <v>92</v>
      </c>
      <c r="I289" s="61" t="s">
        <v>94</v>
      </c>
      <c r="J289" s="61" t="s">
        <v>92</v>
      </c>
      <c r="K289" s="61" t="n">
        <v>0</v>
      </c>
      <c r="L289" s="61" t="n">
        <v>1</v>
      </c>
      <c r="M289" s="61" t="n">
        <v>4</v>
      </c>
      <c r="N289" s="1"/>
    </row>
    <row r="290" customFormat="false" ht="23" hidden="false" customHeight="true" outlineLevel="0" collapsed="false">
      <c r="A290" s="1" t="n">
        <v>3514</v>
      </c>
      <c r="B290" s="1" t="s">
        <v>365</v>
      </c>
      <c r="C290" s="1" t="s">
        <v>53</v>
      </c>
      <c r="D290" s="60" t="n">
        <v>45631</v>
      </c>
      <c r="E290" s="1" t="s">
        <v>89</v>
      </c>
      <c r="F290" s="61" t="n">
        <v>15</v>
      </c>
      <c r="G290" s="1" t="s">
        <v>96</v>
      </c>
      <c r="H290" s="1" t="s">
        <v>89</v>
      </c>
      <c r="I290" s="61" t="n">
        <v>30</v>
      </c>
      <c r="J290" s="61" t="s">
        <v>89</v>
      </c>
      <c r="K290" s="61" t="n">
        <v>20</v>
      </c>
      <c r="L290" s="61" t="n">
        <v>7</v>
      </c>
      <c r="M290" s="61" t="n">
        <v>58</v>
      </c>
      <c r="N290" s="1"/>
    </row>
    <row r="291" customFormat="false" ht="23" hidden="false" customHeight="true" outlineLevel="0" collapsed="false">
      <c r="A291" s="1" t="n">
        <v>3515</v>
      </c>
      <c r="B291" s="1" t="s">
        <v>224</v>
      </c>
      <c r="C291" s="1" t="s">
        <v>51</v>
      </c>
      <c r="D291" s="60" t="n">
        <v>45632</v>
      </c>
      <c r="E291" s="1" t="s">
        <v>92</v>
      </c>
      <c r="F291" s="61" t="n">
        <v>10</v>
      </c>
      <c r="G291" s="1" t="s">
        <v>90</v>
      </c>
      <c r="H291" s="1" t="s">
        <v>92</v>
      </c>
      <c r="I291" s="61" t="s">
        <v>94</v>
      </c>
      <c r="J291" s="61" t="s">
        <v>89</v>
      </c>
      <c r="K291" s="61" t="n">
        <v>20</v>
      </c>
      <c r="L291" s="61" t="n">
        <v>10</v>
      </c>
      <c r="M291" s="61" t="n">
        <v>20</v>
      </c>
      <c r="N291" s="1"/>
    </row>
    <row r="292" customFormat="false" ht="23" hidden="false" customHeight="true" outlineLevel="0" collapsed="false">
      <c r="A292" s="1" t="n">
        <v>3516</v>
      </c>
      <c r="B292" s="1" t="s">
        <v>225</v>
      </c>
      <c r="C292" s="1" t="s">
        <v>49</v>
      </c>
      <c r="D292" s="60" t="n">
        <v>45633</v>
      </c>
      <c r="E292" s="1" t="s">
        <v>89</v>
      </c>
      <c r="F292" s="61" t="n">
        <v>5</v>
      </c>
      <c r="G292" s="1" t="s">
        <v>93</v>
      </c>
      <c r="H292" s="1" t="s">
        <v>92</v>
      </c>
      <c r="I292" s="61" t="s">
        <v>94</v>
      </c>
      <c r="J292" s="61" t="s">
        <v>92</v>
      </c>
      <c r="K292" s="61" t="n">
        <v>0</v>
      </c>
      <c r="L292" s="61" t="n">
        <v>0</v>
      </c>
      <c r="M292" s="61" t="n">
        <v>5</v>
      </c>
      <c r="N292" s="1"/>
    </row>
    <row r="293" customFormat="false" ht="23" hidden="false" customHeight="true" outlineLevel="0" collapsed="false">
      <c r="A293" s="1" t="n">
        <v>3517</v>
      </c>
      <c r="B293" s="1" t="s">
        <v>275</v>
      </c>
      <c r="C293" s="1" t="s">
        <v>53</v>
      </c>
      <c r="D293" s="60" t="n">
        <v>45634</v>
      </c>
      <c r="E293" s="1" t="s">
        <v>92</v>
      </c>
      <c r="F293" s="61" t="n">
        <v>15</v>
      </c>
      <c r="G293" s="1" t="s">
        <v>90</v>
      </c>
      <c r="H293" s="1" t="s">
        <v>89</v>
      </c>
      <c r="I293" s="61" t="n">
        <v>30</v>
      </c>
      <c r="J293" s="61" t="s">
        <v>89</v>
      </c>
      <c r="K293" s="61" t="n">
        <v>20</v>
      </c>
      <c r="L293" s="61" t="n">
        <v>20</v>
      </c>
      <c r="M293" s="61" t="n">
        <v>45</v>
      </c>
      <c r="N293" s="1"/>
    </row>
    <row r="294" customFormat="false" ht="23" hidden="false" customHeight="true" outlineLevel="0" collapsed="false">
      <c r="A294" s="1" t="n">
        <v>3518</v>
      </c>
      <c r="B294" s="1" t="s">
        <v>366</v>
      </c>
      <c r="C294" s="1" t="s">
        <v>51</v>
      </c>
      <c r="D294" s="60" t="n">
        <v>45635</v>
      </c>
      <c r="E294" s="1" t="s">
        <v>89</v>
      </c>
      <c r="F294" s="61" t="n">
        <v>10</v>
      </c>
      <c r="G294" s="1" t="s">
        <v>96</v>
      </c>
      <c r="H294" s="1" t="s">
        <v>92</v>
      </c>
      <c r="I294" s="61" t="s">
        <v>94</v>
      </c>
      <c r="J294" s="61" t="s">
        <v>89</v>
      </c>
      <c r="K294" s="61" t="n">
        <v>20</v>
      </c>
      <c r="L294" s="61" t="n">
        <v>12</v>
      </c>
      <c r="M294" s="61" t="n">
        <v>18</v>
      </c>
      <c r="N294" s="1"/>
    </row>
    <row r="295" customFormat="false" ht="23" hidden="false" customHeight="true" outlineLevel="0" collapsed="false">
      <c r="A295" s="1" t="n">
        <v>3519</v>
      </c>
      <c r="B295" s="1" t="s">
        <v>367</v>
      </c>
      <c r="C295" s="1" t="s">
        <v>49</v>
      </c>
      <c r="D295" s="60" t="n">
        <v>45636</v>
      </c>
      <c r="E295" s="1" t="s">
        <v>92</v>
      </c>
      <c r="F295" s="61" t="n">
        <v>5</v>
      </c>
      <c r="G295" s="1" t="s">
        <v>90</v>
      </c>
      <c r="H295" s="1" t="s">
        <v>92</v>
      </c>
      <c r="I295" s="61" t="s">
        <v>94</v>
      </c>
      <c r="J295" s="61" t="s">
        <v>92</v>
      </c>
      <c r="K295" s="61" t="n">
        <v>0</v>
      </c>
      <c r="L295" s="61" t="n">
        <v>2</v>
      </c>
      <c r="M295" s="61" t="n">
        <v>3</v>
      </c>
      <c r="N295" s="1"/>
    </row>
    <row r="296" customFormat="false" ht="23" hidden="false" customHeight="true" outlineLevel="0" collapsed="false">
      <c r="A296" s="1" t="n">
        <v>3520</v>
      </c>
      <c r="B296" s="1" t="s">
        <v>368</v>
      </c>
      <c r="C296" s="1" t="s">
        <v>53</v>
      </c>
      <c r="D296" s="60" t="n">
        <v>45637</v>
      </c>
      <c r="E296" s="1" t="s">
        <v>89</v>
      </c>
      <c r="F296" s="61" t="n">
        <v>15</v>
      </c>
      <c r="G296" s="1" t="s">
        <v>93</v>
      </c>
      <c r="H296" s="1" t="s">
        <v>89</v>
      </c>
      <c r="I296" s="61" t="n">
        <v>30</v>
      </c>
      <c r="J296" s="61" t="s">
        <v>89</v>
      </c>
      <c r="K296" s="61" t="n">
        <v>20</v>
      </c>
      <c r="L296" s="61" t="n">
        <v>5</v>
      </c>
      <c r="M296" s="61" t="n">
        <v>60</v>
      </c>
      <c r="N296" s="1"/>
    </row>
    <row r="297" customFormat="false" ht="23" hidden="false" customHeight="true" outlineLevel="0" collapsed="false">
      <c r="A297" s="1" t="n">
        <v>3521</v>
      </c>
      <c r="B297" s="1" t="s">
        <v>369</v>
      </c>
      <c r="C297" s="1" t="s">
        <v>51</v>
      </c>
      <c r="D297" s="60" t="n">
        <v>45638</v>
      </c>
      <c r="E297" s="1" t="s">
        <v>92</v>
      </c>
      <c r="F297" s="61" t="n">
        <v>10</v>
      </c>
      <c r="G297" s="1" t="s">
        <v>90</v>
      </c>
      <c r="H297" s="1" t="s">
        <v>92</v>
      </c>
      <c r="I297" s="61" t="s">
        <v>94</v>
      </c>
      <c r="J297" s="61" t="s">
        <v>89</v>
      </c>
      <c r="K297" s="61" t="n">
        <v>20</v>
      </c>
      <c r="L297" s="61" t="n">
        <v>10</v>
      </c>
      <c r="M297" s="61" t="n">
        <v>20</v>
      </c>
      <c r="N297" s="1"/>
    </row>
    <row r="298" customFormat="false" ht="23" hidden="false" customHeight="true" outlineLevel="0" collapsed="false">
      <c r="A298" s="1" t="n">
        <v>3522</v>
      </c>
      <c r="B298" s="1" t="s">
        <v>370</v>
      </c>
      <c r="C298" s="1" t="s">
        <v>49</v>
      </c>
      <c r="D298" s="60" t="n">
        <v>45639</v>
      </c>
      <c r="E298" s="1" t="s">
        <v>89</v>
      </c>
      <c r="F298" s="61" t="n">
        <v>5</v>
      </c>
      <c r="G298" s="1" t="s">
        <v>96</v>
      </c>
      <c r="H298" s="1" t="s">
        <v>92</v>
      </c>
      <c r="I298" s="61" t="s">
        <v>94</v>
      </c>
      <c r="J298" s="61" t="s">
        <v>92</v>
      </c>
      <c r="K298" s="61" t="n">
        <v>0</v>
      </c>
      <c r="L298" s="61" t="n">
        <v>0</v>
      </c>
      <c r="M298" s="61" t="n">
        <v>5</v>
      </c>
      <c r="N298" s="1"/>
    </row>
    <row r="299" customFormat="false" ht="23" hidden="false" customHeight="true" outlineLevel="0" collapsed="false">
      <c r="A299" s="1" t="n">
        <v>3523</v>
      </c>
      <c r="B299" s="1" t="s">
        <v>371</v>
      </c>
      <c r="C299" s="1" t="s">
        <v>53</v>
      </c>
      <c r="D299" s="60" t="n">
        <v>45640</v>
      </c>
      <c r="E299" s="1" t="s">
        <v>92</v>
      </c>
      <c r="F299" s="61" t="n">
        <v>15</v>
      </c>
      <c r="G299" s="1" t="s">
        <v>90</v>
      </c>
      <c r="H299" s="1" t="s">
        <v>89</v>
      </c>
      <c r="I299" s="61" t="n">
        <v>30</v>
      </c>
      <c r="J299" s="61" t="s">
        <v>89</v>
      </c>
      <c r="K299" s="61" t="n">
        <v>20</v>
      </c>
      <c r="L299" s="61" t="n">
        <v>3</v>
      </c>
      <c r="M299" s="61" t="n">
        <v>62</v>
      </c>
      <c r="N299" s="1"/>
    </row>
    <row r="300" customFormat="false" ht="23" hidden="false" customHeight="true" outlineLevel="0" collapsed="false">
      <c r="A300" s="1" t="n">
        <v>3524</v>
      </c>
      <c r="B300" s="1" t="s">
        <v>372</v>
      </c>
      <c r="C300" s="1" t="s">
        <v>51</v>
      </c>
      <c r="D300" s="60" t="n">
        <v>45641</v>
      </c>
      <c r="E300" s="1" t="s">
        <v>89</v>
      </c>
      <c r="F300" s="61" t="n">
        <v>10</v>
      </c>
      <c r="G300" s="1" t="s">
        <v>93</v>
      </c>
      <c r="H300" s="1" t="s">
        <v>92</v>
      </c>
      <c r="I300" s="61" t="s">
        <v>94</v>
      </c>
      <c r="J300" s="61" t="s">
        <v>89</v>
      </c>
      <c r="K300" s="61" t="n">
        <v>20</v>
      </c>
      <c r="L300" s="61" t="n">
        <v>15</v>
      </c>
      <c r="M300" s="61" t="n">
        <v>15</v>
      </c>
      <c r="N300" s="1"/>
    </row>
    <row r="301" customFormat="false" ht="23" hidden="false" customHeight="true" outlineLevel="0" collapsed="false">
      <c r="A301" s="1" t="n">
        <v>3525</v>
      </c>
      <c r="B301" s="1" t="s">
        <v>373</v>
      </c>
      <c r="C301" s="1" t="s">
        <v>49</v>
      </c>
      <c r="D301" s="60" t="n">
        <v>45642</v>
      </c>
      <c r="E301" s="1" t="s">
        <v>92</v>
      </c>
      <c r="F301" s="61" t="n">
        <v>5</v>
      </c>
      <c r="G301" s="1" t="s">
        <v>90</v>
      </c>
      <c r="H301" s="1" t="s">
        <v>92</v>
      </c>
      <c r="I301" s="61" t="s">
        <v>94</v>
      </c>
      <c r="J301" s="61" t="s">
        <v>92</v>
      </c>
      <c r="K301" s="61" t="n">
        <v>0</v>
      </c>
      <c r="L301" s="61" t="n">
        <v>1</v>
      </c>
      <c r="M301" s="61" t="n">
        <v>4</v>
      </c>
      <c r="N301" s="1"/>
    </row>
    <row r="302" customFormat="false" ht="23" hidden="false" customHeight="true" outlineLevel="0" collapsed="false">
      <c r="A302" s="1"/>
      <c r="B302" s="1"/>
      <c r="C302" s="1"/>
      <c r="D302" s="60"/>
      <c r="E302" s="1"/>
      <c r="F302" s="61"/>
      <c r="G302" s="1"/>
      <c r="H302" s="1"/>
      <c r="I302" s="61"/>
      <c r="J302" s="61"/>
      <c r="K302" s="61"/>
      <c r="L302" s="61"/>
      <c r="M302" s="61"/>
      <c r="N302" s="1"/>
    </row>
    <row r="303" customFormat="false" ht="15" hidden="false" customHeight="false" outlineLevel="0" collapsed="false">
      <c r="A303" s="64"/>
      <c r="B303" s="64"/>
      <c r="C303" s="64"/>
      <c r="D303" s="65"/>
      <c r="E303" s="64"/>
      <c r="F303" s="66"/>
      <c r="G303" s="64"/>
      <c r="H303" s="64"/>
      <c r="I303" s="66"/>
      <c r="J303" s="66"/>
      <c r="K303" s="66"/>
      <c r="L303" s="66"/>
      <c r="M303" s="66"/>
      <c r="N303" s="64"/>
    </row>
    <row r="304" customFormat="false" ht="15" hidden="false" customHeight="false" outlineLevel="0" collapsed="false">
      <c r="A304" s="64"/>
      <c r="B304" s="64"/>
      <c r="C304" s="64"/>
      <c r="D304" s="65"/>
      <c r="E304" s="64"/>
      <c r="F304" s="66"/>
      <c r="G304" s="64"/>
      <c r="H304" s="64"/>
      <c r="I304" s="66"/>
      <c r="J304" s="66"/>
      <c r="K304" s="66"/>
      <c r="L304" s="66"/>
      <c r="M304" s="66"/>
      <c r="N304" s="64"/>
    </row>
    <row r="305" customFormat="false" ht="15" hidden="false" customHeight="false" outlineLevel="0" collapsed="false">
      <c r="A305" s="64"/>
      <c r="B305" s="64"/>
      <c r="C305" s="64"/>
      <c r="D305" s="65"/>
      <c r="E305" s="64"/>
      <c r="F305" s="66"/>
      <c r="G305" s="64"/>
      <c r="H305" s="64"/>
      <c r="I305" s="66"/>
      <c r="J305" s="66"/>
      <c r="K305" s="66"/>
      <c r="L305" s="66"/>
      <c r="M305" s="66"/>
      <c r="N305" s="64"/>
    </row>
    <row r="306" customFormat="false" ht="15" hidden="false" customHeight="false" outlineLevel="0" collapsed="false">
      <c r="A306" s="64"/>
      <c r="B306" s="64"/>
      <c r="C306" s="64"/>
      <c r="D306" s="65"/>
      <c r="E306" s="64"/>
      <c r="F306" s="66"/>
      <c r="G306" s="64"/>
      <c r="H306" s="64"/>
      <c r="I306" s="66"/>
      <c r="J306" s="66"/>
      <c r="K306" s="66"/>
      <c r="L306" s="66"/>
      <c r="M306" s="66"/>
      <c r="N306" s="64"/>
    </row>
    <row r="307" customFormat="false" ht="15" hidden="false" customHeight="false" outlineLevel="0" collapsed="false">
      <c r="A307" s="64"/>
      <c r="B307" s="64"/>
      <c r="C307" s="64"/>
      <c r="D307" s="65"/>
      <c r="E307" s="64"/>
      <c r="F307" s="66"/>
      <c r="G307" s="64"/>
      <c r="H307" s="64"/>
      <c r="I307" s="66"/>
      <c r="J307" s="66"/>
      <c r="K307" s="66"/>
      <c r="L307" s="66"/>
      <c r="M307" s="66"/>
      <c r="N307" s="64"/>
    </row>
    <row r="308" customFormat="false" ht="15" hidden="false" customHeight="false" outlineLevel="0" collapsed="false">
      <c r="A308" s="64"/>
      <c r="B308" s="64"/>
      <c r="C308" s="64"/>
      <c r="D308" s="65"/>
      <c r="E308" s="64"/>
      <c r="F308" s="66"/>
      <c r="G308" s="64"/>
      <c r="H308" s="64"/>
      <c r="I308" s="66"/>
      <c r="J308" s="66"/>
      <c r="K308" s="66"/>
      <c r="L308" s="66"/>
      <c r="M308" s="66"/>
      <c r="N308" s="64"/>
    </row>
    <row r="309" customFormat="false" ht="15" hidden="false" customHeight="false" outlineLevel="0" collapsed="false">
      <c r="A309" s="64"/>
      <c r="B309" s="64"/>
      <c r="C309" s="64"/>
      <c r="D309" s="65"/>
      <c r="E309" s="64"/>
      <c r="F309" s="66"/>
      <c r="G309" s="64"/>
      <c r="H309" s="64"/>
      <c r="I309" s="66"/>
      <c r="J309" s="66"/>
      <c r="K309" s="66"/>
      <c r="L309" s="66"/>
      <c r="M309" s="66"/>
      <c r="N309" s="64"/>
    </row>
    <row r="310" customFormat="false" ht="15" hidden="false" customHeight="false" outlineLevel="0" collapsed="false">
      <c r="A310" s="64"/>
      <c r="B310" s="64"/>
      <c r="C310" s="64"/>
      <c r="D310" s="65"/>
      <c r="E310" s="64"/>
      <c r="F310" s="66"/>
      <c r="G310" s="64"/>
      <c r="H310" s="64"/>
      <c r="I310" s="66"/>
      <c r="J310" s="66"/>
      <c r="K310" s="66"/>
      <c r="L310" s="66"/>
      <c r="M310" s="66"/>
      <c r="N310" s="64"/>
    </row>
    <row r="311" customFormat="false" ht="15" hidden="false" customHeight="false" outlineLevel="0" collapsed="false">
      <c r="A311" s="64"/>
      <c r="B311" s="64"/>
      <c r="C311" s="64"/>
      <c r="D311" s="65"/>
      <c r="E311" s="64"/>
      <c r="F311" s="66"/>
      <c r="G311" s="64"/>
      <c r="H311" s="64"/>
      <c r="I311" s="66"/>
      <c r="J311" s="66"/>
      <c r="K311" s="66"/>
      <c r="L311" s="66"/>
      <c r="M311" s="66"/>
      <c r="N311" s="64"/>
    </row>
    <row r="312" customFormat="false" ht="15" hidden="false" customHeight="false" outlineLevel="0" collapsed="false">
      <c r="A312" s="64"/>
      <c r="B312" s="64"/>
      <c r="C312" s="64"/>
      <c r="D312" s="65"/>
      <c r="E312" s="64"/>
      <c r="F312" s="66"/>
      <c r="G312" s="64"/>
      <c r="H312" s="64"/>
      <c r="I312" s="66"/>
      <c r="J312" s="66"/>
      <c r="K312" s="66"/>
      <c r="L312" s="66"/>
      <c r="M312" s="66"/>
      <c r="N312" s="64"/>
    </row>
    <row r="313" customFormat="false" ht="15" hidden="false" customHeight="false" outlineLevel="0" collapsed="false">
      <c r="A313" s="64"/>
      <c r="B313" s="64"/>
      <c r="C313" s="64"/>
      <c r="D313" s="65"/>
      <c r="E313" s="64"/>
      <c r="F313" s="66"/>
      <c r="G313" s="64"/>
      <c r="H313" s="64"/>
      <c r="I313" s="66"/>
      <c r="J313" s="66"/>
      <c r="K313" s="66"/>
      <c r="L313" s="66"/>
      <c r="M313" s="66"/>
      <c r="N313" s="64"/>
    </row>
    <row r="314" customFormat="false" ht="15" hidden="false" customHeight="false" outlineLevel="0" collapsed="false">
      <c r="A314" s="64"/>
      <c r="B314" s="64"/>
      <c r="C314" s="64"/>
      <c r="D314" s="65"/>
      <c r="E314" s="64"/>
      <c r="F314" s="66"/>
      <c r="G314" s="64"/>
      <c r="H314" s="64"/>
      <c r="I314" s="66"/>
      <c r="J314" s="66"/>
      <c r="K314" s="66"/>
      <c r="L314" s="66"/>
      <c r="M314" s="66"/>
      <c r="N314" s="64"/>
    </row>
    <row r="315" customFormat="false" ht="15" hidden="false" customHeight="false" outlineLevel="0" collapsed="false">
      <c r="A315" s="64"/>
      <c r="B315" s="64"/>
      <c r="C315" s="64"/>
      <c r="D315" s="65"/>
      <c r="E315" s="64"/>
      <c r="F315" s="66"/>
      <c r="G315" s="64"/>
      <c r="H315" s="64"/>
      <c r="I315" s="66"/>
      <c r="J315" s="66"/>
      <c r="K315" s="66"/>
      <c r="L315" s="66"/>
      <c r="M315" s="66"/>
      <c r="N315" s="64"/>
    </row>
    <row r="316" customFormat="false" ht="15" hidden="false" customHeight="false" outlineLevel="0" collapsed="false">
      <c r="A316" s="64"/>
      <c r="B316" s="64"/>
      <c r="C316" s="64"/>
      <c r="D316" s="65"/>
      <c r="E316" s="64"/>
      <c r="F316" s="66"/>
      <c r="G316" s="64"/>
      <c r="H316" s="64"/>
      <c r="I316" s="66"/>
      <c r="J316" s="66"/>
      <c r="K316" s="66"/>
      <c r="L316" s="66"/>
      <c r="M316" s="66"/>
      <c r="N316" s="64"/>
    </row>
    <row r="317" customFormat="false" ht="15" hidden="false" customHeight="false" outlineLevel="0" collapsed="false">
      <c r="A317" s="64"/>
      <c r="B317" s="64"/>
      <c r="C317" s="64"/>
      <c r="D317" s="65"/>
      <c r="E317" s="64"/>
      <c r="F317" s="66"/>
      <c r="G317" s="64"/>
      <c r="H317" s="64"/>
      <c r="I317" s="66"/>
      <c r="J317" s="66"/>
      <c r="K317" s="66"/>
      <c r="L317" s="66"/>
      <c r="M317" s="66"/>
      <c r="N317" s="64"/>
    </row>
    <row r="318" customFormat="false" ht="15" hidden="false" customHeight="false" outlineLevel="0" collapsed="false">
      <c r="A318" s="64"/>
      <c r="B318" s="64"/>
      <c r="C318" s="64"/>
      <c r="D318" s="65"/>
      <c r="E318" s="64"/>
      <c r="F318" s="66"/>
      <c r="G318" s="64"/>
      <c r="H318" s="64"/>
      <c r="I318" s="66"/>
      <c r="J318" s="66"/>
      <c r="K318" s="66"/>
      <c r="L318" s="66"/>
      <c r="M318" s="66"/>
      <c r="N318" s="64"/>
    </row>
    <row r="319" customFormat="false" ht="15" hidden="false" customHeight="false" outlineLevel="0" collapsed="false">
      <c r="A319" s="64"/>
      <c r="B319" s="64"/>
      <c r="C319" s="64"/>
      <c r="D319" s="65"/>
      <c r="E319" s="64"/>
      <c r="F319" s="66"/>
      <c r="G319" s="64"/>
      <c r="H319" s="64"/>
      <c r="I319" s="66"/>
      <c r="J319" s="66"/>
      <c r="K319" s="66"/>
      <c r="L319" s="66"/>
      <c r="M319" s="66"/>
      <c r="N319" s="64"/>
    </row>
    <row r="320" customFormat="false" ht="15" hidden="false" customHeight="false" outlineLevel="0" collapsed="false">
      <c r="A320" s="64"/>
      <c r="B320" s="64"/>
      <c r="C320" s="64"/>
      <c r="D320" s="65"/>
      <c r="E320" s="64"/>
      <c r="F320" s="66"/>
      <c r="G320" s="64"/>
      <c r="H320" s="64"/>
      <c r="I320" s="66"/>
      <c r="J320" s="66"/>
      <c r="K320" s="66"/>
      <c r="L320" s="66"/>
      <c r="M320" s="66"/>
      <c r="N320" s="64"/>
    </row>
    <row r="321" customFormat="false" ht="15" hidden="false" customHeight="false" outlineLevel="0" collapsed="false">
      <c r="A321" s="64"/>
      <c r="B321" s="64"/>
      <c r="C321" s="64"/>
      <c r="D321" s="65"/>
      <c r="E321" s="64"/>
      <c r="F321" s="66"/>
      <c r="G321" s="64"/>
      <c r="H321" s="64"/>
      <c r="I321" s="66"/>
      <c r="J321" s="66"/>
      <c r="K321" s="66"/>
      <c r="L321" s="66"/>
      <c r="M321" s="66"/>
      <c r="N321" s="64"/>
    </row>
    <row r="322" customFormat="false" ht="15" hidden="false" customHeight="false" outlineLevel="0" collapsed="false">
      <c r="A322" s="64"/>
      <c r="B322" s="64"/>
      <c r="C322" s="64"/>
      <c r="D322" s="65"/>
      <c r="E322" s="64"/>
      <c r="F322" s="66"/>
      <c r="G322" s="64"/>
      <c r="H322" s="64"/>
      <c r="I322" s="66"/>
      <c r="J322" s="66"/>
      <c r="K322" s="66"/>
      <c r="L322" s="66"/>
      <c r="M322" s="66"/>
      <c r="N322" s="64"/>
    </row>
    <row r="323" customFormat="false" ht="15" hidden="false" customHeight="false" outlineLevel="0" collapsed="false">
      <c r="A323" s="64"/>
      <c r="B323" s="64"/>
      <c r="C323" s="64"/>
      <c r="D323" s="65"/>
      <c r="E323" s="64"/>
      <c r="F323" s="66"/>
      <c r="G323" s="64"/>
      <c r="H323" s="64"/>
      <c r="I323" s="66"/>
      <c r="J323" s="66"/>
      <c r="K323" s="66"/>
      <c r="L323" s="66"/>
      <c r="M323" s="66"/>
      <c r="N323" s="64"/>
    </row>
    <row r="324" customFormat="false" ht="15" hidden="false" customHeight="false" outlineLevel="0" collapsed="false">
      <c r="A324" s="64"/>
      <c r="B324" s="64"/>
      <c r="C324" s="64"/>
      <c r="D324" s="65"/>
      <c r="E324" s="64"/>
      <c r="F324" s="66"/>
      <c r="G324" s="64"/>
      <c r="H324" s="64"/>
      <c r="I324" s="66"/>
      <c r="J324" s="66"/>
      <c r="K324" s="66"/>
      <c r="L324" s="66"/>
      <c r="M324" s="66"/>
      <c r="N324" s="64"/>
    </row>
    <row r="325" customFormat="false" ht="15" hidden="false" customHeight="false" outlineLevel="0" collapsed="false">
      <c r="A325" s="64"/>
      <c r="B325" s="64"/>
      <c r="C325" s="64"/>
      <c r="D325" s="65"/>
      <c r="E325" s="64"/>
      <c r="F325" s="66"/>
      <c r="G325" s="64"/>
      <c r="H325" s="64"/>
      <c r="I325" s="66"/>
      <c r="J325" s="66"/>
      <c r="K325" s="66"/>
      <c r="L325" s="66"/>
      <c r="M325" s="66"/>
      <c r="N325" s="64"/>
    </row>
    <row r="326" customFormat="false" ht="15" hidden="false" customHeight="false" outlineLevel="0" collapsed="false">
      <c r="A326" s="64"/>
      <c r="B326" s="64"/>
      <c r="C326" s="64"/>
      <c r="D326" s="65"/>
      <c r="E326" s="64"/>
      <c r="F326" s="66"/>
      <c r="G326" s="64"/>
      <c r="H326" s="64"/>
      <c r="I326" s="66"/>
      <c r="J326" s="66"/>
      <c r="K326" s="66"/>
      <c r="L326" s="66"/>
      <c r="M326" s="66"/>
      <c r="N326" s="64"/>
    </row>
    <row r="327" customFormat="false" ht="15" hidden="false" customHeight="false" outlineLevel="0" collapsed="false">
      <c r="A327" s="64"/>
      <c r="B327" s="64"/>
      <c r="C327" s="64"/>
      <c r="D327" s="65"/>
      <c r="E327" s="64"/>
      <c r="F327" s="66"/>
      <c r="G327" s="64"/>
      <c r="H327" s="64"/>
      <c r="I327" s="66"/>
      <c r="J327" s="66"/>
      <c r="K327" s="66"/>
      <c r="L327" s="66"/>
      <c r="M327" s="66"/>
      <c r="N327" s="64"/>
    </row>
    <row r="328" customFormat="false" ht="15" hidden="false" customHeight="false" outlineLevel="0" collapsed="false">
      <c r="A328" s="64"/>
      <c r="B328" s="64"/>
      <c r="C328" s="64"/>
      <c r="D328" s="65"/>
      <c r="E328" s="64"/>
      <c r="F328" s="66"/>
      <c r="G328" s="64"/>
      <c r="H328" s="64"/>
      <c r="I328" s="66"/>
      <c r="J328" s="66"/>
      <c r="K328" s="66"/>
      <c r="L328" s="66"/>
      <c r="M328" s="66"/>
      <c r="N328" s="64"/>
    </row>
    <row r="329" customFormat="false" ht="15" hidden="false" customHeight="false" outlineLevel="0" collapsed="false">
      <c r="A329" s="64"/>
      <c r="B329" s="64"/>
      <c r="C329" s="64"/>
      <c r="D329" s="65"/>
      <c r="E329" s="64"/>
      <c r="F329" s="66"/>
      <c r="G329" s="64"/>
      <c r="H329" s="64"/>
      <c r="I329" s="66"/>
      <c r="J329" s="66"/>
      <c r="K329" s="66"/>
      <c r="L329" s="66"/>
      <c r="M329" s="66"/>
      <c r="N329" s="64"/>
    </row>
    <row r="330" customFormat="false" ht="15" hidden="false" customHeight="false" outlineLevel="0" collapsed="false">
      <c r="A330" s="64"/>
      <c r="B330" s="64"/>
      <c r="C330" s="64"/>
      <c r="D330" s="65"/>
      <c r="E330" s="64"/>
      <c r="F330" s="66"/>
      <c r="G330" s="64"/>
      <c r="H330" s="64"/>
      <c r="I330" s="66"/>
      <c r="J330" s="66"/>
      <c r="K330" s="66"/>
      <c r="L330" s="66"/>
      <c r="M330" s="66"/>
      <c r="N330" s="64"/>
    </row>
    <row r="331" customFormat="false" ht="15" hidden="false" customHeight="false" outlineLevel="0" collapsed="false">
      <c r="A331" s="64"/>
      <c r="B331" s="64"/>
      <c r="C331" s="64"/>
      <c r="D331" s="65"/>
      <c r="E331" s="64"/>
      <c r="F331" s="66"/>
      <c r="G331" s="64"/>
      <c r="H331" s="64"/>
      <c r="I331" s="66"/>
      <c r="J331" s="66"/>
      <c r="K331" s="66"/>
      <c r="L331" s="66"/>
      <c r="M331" s="66"/>
      <c r="N331" s="64"/>
    </row>
    <row r="332" customFormat="false" ht="15" hidden="false" customHeight="false" outlineLevel="0" collapsed="false">
      <c r="A332" s="64"/>
      <c r="B332" s="64"/>
      <c r="C332" s="64"/>
      <c r="D332" s="65"/>
      <c r="E332" s="64"/>
      <c r="F332" s="66"/>
      <c r="G332" s="64"/>
      <c r="H332" s="64"/>
      <c r="I332" s="66"/>
      <c r="J332" s="66"/>
      <c r="K332" s="66"/>
      <c r="L332" s="66"/>
      <c r="M332" s="66"/>
      <c r="N332" s="64"/>
    </row>
    <row r="333" customFormat="false" ht="15" hidden="false" customHeight="false" outlineLevel="0" collapsed="false">
      <c r="A333" s="64"/>
      <c r="B333" s="64"/>
      <c r="C333" s="64"/>
      <c r="D333" s="65"/>
      <c r="E333" s="64"/>
      <c r="F333" s="66"/>
      <c r="G333" s="64"/>
      <c r="H333" s="64"/>
      <c r="I333" s="66"/>
      <c r="J333" s="66"/>
      <c r="K333" s="66"/>
      <c r="L333" s="66"/>
      <c r="M333" s="66"/>
      <c r="N333" s="64"/>
    </row>
    <row r="334" customFormat="false" ht="15" hidden="false" customHeight="false" outlineLevel="0" collapsed="false">
      <c r="A334" s="64"/>
      <c r="B334" s="64"/>
      <c r="C334" s="64"/>
      <c r="D334" s="65"/>
      <c r="E334" s="64"/>
      <c r="F334" s="66"/>
      <c r="G334" s="64"/>
      <c r="H334" s="64"/>
      <c r="I334" s="66"/>
      <c r="J334" s="66"/>
      <c r="K334" s="66"/>
      <c r="L334" s="66"/>
      <c r="M334" s="66"/>
      <c r="N334" s="64"/>
    </row>
    <row r="335" customFormat="false" ht="15" hidden="false" customHeight="false" outlineLevel="0" collapsed="false">
      <c r="A335" s="64"/>
      <c r="B335" s="64"/>
      <c r="C335" s="64"/>
      <c r="D335" s="65"/>
      <c r="E335" s="64"/>
      <c r="F335" s="66"/>
      <c r="G335" s="64"/>
      <c r="H335" s="64"/>
      <c r="I335" s="66"/>
      <c r="J335" s="66"/>
      <c r="K335" s="66"/>
      <c r="L335" s="66"/>
      <c r="M335" s="66"/>
      <c r="N335" s="64"/>
    </row>
    <row r="336" customFormat="false" ht="15" hidden="false" customHeight="false" outlineLevel="0" collapsed="false">
      <c r="A336" s="64"/>
      <c r="B336" s="64"/>
      <c r="C336" s="64"/>
      <c r="D336" s="65"/>
      <c r="E336" s="64"/>
      <c r="F336" s="66"/>
      <c r="G336" s="64"/>
      <c r="H336" s="64"/>
      <c r="I336" s="66"/>
      <c r="J336" s="66"/>
      <c r="K336" s="66"/>
      <c r="L336" s="66"/>
      <c r="M336" s="66"/>
      <c r="N336" s="64"/>
    </row>
    <row r="337" customFormat="false" ht="15" hidden="false" customHeight="false" outlineLevel="0" collapsed="false">
      <c r="A337" s="64"/>
      <c r="B337" s="64"/>
      <c r="C337" s="64"/>
      <c r="D337" s="65"/>
      <c r="E337" s="64"/>
      <c r="F337" s="66"/>
      <c r="G337" s="64"/>
      <c r="H337" s="64"/>
      <c r="I337" s="66"/>
      <c r="J337" s="66"/>
      <c r="K337" s="66"/>
      <c r="L337" s="66"/>
      <c r="M337" s="66"/>
      <c r="N337" s="64"/>
    </row>
    <row r="338" customFormat="false" ht="15" hidden="false" customHeight="false" outlineLevel="0" collapsed="false">
      <c r="A338" s="64"/>
      <c r="B338" s="64"/>
      <c r="C338" s="64"/>
      <c r="D338" s="65"/>
      <c r="E338" s="64"/>
      <c r="F338" s="66"/>
      <c r="G338" s="64"/>
      <c r="H338" s="64"/>
      <c r="I338" s="66"/>
      <c r="J338" s="66"/>
      <c r="K338" s="66"/>
      <c r="L338" s="66"/>
      <c r="M338" s="66"/>
      <c r="N338" s="64"/>
    </row>
    <row r="339" customFormat="false" ht="15" hidden="false" customHeight="false" outlineLevel="0" collapsed="false">
      <c r="A339" s="64"/>
      <c r="B339" s="64"/>
      <c r="C339" s="64"/>
      <c r="D339" s="65"/>
      <c r="E339" s="64"/>
      <c r="F339" s="66"/>
      <c r="G339" s="64"/>
      <c r="H339" s="64"/>
      <c r="I339" s="66"/>
      <c r="J339" s="66"/>
      <c r="K339" s="66"/>
      <c r="L339" s="66"/>
      <c r="M339" s="66"/>
      <c r="N339" s="64"/>
    </row>
    <row r="340" customFormat="false" ht="15" hidden="false" customHeight="false" outlineLevel="0" collapsed="false">
      <c r="A340" s="64"/>
      <c r="B340" s="64"/>
      <c r="C340" s="64"/>
      <c r="D340" s="65"/>
      <c r="E340" s="64"/>
      <c r="F340" s="66"/>
      <c r="G340" s="64"/>
      <c r="H340" s="64"/>
      <c r="I340" s="66"/>
      <c r="J340" s="66"/>
      <c r="K340" s="66"/>
      <c r="L340" s="66"/>
      <c r="M340" s="66"/>
      <c r="N340" s="64"/>
    </row>
    <row r="341" customFormat="false" ht="15" hidden="false" customHeight="false" outlineLevel="0" collapsed="false">
      <c r="A341" s="64"/>
      <c r="B341" s="64"/>
      <c r="C341" s="64"/>
      <c r="D341" s="65"/>
      <c r="E341" s="64"/>
      <c r="F341" s="66"/>
      <c r="G341" s="64"/>
      <c r="H341" s="64"/>
      <c r="I341" s="66"/>
      <c r="J341" s="66"/>
      <c r="K341" s="66"/>
      <c r="L341" s="66"/>
      <c r="M341" s="66"/>
      <c r="N341" s="64"/>
    </row>
    <row r="342" customFormat="false" ht="15" hidden="false" customHeight="false" outlineLevel="0" collapsed="false">
      <c r="A342" s="64"/>
      <c r="B342" s="64"/>
      <c r="C342" s="64"/>
      <c r="D342" s="65"/>
      <c r="E342" s="64"/>
      <c r="F342" s="66"/>
      <c r="G342" s="64"/>
      <c r="H342" s="64"/>
      <c r="I342" s="66"/>
      <c r="J342" s="66"/>
      <c r="K342" s="66"/>
      <c r="L342" s="66"/>
      <c r="M342" s="66"/>
      <c r="N342" s="64"/>
    </row>
    <row r="343" customFormat="false" ht="15" hidden="false" customHeight="false" outlineLevel="0" collapsed="false">
      <c r="A343" s="64"/>
      <c r="B343" s="64"/>
      <c r="C343" s="64"/>
      <c r="D343" s="65"/>
      <c r="E343" s="64"/>
      <c r="F343" s="66"/>
      <c r="G343" s="64"/>
      <c r="H343" s="64"/>
      <c r="I343" s="66"/>
      <c r="J343" s="66"/>
      <c r="K343" s="66"/>
      <c r="L343" s="66"/>
      <c r="M343" s="66"/>
      <c r="N343" s="64"/>
    </row>
    <row r="344" customFormat="false" ht="15" hidden="false" customHeight="false" outlineLevel="0" collapsed="false">
      <c r="A344" s="64"/>
      <c r="B344" s="64"/>
      <c r="C344" s="64"/>
      <c r="D344" s="65"/>
      <c r="E344" s="64"/>
      <c r="F344" s="66"/>
      <c r="G344" s="64"/>
      <c r="H344" s="64"/>
      <c r="I344" s="66"/>
      <c r="J344" s="66"/>
      <c r="K344" s="66"/>
      <c r="L344" s="66"/>
      <c r="M344" s="66"/>
      <c r="N344" s="64"/>
    </row>
    <row r="345" customFormat="false" ht="15" hidden="false" customHeight="false" outlineLevel="0" collapsed="false">
      <c r="A345" s="64"/>
      <c r="B345" s="64"/>
      <c r="C345" s="64"/>
      <c r="D345" s="65"/>
      <c r="E345" s="64"/>
      <c r="F345" s="66"/>
      <c r="G345" s="64"/>
      <c r="H345" s="64"/>
      <c r="I345" s="66"/>
      <c r="J345" s="66"/>
      <c r="K345" s="66"/>
      <c r="L345" s="66"/>
      <c r="M345" s="66"/>
      <c r="N345" s="64"/>
    </row>
    <row r="346" customFormat="false" ht="15" hidden="false" customHeight="false" outlineLevel="0" collapsed="false">
      <c r="A346" s="64"/>
      <c r="B346" s="64"/>
      <c r="C346" s="64"/>
      <c r="D346" s="65"/>
      <c r="E346" s="64"/>
      <c r="F346" s="66"/>
      <c r="G346" s="64"/>
      <c r="H346" s="64"/>
      <c r="I346" s="66"/>
      <c r="J346" s="66"/>
      <c r="K346" s="66"/>
      <c r="L346" s="66"/>
      <c r="M346" s="66"/>
      <c r="N346" s="64"/>
    </row>
    <row r="347" customFormat="false" ht="15" hidden="false" customHeight="false" outlineLevel="0" collapsed="false">
      <c r="A347" s="64"/>
      <c r="B347" s="64"/>
      <c r="C347" s="64"/>
      <c r="D347" s="65"/>
      <c r="E347" s="64"/>
      <c r="F347" s="66"/>
      <c r="G347" s="64"/>
      <c r="H347" s="64"/>
      <c r="I347" s="66"/>
      <c r="J347" s="66"/>
      <c r="K347" s="66"/>
      <c r="L347" s="66"/>
      <c r="M347" s="66"/>
      <c r="N347" s="64"/>
    </row>
    <row r="348" customFormat="false" ht="15" hidden="false" customHeight="false" outlineLevel="0" collapsed="false">
      <c r="A348" s="64"/>
      <c r="B348" s="64"/>
      <c r="C348" s="64"/>
      <c r="D348" s="65"/>
      <c r="E348" s="64"/>
      <c r="F348" s="66"/>
      <c r="G348" s="64"/>
      <c r="H348" s="64"/>
      <c r="I348" s="66"/>
      <c r="J348" s="66"/>
      <c r="K348" s="66"/>
      <c r="L348" s="66"/>
      <c r="M348" s="66"/>
      <c r="N348" s="64"/>
    </row>
    <row r="349" customFormat="false" ht="15" hidden="false" customHeight="false" outlineLevel="0" collapsed="false">
      <c r="A349" s="64"/>
      <c r="B349" s="64"/>
      <c r="C349" s="64"/>
      <c r="D349" s="65"/>
      <c r="E349" s="64"/>
      <c r="F349" s="66"/>
      <c r="G349" s="64"/>
      <c r="H349" s="64"/>
      <c r="I349" s="66"/>
      <c r="J349" s="66"/>
      <c r="K349" s="66"/>
      <c r="L349" s="66"/>
      <c r="M349" s="66"/>
      <c r="N349" s="64"/>
    </row>
    <row r="350" customFormat="false" ht="15" hidden="false" customHeight="false" outlineLevel="0" collapsed="false">
      <c r="A350" s="64"/>
      <c r="B350" s="64"/>
      <c r="C350" s="64"/>
      <c r="D350" s="65"/>
      <c r="E350" s="64"/>
      <c r="F350" s="66"/>
      <c r="G350" s="64"/>
      <c r="H350" s="64"/>
      <c r="I350" s="66"/>
      <c r="J350" s="66"/>
      <c r="K350" s="66"/>
      <c r="L350" s="66"/>
      <c r="M350" s="66"/>
      <c r="N350" s="64"/>
    </row>
    <row r="351" customFormat="false" ht="15" hidden="false" customHeight="false" outlineLevel="0" collapsed="false">
      <c r="A351" s="64"/>
      <c r="B351" s="64"/>
      <c r="C351" s="64"/>
      <c r="D351" s="65"/>
      <c r="E351" s="64"/>
      <c r="F351" s="66"/>
      <c r="G351" s="64"/>
      <c r="H351" s="64"/>
      <c r="I351" s="66"/>
      <c r="J351" s="66"/>
      <c r="K351" s="66"/>
      <c r="L351" s="66"/>
      <c r="M351" s="66"/>
      <c r="N351" s="64"/>
    </row>
    <row r="352" customFormat="false" ht="15" hidden="false" customHeight="false" outlineLevel="0" collapsed="false">
      <c r="A352" s="64"/>
      <c r="B352" s="64"/>
      <c r="C352" s="64"/>
      <c r="D352" s="65"/>
      <c r="E352" s="64"/>
      <c r="F352" s="66"/>
      <c r="G352" s="64"/>
      <c r="H352" s="64"/>
      <c r="I352" s="66"/>
      <c r="J352" s="66"/>
      <c r="K352" s="66"/>
      <c r="L352" s="66"/>
      <c r="M352" s="66"/>
      <c r="N352" s="64"/>
    </row>
    <row r="353" customFormat="false" ht="15" hidden="false" customHeight="false" outlineLevel="0" collapsed="false">
      <c r="A353" s="64"/>
      <c r="B353" s="64"/>
      <c r="C353" s="64"/>
      <c r="D353" s="65"/>
      <c r="E353" s="64"/>
      <c r="F353" s="66"/>
      <c r="G353" s="64"/>
      <c r="H353" s="64"/>
      <c r="I353" s="66"/>
      <c r="J353" s="66"/>
      <c r="K353" s="66"/>
      <c r="L353" s="66"/>
      <c r="M353" s="66"/>
      <c r="N353" s="64"/>
    </row>
    <row r="354" customFormat="false" ht="15" hidden="false" customHeight="false" outlineLevel="0" collapsed="false">
      <c r="A354" s="64"/>
      <c r="B354" s="64"/>
      <c r="C354" s="64"/>
      <c r="D354" s="65"/>
      <c r="E354" s="64"/>
      <c r="F354" s="66"/>
      <c r="G354" s="64"/>
      <c r="H354" s="64"/>
      <c r="I354" s="66"/>
      <c r="J354" s="66"/>
      <c r="K354" s="66"/>
      <c r="L354" s="66"/>
      <c r="M354" s="66"/>
      <c r="N354" s="64"/>
    </row>
    <row r="355" customFormat="false" ht="15" hidden="false" customHeight="false" outlineLevel="0" collapsed="false">
      <c r="A355" s="64"/>
      <c r="B355" s="64"/>
      <c r="C355" s="64"/>
      <c r="D355" s="65"/>
      <c r="E355" s="64"/>
      <c r="F355" s="66"/>
      <c r="G355" s="64"/>
      <c r="H355" s="64"/>
      <c r="I355" s="66"/>
      <c r="J355" s="66"/>
      <c r="K355" s="66"/>
      <c r="L355" s="66"/>
      <c r="M355" s="66"/>
      <c r="N355" s="64"/>
    </row>
    <row r="356" customFormat="false" ht="15" hidden="false" customHeight="false" outlineLevel="0" collapsed="false">
      <c r="A356" s="64"/>
      <c r="B356" s="64"/>
      <c r="C356" s="64"/>
      <c r="D356" s="65"/>
      <c r="E356" s="64"/>
      <c r="F356" s="66"/>
      <c r="G356" s="64"/>
      <c r="H356" s="64"/>
      <c r="I356" s="66"/>
      <c r="J356" s="66"/>
      <c r="K356" s="66"/>
      <c r="L356" s="66"/>
      <c r="M356" s="66"/>
      <c r="N356" s="64"/>
    </row>
    <row r="357" customFormat="false" ht="15" hidden="false" customHeight="false" outlineLevel="0" collapsed="false">
      <c r="A357" s="64"/>
      <c r="B357" s="64"/>
      <c r="C357" s="64"/>
      <c r="D357" s="65"/>
      <c r="E357" s="64"/>
      <c r="F357" s="66"/>
      <c r="G357" s="64"/>
      <c r="H357" s="64"/>
      <c r="I357" s="66"/>
      <c r="J357" s="66"/>
      <c r="K357" s="66"/>
      <c r="L357" s="66"/>
      <c r="M357" s="66"/>
      <c r="N357" s="64"/>
    </row>
    <row r="358" customFormat="false" ht="15" hidden="false" customHeight="false" outlineLevel="0" collapsed="false">
      <c r="A358" s="64"/>
      <c r="B358" s="64"/>
      <c r="C358" s="64"/>
      <c r="D358" s="65"/>
      <c r="E358" s="64"/>
      <c r="F358" s="66"/>
      <c r="G358" s="64"/>
      <c r="H358" s="64"/>
      <c r="I358" s="66"/>
      <c r="J358" s="66"/>
      <c r="K358" s="66"/>
      <c r="L358" s="66"/>
      <c r="M358" s="66"/>
      <c r="N358" s="64"/>
    </row>
    <row r="359" customFormat="false" ht="15" hidden="false" customHeight="false" outlineLevel="0" collapsed="false">
      <c r="A359" s="64"/>
      <c r="B359" s="64"/>
      <c r="C359" s="64"/>
      <c r="D359" s="65"/>
      <c r="E359" s="64"/>
      <c r="F359" s="66"/>
      <c r="G359" s="64"/>
      <c r="H359" s="64"/>
      <c r="I359" s="66"/>
      <c r="J359" s="66"/>
      <c r="K359" s="66"/>
      <c r="L359" s="66"/>
      <c r="M359" s="66"/>
      <c r="N359" s="64"/>
    </row>
    <row r="360" customFormat="false" ht="15" hidden="false" customHeight="false" outlineLevel="0" collapsed="false">
      <c r="A360" s="64"/>
      <c r="B360" s="64"/>
      <c r="C360" s="64"/>
      <c r="D360" s="65"/>
      <c r="E360" s="64"/>
      <c r="F360" s="66"/>
      <c r="G360" s="64"/>
      <c r="H360" s="64"/>
      <c r="I360" s="66"/>
      <c r="J360" s="66"/>
      <c r="K360" s="66"/>
      <c r="L360" s="66"/>
      <c r="M360" s="66"/>
      <c r="N360" s="64"/>
    </row>
    <row r="361" customFormat="false" ht="15" hidden="false" customHeight="false" outlineLevel="0" collapsed="false">
      <c r="A361" s="64"/>
      <c r="B361" s="64"/>
      <c r="C361" s="64"/>
      <c r="D361" s="65"/>
      <c r="E361" s="64"/>
      <c r="F361" s="66"/>
      <c r="G361" s="64"/>
      <c r="H361" s="64"/>
      <c r="I361" s="66"/>
      <c r="J361" s="66"/>
      <c r="K361" s="66"/>
      <c r="L361" s="66"/>
      <c r="M361" s="66"/>
      <c r="N361" s="64"/>
    </row>
    <row r="362" customFormat="false" ht="15" hidden="false" customHeight="false" outlineLevel="0" collapsed="false">
      <c r="A362" s="64"/>
      <c r="B362" s="64"/>
      <c r="C362" s="64"/>
      <c r="D362" s="65"/>
      <c r="E362" s="64"/>
      <c r="F362" s="66"/>
      <c r="G362" s="64"/>
      <c r="H362" s="64"/>
      <c r="I362" s="66"/>
      <c r="J362" s="66"/>
      <c r="K362" s="66"/>
      <c r="L362" s="66"/>
      <c r="M362" s="66"/>
      <c r="N362" s="64"/>
    </row>
    <row r="363" customFormat="false" ht="15" hidden="false" customHeight="false" outlineLevel="0" collapsed="false">
      <c r="A363" s="64"/>
      <c r="B363" s="64"/>
      <c r="C363" s="64"/>
      <c r="D363" s="65"/>
      <c r="E363" s="64"/>
      <c r="F363" s="66"/>
      <c r="G363" s="64"/>
      <c r="H363" s="64"/>
      <c r="I363" s="66"/>
      <c r="J363" s="66"/>
      <c r="K363" s="66"/>
      <c r="L363" s="66"/>
      <c r="M363" s="66"/>
      <c r="N363" s="64"/>
    </row>
    <row r="364" customFormat="false" ht="15" hidden="false" customHeight="false" outlineLevel="0" collapsed="false">
      <c r="A364" s="64"/>
      <c r="B364" s="64"/>
      <c r="C364" s="64"/>
      <c r="D364" s="65"/>
      <c r="E364" s="64"/>
      <c r="F364" s="66"/>
      <c r="G364" s="64"/>
      <c r="H364" s="64"/>
      <c r="I364" s="66"/>
      <c r="J364" s="66"/>
      <c r="K364" s="66"/>
      <c r="L364" s="66"/>
      <c r="M364" s="66"/>
      <c r="N364" s="64"/>
    </row>
    <row r="365" customFormat="false" ht="15" hidden="false" customHeight="false" outlineLevel="0" collapsed="false">
      <c r="A365" s="64"/>
      <c r="B365" s="64"/>
      <c r="C365" s="64"/>
      <c r="D365" s="65"/>
      <c r="E365" s="64"/>
      <c r="F365" s="66"/>
      <c r="G365" s="64"/>
      <c r="H365" s="64"/>
      <c r="I365" s="66"/>
      <c r="J365" s="66"/>
      <c r="K365" s="66"/>
      <c r="L365" s="66"/>
      <c r="M365" s="66"/>
      <c r="N365" s="64"/>
    </row>
    <row r="366" customFormat="false" ht="15" hidden="false" customHeight="false" outlineLevel="0" collapsed="false">
      <c r="A366" s="64"/>
      <c r="B366" s="64"/>
      <c r="C366" s="64"/>
      <c r="D366" s="65"/>
      <c r="E366" s="64"/>
      <c r="F366" s="66"/>
      <c r="G366" s="64"/>
      <c r="H366" s="64"/>
      <c r="I366" s="66"/>
      <c r="J366" s="66"/>
      <c r="K366" s="66"/>
      <c r="L366" s="66"/>
      <c r="M366" s="66"/>
      <c r="N366" s="64"/>
    </row>
    <row r="367" customFormat="false" ht="15" hidden="false" customHeight="false" outlineLevel="0" collapsed="false">
      <c r="A367" s="64"/>
      <c r="B367" s="64"/>
      <c r="C367" s="64"/>
      <c r="D367" s="65"/>
      <c r="E367" s="64"/>
      <c r="F367" s="66"/>
      <c r="G367" s="64"/>
      <c r="H367" s="64"/>
      <c r="I367" s="66"/>
      <c r="J367" s="66"/>
      <c r="K367" s="66"/>
      <c r="L367" s="66"/>
      <c r="M367" s="66"/>
      <c r="N367" s="64"/>
    </row>
    <row r="368" customFormat="false" ht="15" hidden="false" customHeight="false" outlineLevel="0" collapsed="false">
      <c r="A368" s="64"/>
      <c r="B368" s="64"/>
      <c r="C368" s="64"/>
      <c r="D368" s="65"/>
      <c r="E368" s="64"/>
      <c r="F368" s="66"/>
      <c r="G368" s="64"/>
      <c r="H368" s="64"/>
      <c r="I368" s="66"/>
      <c r="J368" s="66"/>
      <c r="K368" s="66"/>
      <c r="L368" s="66"/>
      <c r="M368" s="66"/>
      <c r="N368" s="64"/>
    </row>
    <row r="369" customFormat="false" ht="15" hidden="false" customHeight="false" outlineLevel="0" collapsed="false">
      <c r="A369" s="64"/>
      <c r="B369" s="64"/>
      <c r="C369" s="64"/>
      <c r="D369" s="65"/>
      <c r="E369" s="64"/>
      <c r="F369" s="66"/>
      <c r="G369" s="64"/>
      <c r="H369" s="64"/>
      <c r="I369" s="66"/>
      <c r="J369" s="66"/>
      <c r="K369" s="66"/>
      <c r="L369" s="66"/>
      <c r="M369" s="66"/>
      <c r="N369" s="64"/>
    </row>
    <row r="370" customFormat="false" ht="15" hidden="false" customHeight="false" outlineLevel="0" collapsed="false">
      <c r="A370" s="64"/>
      <c r="B370" s="64"/>
      <c r="C370" s="64"/>
      <c r="D370" s="65"/>
      <c r="E370" s="64"/>
      <c r="F370" s="66"/>
      <c r="G370" s="64"/>
      <c r="H370" s="64"/>
      <c r="I370" s="66"/>
      <c r="J370" s="66"/>
      <c r="K370" s="66"/>
      <c r="L370" s="66"/>
      <c r="M370" s="66"/>
      <c r="N370" s="64"/>
    </row>
    <row r="371" customFormat="false" ht="15" hidden="false" customHeight="false" outlineLevel="0" collapsed="false">
      <c r="A371" s="64"/>
      <c r="B371" s="64"/>
      <c r="C371" s="64"/>
      <c r="D371" s="65"/>
      <c r="E371" s="64"/>
      <c r="F371" s="66"/>
      <c r="G371" s="64"/>
      <c r="H371" s="64"/>
      <c r="I371" s="66"/>
      <c r="J371" s="66"/>
      <c r="K371" s="66"/>
      <c r="L371" s="66"/>
      <c r="M371" s="66"/>
      <c r="N371" s="64"/>
    </row>
    <row r="372" customFormat="false" ht="15" hidden="false" customHeight="false" outlineLevel="0" collapsed="false">
      <c r="A372" s="64"/>
      <c r="B372" s="64"/>
      <c r="C372" s="64"/>
      <c r="D372" s="65"/>
      <c r="E372" s="64"/>
      <c r="F372" s="66"/>
      <c r="G372" s="64"/>
      <c r="H372" s="64"/>
      <c r="I372" s="66"/>
      <c r="J372" s="66"/>
      <c r="K372" s="66"/>
      <c r="L372" s="66"/>
      <c r="M372" s="66"/>
      <c r="N372" s="64"/>
    </row>
    <row r="373" customFormat="false" ht="15" hidden="false" customHeight="false" outlineLevel="0" collapsed="false">
      <c r="A373" s="64"/>
      <c r="B373" s="64"/>
      <c r="C373" s="64"/>
      <c r="D373" s="65"/>
      <c r="E373" s="64"/>
      <c r="F373" s="66"/>
      <c r="G373" s="64"/>
      <c r="H373" s="64"/>
      <c r="I373" s="66"/>
      <c r="J373" s="66"/>
      <c r="K373" s="66"/>
      <c r="L373" s="66"/>
      <c r="M373" s="66"/>
      <c r="N373" s="64"/>
    </row>
    <row r="374" customFormat="false" ht="15" hidden="false" customHeight="false" outlineLevel="0" collapsed="false">
      <c r="A374" s="64"/>
      <c r="B374" s="64"/>
      <c r="C374" s="64"/>
      <c r="D374" s="65"/>
      <c r="E374" s="64"/>
      <c r="F374" s="66"/>
      <c r="G374" s="64"/>
      <c r="H374" s="64"/>
      <c r="I374" s="66"/>
      <c r="J374" s="66"/>
      <c r="K374" s="66"/>
      <c r="L374" s="66"/>
      <c r="M374" s="66"/>
      <c r="N374" s="64"/>
    </row>
    <row r="375" customFormat="false" ht="15" hidden="false" customHeight="false" outlineLevel="0" collapsed="false">
      <c r="A375" s="64"/>
      <c r="B375" s="64"/>
      <c r="C375" s="64"/>
      <c r="D375" s="65"/>
      <c r="E375" s="64"/>
      <c r="F375" s="66"/>
      <c r="G375" s="64"/>
      <c r="H375" s="64"/>
      <c r="I375" s="66"/>
      <c r="J375" s="66"/>
      <c r="K375" s="66"/>
      <c r="L375" s="66"/>
      <c r="M375" s="66"/>
      <c r="N375" s="64"/>
    </row>
    <row r="376" customFormat="false" ht="15" hidden="false" customHeight="false" outlineLevel="0" collapsed="false">
      <c r="A376" s="64"/>
      <c r="B376" s="64"/>
      <c r="C376" s="64"/>
      <c r="D376" s="65"/>
      <c r="E376" s="64"/>
      <c r="F376" s="66"/>
      <c r="G376" s="64"/>
      <c r="H376" s="64"/>
      <c r="I376" s="66"/>
      <c r="J376" s="66"/>
      <c r="K376" s="66"/>
      <c r="L376" s="66"/>
      <c r="M376" s="66"/>
      <c r="N376" s="64"/>
    </row>
    <row r="377" customFormat="false" ht="15" hidden="false" customHeight="false" outlineLevel="0" collapsed="false">
      <c r="A377" s="64"/>
      <c r="B377" s="64"/>
      <c r="C377" s="64"/>
      <c r="D377" s="65"/>
      <c r="E377" s="64"/>
      <c r="F377" s="66"/>
      <c r="G377" s="64"/>
      <c r="H377" s="64"/>
      <c r="I377" s="66"/>
      <c r="J377" s="66"/>
      <c r="K377" s="66"/>
      <c r="L377" s="66"/>
      <c r="M377" s="66"/>
      <c r="N377" s="64"/>
    </row>
    <row r="378" customFormat="false" ht="15" hidden="false" customHeight="false" outlineLevel="0" collapsed="false">
      <c r="A378" s="64"/>
      <c r="B378" s="64"/>
      <c r="C378" s="64"/>
      <c r="D378" s="65"/>
      <c r="E378" s="64"/>
      <c r="F378" s="66"/>
      <c r="G378" s="64"/>
      <c r="H378" s="64"/>
      <c r="I378" s="66"/>
      <c r="J378" s="66"/>
      <c r="K378" s="66"/>
      <c r="L378" s="66"/>
      <c r="M378" s="66"/>
      <c r="N378" s="64"/>
    </row>
    <row r="379" customFormat="false" ht="15" hidden="false" customHeight="false" outlineLevel="0" collapsed="false">
      <c r="A379" s="64"/>
      <c r="B379" s="64"/>
      <c r="C379" s="64"/>
      <c r="D379" s="65"/>
      <c r="E379" s="64"/>
      <c r="F379" s="66"/>
      <c r="G379" s="64"/>
      <c r="H379" s="64"/>
      <c r="I379" s="66"/>
      <c r="J379" s="66"/>
      <c r="K379" s="66"/>
      <c r="L379" s="66"/>
      <c r="M379" s="66"/>
      <c r="N379" s="64"/>
    </row>
    <row r="380" customFormat="false" ht="15" hidden="false" customHeight="false" outlineLevel="0" collapsed="false">
      <c r="A380" s="64"/>
      <c r="B380" s="64"/>
      <c r="C380" s="64"/>
      <c r="D380" s="65"/>
      <c r="E380" s="64"/>
      <c r="F380" s="66"/>
      <c r="G380" s="64"/>
      <c r="H380" s="64"/>
      <c r="I380" s="66"/>
      <c r="J380" s="66"/>
      <c r="K380" s="66"/>
      <c r="L380" s="66"/>
      <c r="M380" s="66"/>
      <c r="N380" s="64"/>
    </row>
    <row r="381" customFormat="false" ht="15" hidden="false" customHeight="false" outlineLevel="0" collapsed="false">
      <c r="A381" s="64"/>
      <c r="B381" s="64"/>
      <c r="C381" s="64"/>
      <c r="D381" s="65"/>
      <c r="E381" s="64"/>
      <c r="F381" s="66"/>
      <c r="G381" s="64"/>
      <c r="H381" s="64"/>
      <c r="I381" s="66"/>
      <c r="J381" s="66"/>
      <c r="K381" s="66"/>
      <c r="L381" s="66"/>
      <c r="M381" s="66"/>
      <c r="N381" s="64"/>
    </row>
    <row r="382" customFormat="false" ht="15" hidden="false" customHeight="false" outlineLevel="0" collapsed="false">
      <c r="A382" s="64"/>
      <c r="B382" s="64"/>
      <c r="C382" s="64"/>
      <c r="D382" s="65"/>
      <c r="E382" s="64"/>
      <c r="F382" s="66"/>
      <c r="G382" s="64"/>
      <c r="H382" s="64"/>
      <c r="I382" s="66"/>
      <c r="J382" s="66"/>
      <c r="K382" s="66"/>
      <c r="L382" s="66"/>
      <c r="M382" s="66"/>
      <c r="N382" s="64"/>
    </row>
    <row r="383" customFormat="false" ht="15" hidden="false" customHeight="false" outlineLevel="0" collapsed="false">
      <c r="A383" s="64"/>
      <c r="B383" s="64"/>
      <c r="C383" s="64"/>
      <c r="D383" s="65"/>
      <c r="E383" s="64"/>
      <c r="F383" s="66"/>
      <c r="G383" s="64"/>
      <c r="H383" s="64"/>
      <c r="I383" s="66"/>
      <c r="J383" s="66"/>
      <c r="K383" s="66"/>
      <c r="L383" s="66"/>
      <c r="M383" s="66"/>
      <c r="N383" s="64"/>
    </row>
    <row r="384" customFormat="false" ht="15" hidden="false" customHeight="false" outlineLevel="0" collapsed="false">
      <c r="A384" s="64"/>
      <c r="B384" s="64"/>
      <c r="C384" s="64"/>
      <c r="D384" s="65"/>
      <c r="E384" s="64"/>
      <c r="F384" s="66"/>
      <c r="G384" s="64"/>
      <c r="H384" s="64"/>
      <c r="I384" s="66"/>
      <c r="J384" s="66"/>
      <c r="K384" s="66"/>
      <c r="L384" s="66"/>
      <c r="M384" s="66"/>
      <c r="N384" s="64"/>
    </row>
    <row r="385" customFormat="false" ht="15" hidden="false" customHeight="false" outlineLevel="0" collapsed="false">
      <c r="A385" s="64"/>
      <c r="B385" s="64"/>
      <c r="C385" s="64"/>
      <c r="D385" s="65"/>
      <c r="E385" s="64"/>
      <c r="F385" s="66"/>
      <c r="G385" s="64"/>
      <c r="H385" s="64"/>
      <c r="I385" s="66"/>
      <c r="J385" s="66"/>
      <c r="K385" s="66"/>
      <c r="L385" s="66"/>
      <c r="M385" s="66"/>
      <c r="N385" s="64"/>
    </row>
    <row r="386" customFormat="false" ht="15" hidden="false" customHeight="false" outlineLevel="0" collapsed="false">
      <c r="A386" s="64"/>
      <c r="B386" s="64"/>
      <c r="C386" s="64"/>
      <c r="D386" s="65"/>
      <c r="E386" s="64"/>
      <c r="F386" s="66"/>
      <c r="G386" s="64"/>
      <c r="H386" s="64"/>
      <c r="I386" s="66"/>
      <c r="J386" s="66"/>
      <c r="K386" s="66"/>
      <c r="L386" s="66"/>
      <c r="M386" s="66"/>
      <c r="N386" s="64"/>
    </row>
    <row r="387" customFormat="false" ht="15" hidden="false" customHeight="false" outlineLevel="0" collapsed="false">
      <c r="A387" s="64"/>
      <c r="B387" s="64"/>
      <c r="C387" s="64"/>
      <c r="D387" s="65"/>
      <c r="E387" s="64"/>
      <c r="F387" s="66"/>
      <c r="G387" s="64"/>
      <c r="H387" s="64"/>
      <c r="I387" s="66"/>
      <c r="J387" s="66"/>
      <c r="K387" s="66"/>
      <c r="L387" s="66"/>
      <c r="M387" s="66"/>
      <c r="N387" s="64"/>
    </row>
    <row r="388" customFormat="false" ht="15" hidden="false" customHeight="false" outlineLevel="0" collapsed="false">
      <c r="A388" s="64"/>
      <c r="B388" s="64"/>
      <c r="C388" s="64"/>
      <c r="D388" s="65"/>
      <c r="E388" s="64"/>
      <c r="F388" s="66"/>
      <c r="G388" s="64"/>
      <c r="H388" s="64"/>
      <c r="I388" s="66"/>
      <c r="J388" s="66"/>
      <c r="K388" s="66"/>
      <c r="L388" s="66"/>
      <c r="M388" s="66"/>
      <c r="N388" s="64"/>
    </row>
    <row r="389" customFormat="false" ht="15" hidden="false" customHeight="false" outlineLevel="0" collapsed="false">
      <c r="A389" s="64"/>
      <c r="B389" s="64"/>
      <c r="C389" s="64"/>
      <c r="D389" s="65"/>
      <c r="E389" s="64"/>
      <c r="F389" s="66"/>
      <c r="G389" s="64"/>
      <c r="H389" s="64"/>
      <c r="I389" s="66"/>
      <c r="J389" s="66"/>
      <c r="K389" s="66"/>
      <c r="L389" s="66"/>
      <c r="M389" s="66"/>
      <c r="N389" s="64"/>
    </row>
    <row r="390" customFormat="false" ht="15" hidden="false" customHeight="false" outlineLevel="0" collapsed="false">
      <c r="A390" s="64"/>
      <c r="B390" s="64"/>
      <c r="C390" s="64"/>
      <c r="D390" s="65"/>
      <c r="E390" s="64"/>
      <c r="F390" s="66"/>
      <c r="G390" s="64"/>
      <c r="H390" s="64"/>
      <c r="I390" s="66"/>
      <c r="J390" s="66"/>
      <c r="K390" s="66"/>
      <c r="L390" s="66"/>
      <c r="M390" s="66"/>
      <c r="N390" s="64"/>
    </row>
    <row r="391" customFormat="false" ht="15" hidden="false" customHeight="false" outlineLevel="0" collapsed="false">
      <c r="A391" s="64"/>
      <c r="B391" s="64"/>
      <c r="C391" s="64"/>
      <c r="D391" s="65"/>
      <c r="E391" s="64"/>
      <c r="F391" s="66"/>
      <c r="G391" s="64"/>
      <c r="H391" s="64"/>
      <c r="I391" s="66"/>
      <c r="J391" s="66"/>
      <c r="K391" s="66"/>
      <c r="L391" s="66"/>
      <c r="M391" s="66"/>
      <c r="N391" s="64"/>
    </row>
    <row r="392" customFormat="false" ht="15" hidden="false" customHeight="false" outlineLevel="0" collapsed="false">
      <c r="A392" s="64"/>
      <c r="B392" s="64"/>
      <c r="C392" s="64"/>
      <c r="D392" s="65"/>
      <c r="E392" s="64"/>
      <c r="F392" s="66"/>
      <c r="G392" s="64"/>
      <c r="H392" s="64"/>
      <c r="I392" s="66"/>
      <c r="J392" s="66"/>
      <c r="K392" s="66"/>
      <c r="L392" s="66"/>
      <c r="M392" s="66"/>
      <c r="N392" s="64"/>
    </row>
    <row r="393" customFormat="false" ht="15" hidden="false" customHeight="false" outlineLevel="0" collapsed="false">
      <c r="A393" s="64"/>
      <c r="B393" s="64"/>
      <c r="C393" s="64"/>
      <c r="D393" s="65"/>
      <c r="E393" s="64"/>
      <c r="F393" s="66"/>
      <c r="G393" s="64"/>
      <c r="H393" s="64"/>
      <c r="I393" s="66"/>
      <c r="J393" s="66"/>
      <c r="K393" s="66"/>
      <c r="L393" s="66"/>
      <c r="M393" s="66"/>
      <c r="N393" s="64"/>
    </row>
    <row r="394" customFormat="false" ht="15" hidden="false" customHeight="false" outlineLevel="0" collapsed="false">
      <c r="A394" s="64"/>
      <c r="B394" s="64"/>
      <c r="C394" s="64"/>
      <c r="D394" s="65"/>
      <c r="E394" s="64"/>
      <c r="F394" s="66"/>
      <c r="G394" s="64"/>
      <c r="H394" s="64"/>
      <c r="I394" s="66"/>
      <c r="J394" s="66"/>
      <c r="K394" s="66"/>
      <c r="L394" s="66"/>
      <c r="M394" s="66"/>
      <c r="N394" s="64"/>
    </row>
    <row r="395" customFormat="false" ht="15" hidden="false" customHeight="false" outlineLevel="0" collapsed="false">
      <c r="A395" s="64"/>
      <c r="B395" s="64"/>
      <c r="C395" s="64"/>
      <c r="D395" s="65"/>
      <c r="E395" s="64"/>
      <c r="F395" s="66"/>
      <c r="G395" s="64"/>
      <c r="H395" s="64"/>
      <c r="I395" s="66"/>
      <c r="J395" s="66"/>
      <c r="K395" s="66"/>
      <c r="L395" s="66"/>
      <c r="M395" s="66"/>
      <c r="N395" s="64"/>
    </row>
    <row r="396" customFormat="false" ht="15" hidden="false" customHeight="false" outlineLevel="0" collapsed="false">
      <c r="A396" s="64"/>
      <c r="B396" s="64"/>
      <c r="C396" s="64"/>
      <c r="D396" s="65"/>
      <c r="E396" s="64"/>
      <c r="F396" s="66"/>
      <c r="G396" s="64"/>
      <c r="H396" s="64"/>
      <c r="I396" s="66"/>
      <c r="J396" s="66"/>
      <c r="K396" s="66"/>
      <c r="L396" s="66"/>
      <c r="M396" s="66"/>
      <c r="N396" s="64"/>
    </row>
    <row r="397" customFormat="false" ht="15" hidden="false" customHeight="false" outlineLevel="0" collapsed="false">
      <c r="A397" s="64"/>
      <c r="B397" s="64"/>
      <c r="C397" s="64"/>
      <c r="D397" s="65"/>
      <c r="E397" s="64"/>
      <c r="F397" s="66"/>
      <c r="G397" s="64"/>
      <c r="H397" s="64"/>
      <c r="I397" s="66"/>
      <c r="J397" s="66"/>
      <c r="K397" s="66"/>
      <c r="L397" s="66"/>
      <c r="M397" s="66"/>
      <c r="N397" s="64"/>
    </row>
    <row r="398" customFormat="false" ht="15" hidden="false" customHeight="false" outlineLevel="0" collapsed="false">
      <c r="A398" s="64"/>
      <c r="B398" s="64"/>
      <c r="C398" s="64"/>
      <c r="D398" s="65"/>
      <c r="E398" s="64"/>
      <c r="F398" s="66"/>
      <c r="G398" s="64"/>
      <c r="H398" s="64"/>
      <c r="I398" s="66"/>
      <c r="J398" s="66"/>
      <c r="K398" s="66"/>
      <c r="L398" s="66"/>
      <c r="M398" s="66"/>
      <c r="N398" s="64"/>
    </row>
    <row r="399" customFormat="false" ht="15" hidden="false" customHeight="false" outlineLevel="0" collapsed="false">
      <c r="A399" s="64"/>
      <c r="B399" s="64"/>
      <c r="C399" s="64"/>
      <c r="D399" s="65"/>
      <c r="E399" s="64"/>
      <c r="F399" s="66"/>
      <c r="G399" s="64"/>
      <c r="H399" s="64"/>
      <c r="I399" s="66"/>
      <c r="J399" s="66"/>
      <c r="K399" s="66"/>
      <c r="L399" s="66"/>
      <c r="M399" s="66"/>
      <c r="N399" s="64"/>
    </row>
    <row r="400" customFormat="false" ht="15" hidden="false" customHeight="false" outlineLevel="0" collapsed="false">
      <c r="A400" s="64"/>
      <c r="B400" s="64"/>
      <c r="C400" s="64"/>
      <c r="D400" s="65"/>
      <c r="E400" s="64"/>
      <c r="F400" s="66"/>
      <c r="G400" s="64"/>
      <c r="H400" s="64"/>
      <c r="I400" s="66"/>
      <c r="J400" s="66"/>
      <c r="K400" s="66"/>
      <c r="L400" s="66"/>
      <c r="M400" s="66"/>
      <c r="N400" s="64"/>
    </row>
    <row r="401" customFormat="false" ht="15" hidden="false" customHeight="false" outlineLevel="0" collapsed="false">
      <c r="A401" s="64"/>
      <c r="B401" s="64"/>
      <c r="C401" s="64"/>
      <c r="D401" s="65"/>
      <c r="E401" s="64"/>
      <c r="F401" s="66"/>
      <c r="G401" s="64"/>
      <c r="H401" s="64"/>
      <c r="I401" s="66"/>
      <c r="J401" s="66"/>
      <c r="K401" s="66"/>
      <c r="L401" s="66"/>
      <c r="M401" s="66"/>
      <c r="N401" s="64"/>
    </row>
    <row r="402" customFormat="false" ht="15" hidden="false" customHeight="false" outlineLevel="0" collapsed="false">
      <c r="A402" s="64"/>
      <c r="B402" s="64"/>
      <c r="C402" s="64"/>
      <c r="D402" s="65"/>
      <c r="E402" s="64"/>
      <c r="F402" s="66"/>
      <c r="G402" s="64"/>
      <c r="H402" s="64"/>
      <c r="I402" s="66"/>
      <c r="J402" s="66"/>
      <c r="K402" s="66"/>
      <c r="L402" s="66"/>
      <c r="M402" s="66"/>
      <c r="N402" s="64"/>
    </row>
    <row r="403" customFormat="false" ht="15" hidden="false" customHeight="false" outlineLevel="0" collapsed="false">
      <c r="A403" s="64"/>
      <c r="B403" s="64"/>
      <c r="C403" s="64"/>
      <c r="D403" s="65"/>
      <c r="E403" s="64"/>
      <c r="F403" s="66"/>
      <c r="G403" s="64"/>
      <c r="H403" s="64"/>
      <c r="I403" s="66"/>
      <c r="J403" s="66"/>
      <c r="K403" s="66"/>
      <c r="L403" s="66"/>
      <c r="M403" s="66"/>
      <c r="N403" s="64"/>
    </row>
    <row r="404" customFormat="false" ht="15" hidden="false" customHeight="false" outlineLevel="0" collapsed="false">
      <c r="A404" s="64"/>
      <c r="B404" s="64"/>
      <c r="C404" s="64"/>
      <c r="D404" s="65"/>
      <c r="E404" s="64"/>
      <c r="F404" s="66"/>
      <c r="G404" s="64"/>
      <c r="H404" s="64"/>
      <c r="I404" s="66"/>
      <c r="J404" s="66"/>
      <c r="K404" s="66"/>
      <c r="L404" s="66"/>
      <c r="M404" s="66"/>
      <c r="N404" s="64"/>
    </row>
    <row r="405" customFormat="false" ht="15" hidden="false" customHeight="false" outlineLevel="0" collapsed="false">
      <c r="A405" s="64"/>
      <c r="B405" s="64"/>
      <c r="C405" s="64"/>
      <c r="D405" s="65"/>
      <c r="E405" s="64"/>
      <c r="F405" s="66"/>
      <c r="G405" s="64"/>
      <c r="H405" s="64"/>
      <c r="I405" s="66"/>
      <c r="J405" s="66"/>
      <c r="K405" s="66"/>
      <c r="L405" s="66"/>
      <c r="M405" s="66"/>
      <c r="N405" s="64"/>
    </row>
    <row r="406" customFormat="false" ht="15" hidden="false" customHeight="false" outlineLevel="0" collapsed="false">
      <c r="A406" s="64"/>
      <c r="B406" s="64"/>
      <c r="C406" s="64"/>
      <c r="D406" s="65"/>
      <c r="E406" s="64"/>
      <c r="F406" s="66"/>
      <c r="G406" s="64"/>
      <c r="H406" s="64"/>
      <c r="I406" s="66"/>
      <c r="J406" s="66"/>
      <c r="K406" s="66"/>
      <c r="L406" s="66"/>
      <c r="M406" s="66"/>
      <c r="N406" s="64"/>
    </row>
    <row r="407" customFormat="false" ht="15" hidden="false" customHeight="false" outlineLevel="0" collapsed="false">
      <c r="A407" s="64"/>
      <c r="B407" s="64"/>
      <c r="C407" s="64"/>
      <c r="D407" s="65"/>
      <c r="E407" s="64"/>
      <c r="F407" s="66"/>
      <c r="G407" s="64"/>
      <c r="H407" s="64"/>
      <c r="I407" s="66"/>
      <c r="J407" s="66"/>
      <c r="K407" s="66"/>
      <c r="L407" s="66"/>
      <c r="M407" s="66"/>
      <c r="N407" s="64"/>
    </row>
    <row r="408" customFormat="false" ht="15" hidden="false" customHeight="false" outlineLevel="0" collapsed="false">
      <c r="A408" s="64"/>
      <c r="B408" s="64"/>
      <c r="C408" s="64"/>
      <c r="D408" s="65"/>
      <c r="E408" s="64"/>
      <c r="F408" s="66"/>
      <c r="G408" s="64"/>
      <c r="H408" s="64"/>
      <c r="I408" s="66"/>
      <c r="J408" s="66"/>
      <c r="K408" s="66"/>
      <c r="L408" s="66"/>
      <c r="M408" s="66"/>
      <c r="N408" s="64"/>
    </row>
    <row r="409" customFormat="false" ht="15" hidden="false" customHeight="false" outlineLevel="0" collapsed="false">
      <c r="A409" s="64"/>
      <c r="B409" s="64"/>
      <c r="C409" s="64"/>
      <c r="D409" s="65"/>
      <c r="E409" s="64"/>
      <c r="F409" s="66"/>
      <c r="G409" s="64"/>
      <c r="H409" s="64"/>
      <c r="I409" s="66"/>
      <c r="J409" s="66"/>
      <c r="K409" s="66"/>
      <c r="L409" s="66"/>
      <c r="M409" s="66"/>
      <c r="N409" s="64"/>
    </row>
    <row r="410" customFormat="false" ht="15" hidden="false" customHeight="false" outlineLevel="0" collapsed="false">
      <c r="A410" s="64"/>
      <c r="B410" s="64"/>
      <c r="C410" s="64"/>
      <c r="D410" s="65"/>
      <c r="E410" s="64"/>
      <c r="F410" s="66"/>
      <c r="G410" s="64"/>
      <c r="H410" s="64"/>
      <c r="I410" s="66"/>
      <c r="J410" s="66"/>
      <c r="K410" s="66"/>
      <c r="L410" s="66"/>
      <c r="M410" s="66"/>
      <c r="N410" s="64"/>
    </row>
    <row r="411" customFormat="false" ht="15" hidden="false" customHeight="false" outlineLevel="0" collapsed="false">
      <c r="A411" s="64"/>
      <c r="B411" s="64"/>
      <c r="C411" s="64"/>
      <c r="D411" s="65"/>
      <c r="E411" s="64"/>
      <c r="F411" s="66"/>
      <c r="G411" s="64"/>
      <c r="H411" s="64"/>
      <c r="I411" s="66"/>
      <c r="J411" s="66"/>
      <c r="K411" s="66"/>
      <c r="L411" s="66"/>
      <c r="M411" s="66"/>
      <c r="N411" s="64"/>
    </row>
    <row r="412" customFormat="false" ht="15" hidden="false" customHeight="false" outlineLevel="0" collapsed="false">
      <c r="A412" s="64"/>
      <c r="B412" s="64"/>
      <c r="C412" s="64"/>
      <c r="D412" s="65"/>
      <c r="E412" s="64"/>
      <c r="F412" s="66"/>
      <c r="G412" s="64"/>
      <c r="H412" s="64"/>
      <c r="I412" s="66"/>
      <c r="J412" s="66"/>
      <c r="K412" s="66"/>
      <c r="L412" s="66"/>
      <c r="M412" s="66"/>
      <c r="N412" s="64"/>
    </row>
    <row r="413" customFormat="false" ht="15" hidden="false" customHeight="false" outlineLevel="0" collapsed="false">
      <c r="A413" s="64"/>
      <c r="B413" s="64"/>
      <c r="C413" s="64"/>
      <c r="D413" s="65"/>
      <c r="E413" s="64"/>
      <c r="F413" s="66"/>
      <c r="G413" s="64"/>
      <c r="H413" s="64"/>
      <c r="I413" s="66"/>
      <c r="J413" s="66"/>
      <c r="K413" s="66"/>
      <c r="L413" s="66"/>
      <c r="M413" s="66"/>
      <c r="N413" s="64"/>
    </row>
    <row r="414" customFormat="false" ht="15" hidden="false" customHeight="false" outlineLevel="0" collapsed="false">
      <c r="A414" s="64"/>
      <c r="B414" s="64"/>
      <c r="C414" s="64"/>
      <c r="D414" s="65"/>
      <c r="E414" s="64"/>
      <c r="F414" s="66"/>
      <c r="G414" s="64"/>
      <c r="H414" s="64"/>
      <c r="I414" s="66"/>
      <c r="J414" s="66"/>
      <c r="K414" s="66"/>
      <c r="L414" s="66"/>
      <c r="M414" s="66"/>
      <c r="N414" s="64"/>
    </row>
    <row r="415" customFormat="false" ht="15" hidden="false" customHeight="false" outlineLevel="0" collapsed="false">
      <c r="A415" s="64"/>
      <c r="B415" s="64"/>
      <c r="C415" s="64"/>
      <c r="D415" s="65"/>
      <c r="E415" s="64"/>
      <c r="F415" s="66"/>
      <c r="G415" s="64"/>
      <c r="H415" s="64"/>
      <c r="I415" s="66"/>
      <c r="J415" s="66"/>
      <c r="K415" s="66"/>
      <c r="L415" s="66"/>
      <c r="M415" s="66"/>
      <c r="N415" s="64"/>
    </row>
    <row r="416" customFormat="false" ht="15" hidden="false" customHeight="false" outlineLevel="0" collapsed="false">
      <c r="A416" s="64"/>
      <c r="B416" s="64"/>
      <c r="C416" s="64"/>
      <c r="D416" s="65"/>
      <c r="E416" s="64"/>
      <c r="F416" s="66"/>
      <c r="G416" s="64"/>
      <c r="H416" s="64"/>
      <c r="I416" s="66"/>
      <c r="J416" s="66"/>
      <c r="K416" s="66"/>
      <c r="L416" s="66"/>
      <c r="M416" s="66"/>
      <c r="N416" s="64"/>
    </row>
    <row r="417" customFormat="false" ht="15" hidden="false" customHeight="false" outlineLevel="0" collapsed="false">
      <c r="A417" s="64"/>
      <c r="B417" s="64"/>
      <c r="C417" s="64"/>
      <c r="D417" s="65"/>
      <c r="E417" s="64"/>
      <c r="F417" s="66"/>
      <c r="G417" s="64"/>
      <c r="H417" s="64"/>
      <c r="I417" s="66"/>
      <c r="J417" s="66"/>
      <c r="K417" s="66"/>
      <c r="L417" s="66"/>
      <c r="M417" s="66"/>
      <c r="N417" s="64"/>
    </row>
    <row r="418" customFormat="false" ht="15" hidden="false" customHeight="false" outlineLevel="0" collapsed="false">
      <c r="A418" s="64"/>
      <c r="B418" s="64"/>
      <c r="C418" s="64"/>
      <c r="D418" s="65"/>
      <c r="E418" s="64"/>
      <c r="F418" s="66"/>
      <c r="G418" s="64"/>
      <c r="H418" s="64"/>
      <c r="I418" s="66"/>
      <c r="J418" s="66"/>
      <c r="K418" s="66"/>
      <c r="L418" s="66"/>
      <c r="M418" s="66"/>
      <c r="N418" s="64"/>
    </row>
    <row r="419" customFormat="false" ht="15" hidden="false" customHeight="false" outlineLevel="0" collapsed="false">
      <c r="A419" s="64"/>
      <c r="B419" s="64"/>
      <c r="C419" s="64"/>
      <c r="D419" s="65"/>
      <c r="E419" s="64"/>
      <c r="F419" s="66"/>
      <c r="G419" s="64"/>
      <c r="H419" s="64"/>
      <c r="I419" s="66"/>
      <c r="J419" s="66"/>
      <c r="K419" s="66"/>
      <c r="L419" s="66"/>
      <c r="M419" s="66"/>
      <c r="N419" s="64"/>
    </row>
    <row r="420" customFormat="false" ht="15" hidden="false" customHeight="false" outlineLevel="0" collapsed="false">
      <c r="A420" s="64"/>
      <c r="B420" s="64"/>
      <c r="C420" s="64"/>
      <c r="D420" s="65"/>
      <c r="E420" s="64"/>
      <c r="F420" s="66"/>
      <c r="G420" s="64"/>
      <c r="H420" s="64"/>
      <c r="I420" s="66"/>
      <c r="J420" s="66"/>
      <c r="K420" s="66"/>
      <c r="L420" s="66"/>
      <c r="M420" s="66"/>
      <c r="N420" s="64"/>
    </row>
    <row r="421" customFormat="false" ht="15" hidden="false" customHeight="false" outlineLevel="0" collapsed="false">
      <c r="A421" s="64"/>
      <c r="B421" s="64"/>
      <c r="C421" s="64"/>
      <c r="D421" s="65"/>
      <c r="E421" s="64"/>
      <c r="F421" s="66"/>
      <c r="G421" s="64"/>
      <c r="H421" s="64"/>
      <c r="I421" s="66"/>
      <c r="J421" s="66"/>
      <c r="K421" s="66"/>
      <c r="L421" s="66"/>
      <c r="M421" s="66"/>
      <c r="N421" s="64"/>
    </row>
    <row r="422" customFormat="false" ht="15" hidden="false" customHeight="false" outlineLevel="0" collapsed="false">
      <c r="A422" s="64"/>
      <c r="B422" s="64"/>
      <c r="C422" s="64"/>
      <c r="D422" s="65"/>
      <c r="E422" s="64"/>
      <c r="F422" s="66"/>
      <c r="G422" s="64"/>
      <c r="H422" s="64"/>
      <c r="I422" s="66"/>
      <c r="J422" s="66"/>
      <c r="K422" s="66"/>
      <c r="L422" s="66"/>
      <c r="M422" s="66"/>
      <c r="N422" s="64"/>
    </row>
    <row r="423" customFormat="false" ht="15" hidden="false" customHeight="false" outlineLevel="0" collapsed="false">
      <c r="A423" s="64"/>
      <c r="B423" s="64"/>
      <c r="C423" s="64"/>
      <c r="D423" s="65"/>
      <c r="E423" s="64"/>
      <c r="F423" s="66"/>
      <c r="G423" s="64"/>
      <c r="H423" s="64"/>
      <c r="I423" s="66"/>
      <c r="J423" s="66"/>
      <c r="K423" s="66"/>
      <c r="L423" s="66"/>
      <c r="M423" s="66"/>
      <c r="N423" s="64"/>
    </row>
    <row r="424" customFormat="false" ht="15" hidden="false" customHeight="false" outlineLevel="0" collapsed="false">
      <c r="A424" s="64"/>
      <c r="B424" s="64"/>
      <c r="C424" s="64"/>
      <c r="D424" s="65"/>
      <c r="E424" s="64"/>
      <c r="F424" s="66"/>
      <c r="G424" s="64"/>
      <c r="H424" s="64"/>
      <c r="I424" s="66"/>
      <c r="J424" s="66"/>
      <c r="K424" s="66"/>
      <c r="L424" s="66"/>
      <c r="M424" s="66"/>
      <c r="N424" s="64"/>
    </row>
    <row r="425" customFormat="false" ht="15" hidden="false" customHeight="false" outlineLevel="0" collapsed="false">
      <c r="A425" s="64"/>
      <c r="B425" s="64"/>
      <c r="C425" s="64"/>
      <c r="D425" s="65"/>
      <c r="E425" s="64"/>
      <c r="F425" s="66"/>
      <c r="G425" s="64"/>
      <c r="H425" s="64"/>
      <c r="I425" s="66"/>
      <c r="J425" s="66"/>
      <c r="K425" s="66"/>
      <c r="L425" s="66"/>
      <c r="M425" s="66"/>
      <c r="N425" s="64"/>
    </row>
    <row r="426" customFormat="false" ht="15" hidden="false" customHeight="false" outlineLevel="0" collapsed="false">
      <c r="A426" s="64"/>
      <c r="B426" s="64"/>
      <c r="C426" s="64"/>
      <c r="D426" s="65"/>
      <c r="E426" s="64"/>
      <c r="F426" s="66"/>
      <c r="G426" s="64"/>
      <c r="H426" s="64"/>
      <c r="I426" s="66"/>
      <c r="J426" s="66"/>
      <c r="K426" s="66"/>
      <c r="L426" s="66"/>
      <c r="M426" s="66"/>
      <c r="N426" s="64"/>
    </row>
    <row r="427" customFormat="false" ht="15" hidden="false" customHeight="false" outlineLevel="0" collapsed="false">
      <c r="A427" s="64"/>
      <c r="B427" s="64"/>
      <c r="C427" s="64"/>
      <c r="D427" s="65"/>
      <c r="E427" s="64"/>
      <c r="F427" s="66"/>
      <c r="G427" s="64"/>
      <c r="H427" s="64"/>
      <c r="I427" s="66"/>
      <c r="J427" s="66"/>
      <c r="K427" s="66"/>
      <c r="L427" s="66"/>
      <c r="M427" s="66"/>
      <c r="N427" s="64"/>
    </row>
    <row r="428" customFormat="false" ht="15" hidden="false" customHeight="false" outlineLevel="0" collapsed="false">
      <c r="A428" s="64"/>
      <c r="B428" s="64"/>
      <c r="C428" s="64"/>
      <c r="D428" s="65"/>
      <c r="E428" s="64"/>
      <c r="F428" s="66"/>
      <c r="G428" s="64"/>
      <c r="H428" s="64"/>
      <c r="I428" s="66"/>
      <c r="J428" s="66"/>
      <c r="K428" s="66"/>
      <c r="L428" s="66"/>
      <c r="M428" s="66"/>
      <c r="N428" s="64"/>
    </row>
    <row r="429" customFormat="false" ht="15" hidden="false" customHeight="false" outlineLevel="0" collapsed="false">
      <c r="A429" s="64"/>
      <c r="B429" s="64"/>
      <c r="C429" s="64"/>
      <c r="D429" s="65"/>
      <c r="E429" s="64"/>
      <c r="F429" s="66"/>
      <c r="G429" s="64"/>
      <c r="H429" s="64"/>
      <c r="I429" s="66"/>
      <c r="J429" s="66"/>
      <c r="K429" s="66"/>
      <c r="L429" s="66"/>
      <c r="M429" s="66"/>
      <c r="N429" s="64"/>
    </row>
    <row r="430" customFormat="false" ht="15" hidden="false" customHeight="false" outlineLevel="0" collapsed="false">
      <c r="A430" s="64"/>
      <c r="B430" s="64"/>
      <c r="C430" s="64"/>
      <c r="D430" s="65"/>
      <c r="E430" s="64"/>
      <c r="F430" s="66"/>
      <c r="G430" s="64"/>
      <c r="H430" s="64"/>
      <c r="I430" s="66"/>
      <c r="J430" s="66"/>
      <c r="K430" s="66"/>
      <c r="L430" s="66"/>
      <c r="M430" s="66"/>
      <c r="N430" s="64"/>
    </row>
    <row r="431" customFormat="false" ht="15" hidden="false" customHeight="false" outlineLevel="0" collapsed="false">
      <c r="A431" s="64"/>
      <c r="B431" s="64"/>
      <c r="C431" s="64"/>
      <c r="D431" s="65"/>
      <c r="E431" s="64"/>
      <c r="F431" s="66"/>
      <c r="G431" s="64"/>
      <c r="H431" s="64"/>
      <c r="I431" s="66"/>
      <c r="J431" s="66"/>
      <c r="K431" s="66"/>
      <c r="L431" s="66"/>
      <c r="M431" s="66"/>
      <c r="N431" s="64"/>
    </row>
    <row r="432" customFormat="false" ht="15" hidden="false" customHeight="false" outlineLevel="0" collapsed="false">
      <c r="A432" s="64"/>
      <c r="B432" s="64"/>
      <c r="C432" s="64"/>
      <c r="D432" s="65"/>
      <c r="E432" s="64"/>
      <c r="F432" s="66"/>
      <c r="G432" s="64"/>
      <c r="H432" s="64"/>
      <c r="I432" s="66"/>
      <c r="J432" s="66"/>
      <c r="K432" s="66"/>
      <c r="L432" s="66"/>
      <c r="M432" s="66"/>
      <c r="N432" s="64"/>
    </row>
    <row r="433" customFormat="false" ht="15" hidden="false" customHeight="false" outlineLevel="0" collapsed="false">
      <c r="A433" s="64"/>
      <c r="B433" s="64"/>
      <c r="C433" s="64"/>
      <c r="D433" s="65"/>
      <c r="E433" s="64"/>
      <c r="F433" s="66"/>
      <c r="G433" s="64"/>
      <c r="H433" s="64"/>
      <c r="I433" s="66"/>
      <c r="J433" s="66"/>
      <c r="K433" s="66"/>
      <c r="L433" s="66"/>
      <c r="M433" s="66"/>
      <c r="N433" s="64"/>
    </row>
    <row r="434" customFormat="false" ht="15" hidden="false" customHeight="false" outlineLevel="0" collapsed="false">
      <c r="A434" s="64"/>
      <c r="B434" s="64"/>
      <c r="C434" s="64"/>
      <c r="D434" s="65"/>
      <c r="E434" s="64"/>
      <c r="F434" s="66"/>
      <c r="G434" s="64"/>
      <c r="H434" s="64"/>
      <c r="I434" s="66"/>
      <c r="J434" s="66"/>
      <c r="K434" s="66"/>
      <c r="L434" s="66"/>
      <c r="M434" s="66"/>
      <c r="N434" s="64"/>
    </row>
    <row r="435" customFormat="false" ht="15" hidden="false" customHeight="false" outlineLevel="0" collapsed="false">
      <c r="A435" s="64"/>
      <c r="B435" s="64"/>
      <c r="C435" s="64"/>
      <c r="D435" s="65"/>
      <c r="E435" s="64"/>
      <c r="F435" s="66"/>
      <c r="G435" s="64"/>
      <c r="H435" s="64"/>
      <c r="I435" s="66"/>
      <c r="J435" s="66"/>
      <c r="K435" s="66"/>
      <c r="L435" s="66"/>
      <c r="M435" s="66"/>
      <c r="N435" s="64"/>
    </row>
    <row r="436" customFormat="false" ht="15" hidden="false" customHeight="false" outlineLevel="0" collapsed="false">
      <c r="A436" s="64"/>
      <c r="B436" s="64"/>
      <c r="C436" s="64"/>
      <c r="D436" s="65"/>
      <c r="E436" s="64"/>
      <c r="F436" s="66"/>
      <c r="G436" s="64"/>
      <c r="H436" s="64"/>
      <c r="I436" s="66"/>
      <c r="J436" s="66"/>
      <c r="K436" s="66"/>
      <c r="L436" s="66"/>
      <c r="M436" s="66"/>
      <c r="N436" s="64"/>
    </row>
    <row r="437" customFormat="false" ht="15" hidden="false" customHeight="false" outlineLevel="0" collapsed="false">
      <c r="A437" s="64"/>
      <c r="B437" s="64"/>
      <c r="C437" s="64"/>
      <c r="D437" s="65"/>
      <c r="E437" s="64"/>
      <c r="F437" s="66"/>
      <c r="G437" s="64"/>
      <c r="H437" s="64"/>
      <c r="I437" s="66"/>
      <c r="J437" s="66"/>
      <c r="K437" s="66"/>
      <c r="L437" s="66"/>
      <c r="M437" s="66"/>
      <c r="N437" s="64"/>
    </row>
    <row r="438" customFormat="false" ht="15" hidden="false" customHeight="false" outlineLevel="0" collapsed="false">
      <c r="A438" s="64"/>
      <c r="B438" s="64"/>
      <c r="C438" s="64"/>
      <c r="D438" s="65"/>
      <c r="E438" s="64"/>
      <c r="F438" s="66"/>
      <c r="G438" s="64"/>
      <c r="H438" s="64"/>
      <c r="I438" s="66"/>
      <c r="J438" s="66"/>
      <c r="K438" s="66"/>
      <c r="L438" s="66"/>
      <c r="M438" s="66"/>
      <c r="N438" s="64"/>
    </row>
    <row r="439" customFormat="false" ht="15" hidden="false" customHeight="false" outlineLevel="0" collapsed="false">
      <c r="A439" s="64"/>
      <c r="B439" s="64"/>
      <c r="C439" s="64"/>
      <c r="D439" s="65"/>
      <c r="E439" s="64"/>
      <c r="F439" s="66"/>
      <c r="G439" s="64"/>
      <c r="H439" s="64"/>
      <c r="I439" s="66"/>
      <c r="J439" s="66"/>
      <c r="K439" s="66"/>
      <c r="L439" s="66"/>
      <c r="M439" s="66"/>
      <c r="N439" s="64"/>
    </row>
    <row r="440" customFormat="false" ht="15" hidden="false" customHeight="false" outlineLevel="0" collapsed="false">
      <c r="A440" s="64"/>
      <c r="B440" s="64"/>
      <c r="C440" s="64"/>
      <c r="D440" s="65"/>
      <c r="E440" s="64"/>
      <c r="F440" s="66"/>
      <c r="G440" s="64"/>
      <c r="H440" s="64"/>
      <c r="I440" s="66"/>
      <c r="J440" s="66"/>
      <c r="K440" s="66"/>
      <c r="L440" s="66"/>
      <c r="M440" s="66"/>
      <c r="N440" s="64"/>
    </row>
    <row r="441" customFormat="false" ht="15" hidden="false" customHeight="false" outlineLevel="0" collapsed="false">
      <c r="A441" s="64"/>
      <c r="B441" s="64"/>
      <c r="C441" s="64"/>
      <c r="D441" s="65"/>
      <c r="E441" s="64"/>
      <c r="F441" s="66"/>
      <c r="G441" s="64"/>
      <c r="H441" s="64"/>
      <c r="I441" s="66"/>
      <c r="J441" s="66"/>
      <c r="K441" s="66"/>
      <c r="L441" s="66"/>
      <c r="M441" s="66"/>
      <c r="N441" s="64"/>
    </row>
    <row r="442" customFormat="false" ht="15" hidden="false" customHeight="false" outlineLevel="0" collapsed="false">
      <c r="A442" s="64"/>
      <c r="B442" s="64"/>
      <c r="C442" s="64"/>
      <c r="D442" s="65"/>
      <c r="E442" s="64"/>
      <c r="F442" s="66"/>
      <c r="G442" s="64"/>
      <c r="H442" s="64"/>
      <c r="I442" s="66"/>
      <c r="J442" s="66"/>
      <c r="K442" s="66"/>
      <c r="L442" s="66"/>
      <c r="M442" s="66"/>
      <c r="N442" s="64"/>
    </row>
    <row r="443" customFormat="false" ht="15" hidden="false" customHeight="false" outlineLevel="0" collapsed="false">
      <c r="A443" s="64"/>
      <c r="B443" s="64"/>
      <c r="C443" s="64"/>
      <c r="D443" s="65"/>
      <c r="E443" s="64"/>
      <c r="F443" s="66"/>
      <c r="G443" s="64"/>
      <c r="H443" s="64"/>
      <c r="I443" s="66"/>
      <c r="J443" s="66"/>
      <c r="K443" s="66"/>
      <c r="L443" s="66"/>
      <c r="M443" s="66"/>
      <c r="N443" s="64"/>
    </row>
    <row r="444" customFormat="false" ht="15" hidden="false" customHeight="false" outlineLevel="0" collapsed="false">
      <c r="A444" s="64"/>
      <c r="B444" s="64"/>
      <c r="C444" s="64"/>
      <c r="D444" s="65"/>
      <c r="E444" s="64"/>
      <c r="F444" s="66"/>
      <c r="G444" s="64"/>
      <c r="H444" s="64"/>
      <c r="I444" s="66"/>
      <c r="J444" s="66"/>
      <c r="K444" s="66"/>
      <c r="L444" s="66"/>
      <c r="M444" s="66"/>
      <c r="N444" s="64"/>
    </row>
    <row r="445" customFormat="false" ht="15" hidden="false" customHeight="false" outlineLevel="0" collapsed="false">
      <c r="A445" s="64"/>
      <c r="B445" s="64"/>
      <c r="C445" s="64"/>
      <c r="D445" s="65"/>
      <c r="E445" s="64"/>
      <c r="F445" s="66"/>
      <c r="G445" s="64"/>
      <c r="H445" s="64"/>
      <c r="I445" s="66"/>
      <c r="J445" s="66"/>
      <c r="K445" s="66"/>
      <c r="L445" s="66"/>
      <c r="M445" s="66"/>
      <c r="N445" s="64"/>
    </row>
    <row r="446" customFormat="false" ht="15" hidden="false" customHeight="false" outlineLevel="0" collapsed="false">
      <c r="A446" s="64"/>
      <c r="B446" s="64"/>
      <c r="C446" s="64"/>
      <c r="D446" s="65"/>
      <c r="E446" s="64"/>
      <c r="F446" s="66"/>
      <c r="G446" s="64"/>
      <c r="H446" s="64"/>
      <c r="I446" s="66"/>
      <c r="J446" s="66"/>
      <c r="K446" s="66"/>
      <c r="L446" s="66"/>
      <c r="M446" s="66"/>
      <c r="N446" s="64"/>
    </row>
    <row r="447" customFormat="false" ht="15" hidden="false" customHeight="false" outlineLevel="0" collapsed="false">
      <c r="A447" s="64"/>
      <c r="B447" s="64"/>
      <c r="C447" s="64"/>
      <c r="D447" s="65"/>
      <c r="E447" s="64"/>
      <c r="F447" s="66"/>
      <c r="G447" s="64"/>
      <c r="H447" s="64"/>
      <c r="I447" s="66"/>
      <c r="J447" s="66"/>
      <c r="K447" s="66"/>
      <c r="L447" s="66"/>
      <c r="M447" s="66"/>
      <c r="N447" s="64"/>
    </row>
    <row r="448" customFormat="false" ht="15" hidden="false" customHeight="false" outlineLevel="0" collapsed="false">
      <c r="A448" s="64"/>
      <c r="B448" s="64"/>
      <c r="C448" s="64"/>
      <c r="D448" s="65"/>
      <c r="E448" s="64"/>
      <c r="F448" s="66"/>
      <c r="G448" s="64"/>
      <c r="H448" s="64"/>
      <c r="I448" s="66"/>
      <c r="J448" s="66"/>
      <c r="K448" s="66"/>
      <c r="L448" s="66"/>
      <c r="M448" s="66"/>
      <c r="N448" s="64"/>
    </row>
    <row r="449" customFormat="false" ht="15" hidden="false" customHeight="false" outlineLevel="0" collapsed="false">
      <c r="A449" s="64"/>
      <c r="B449" s="64"/>
      <c r="C449" s="64"/>
      <c r="D449" s="65"/>
      <c r="E449" s="64"/>
      <c r="F449" s="66"/>
      <c r="G449" s="64"/>
      <c r="H449" s="64"/>
      <c r="I449" s="66"/>
      <c r="J449" s="66"/>
      <c r="K449" s="66"/>
      <c r="L449" s="66"/>
      <c r="M449" s="66"/>
      <c r="N449" s="64"/>
    </row>
    <row r="450" customFormat="false" ht="15" hidden="false" customHeight="false" outlineLevel="0" collapsed="false">
      <c r="A450" s="64"/>
      <c r="B450" s="64"/>
      <c r="C450" s="64"/>
      <c r="D450" s="65"/>
      <c r="E450" s="64"/>
      <c r="F450" s="66"/>
      <c r="G450" s="64"/>
      <c r="H450" s="64"/>
      <c r="I450" s="66"/>
      <c r="J450" s="66"/>
      <c r="K450" s="66"/>
      <c r="L450" s="66"/>
      <c r="M450" s="66"/>
      <c r="N450" s="64"/>
    </row>
    <row r="451" customFormat="false" ht="15" hidden="false" customHeight="false" outlineLevel="0" collapsed="false">
      <c r="A451" s="64"/>
      <c r="B451" s="64"/>
      <c r="C451" s="64"/>
      <c r="D451" s="65"/>
      <c r="E451" s="64"/>
      <c r="F451" s="66"/>
      <c r="G451" s="64"/>
      <c r="H451" s="64"/>
      <c r="I451" s="66"/>
      <c r="J451" s="66"/>
      <c r="K451" s="66"/>
      <c r="L451" s="66"/>
      <c r="M451" s="66"/>
      <c r="N451" s="64"/>
    </row>
    <row r="452" customFormat="false" ht="15" hidden="false" customHeight="false" outlineLevel="0" collapsed="false">
      <c r="A452" s="64"/>
      <c r="B452" s="64"/>
      <c r="C452" s="64"/>
      <c r="D452" s="65"/>
      <c r="E452" s="64"/>
      <c r="F452" s="66"/>
      <c r="G452" s="64"/>
      <c r="H452" s="64"/>
      <c r="I452" s="66"/>
      <c r="J452" s="66"/>
      <c r="K452" s="66"/>
      <c r="L452" s="66"/>
      <c r="M452" s="66"/>
      <c r="N452" s="64"/>
    </row>
    <row r="453" customFormat="false" ht="15" hidden="false" customHeight="false" outlineLevel="0" collapsed="false">
      <c r="A453" s="64"/>
      <c r="B453" s="64"/>
      <c r="C453" s="64"/>
      <c r="D453" s="65"/>
      <c r="E453" s="64"/>
      <c r="F453" s="66"/>
      <c r="G453" s="64"/>
      <c r="H453" s="64"/>
      <c r="I453" s="66"/>
      <c r="J453" s="66"/>
      <c r="K453" s="66"/>
      <c r="L453" s="66"/>
      <c r="M453" s="66"/>
      <c r="N453" s="64"/>
    </row>
    <row r="454" customFormat="false" ht="15" hidden="false" customHeight="false" outlineLevel="0" collapsed="false">
      <c r="A454" s="64"/>
      <c r="B454" s="64"/>
      <c r="C454" s="64"/>
      <c r="D454" s="65"/>
      <c r="E454" s="64"/>
      <c r="F454" s="66"/>
      <c r="G454" s="64"/>
      <c r="H454" s="64"/>
      <c r="I454" s="66"/>
      <c r="J454" s="66"/>
      <c r="K454" s="66"/>
      <c r="L454" s="66"/>
      <c r="M454" s="66"/>
      <c r="N454" s="64"/>
    </row>
    <row r="455" customFormat="false" ht="15" hidden="false" customHeight="false" outlineLevel="0" collapsed="false">
      <c r="A455" s="64"/>
      <c r="B455" s="64"/>
      <c r="C455" s="64"/>
      <c r="D455" s="65"/>
      <c r="E455" s="64"/>
      <c r="F455" s="66"/>
      <c r="G455" s="64"/>
      <c r="H455" s="64"/>
      <c r="I455" s="66"/>
      <c r="J455" s="66"/>
      <c r="K455" s="66"/>
      <c r="L455" s="66"/>
      <c r="M455" s="66"/>
      <c r="N455" s="64"/>
    </row>
    <row r="456" customFormat="false" ht="15" hidden="false" customHeight="false" outlineLevel="0" collapsed="false">
      <c r="A456" s="64"/>
      <c r="B456" s="64"/>
      <c r="C456" s="64"/>
      <c r="D456" s="65"/>
      <c r="E456" s="64"/>
      <c r="F456" s="66"/>
      <c r="G456" s="64"/>
      <c r="H456" s="64"/>
      <c r="I456" s="66"/>
      <c r="J456" s="66"/>
      <c r="K456" s="66"/>
      <c r="L456" s="66"/>
      <c r="M456" s="66"/>
      <c r="N456" s="64"/>
    </row>
    <row r="457" customFormat="false" ht="15" hidden="false" customHeight="false" outlineLevel="0" collapsed="false">
      <c r="A457" s="64"/>
      <c r="B457" s="64"/>
      <c r="C457" s="64"/>
      <c r="D457" s="65"/>
      <c r="E457" s="64"/>
      <c r="F457" s="66"/>
      <c r="G457" s="64"/>
      <c r="H457" s="64"/>
      <c r="I457" s="66"/>
      <c r="J457" s="66"/>
      <c r="K457" s="66"/>
      <c r="L457" s="66"/>
      <c r="M457" s="66"/>
      <c r="N457" s="64"/>
    </row>
    <row r="458" customFormat="false" ht="15" hidden="false" customHeight="false" outlineLevel="0" collapsed="false">
      <c r="A458" s="64"/>
      <c r="B458" s="64"/>
      <c r="C458" s="64"/>
      <c r="D458" s="65"/>
      <c r="E458" s="64"/>
      <c r="F458" s="66"/>
      <c r="G458" s="64"/>
      <c r="H458" s="64"/>
      <c r="I458" s="66"/>
      <c r="J458" s="66"/>
      <c r="K458" s="66"/>
      <c r="L458" s="66"/>
      <c r="M458" s="66"/>
      <c r="N458" s="64"/>
    </row>
    <row r="459" customFormat="false" ht="15" hidden="false" customHeight="false" outlineLevel="0" collapsed="false">
      <c r="A459" s="64"/>
      <c r="B459" s="64"/>
      <c r="C459" s="64"/>
      <c r="D459" s="65"/>
      <c r="E459" s="64"/>
      <c r="F459" s="66"/>
      <c r="G459" s="64"/>
      <c r="H459" s="64"/>
      <c r="I459" s="66"/>
      <c r="J459" s="66"/>
      <c r="K459" s="66"/>
      <c r="L459" s="66"/>
      <c r="M459" s="66"/>
      <c r="N459" s="64"/>
    </row>
    <row r="460" customFormat="false" ht="15" hidden="false" customHeight="false" outlineLevel="0" collapsed="false">
      <c r="A460" s="64"/>
      <c r="B460" s="64"/>
      <c r="C460" s="64"/>
      <c r="D460" s="65"/>
      <c r="E460" s="64"/>
      <c r="F460" s="66"/>
      <c r="G460" s="64"/>
      <c r="H460" s="64"/>
      <c r="I460" s="66"/>
      <c r="J460" s="66"/>
      <c r="K460" s="66"/>
      <c r="L460" s="66"/>
      <c r="M460" s="66"/>
      <c r="N460" s="64"/>
    </row>
    <row r="461" customFormat="false" ht="15" hidden="false" customHeight="false" outlineLevel="0" collapsed="false">
      <c r="A461" s="64"/>
      <c r="B461" s="64"/>
      <c r="C461" s="64"/>
      <c r="D461" s="65"/>
      <c r="E461" s="64"/>
      <c r="F461" s="66"/>
      <c r="G461" s="64"/>
      <c r="H461" s="64"/>
      <c r="I461" s="66"/>
      <c r="J461" s="66"/>
      <c r="K461" s="66"/>
      <c r="L461" s="66"/>
      <c r="M461" s="66"/>
      <c r="N461" s="64"/>
    </row>
    <row r="462" customFormat="false" ht="15" hidden="false" customHeight="false" outlineLevel="0" collapsed="false">
      <c r="A462" s="64"/>
      <c r="B462" s="64"/>
      <c r="C462" s="64"/>
      <c r="D462" s="65"/>
      <c r="E462" s="64"/>
      <c r="F462" s="66"/>
      <c r="G462" s="64"/>
      <c r="H462" s="64"/>
      <c r="I462" s="66"/>
      <c r="J462" s="66"/>
      <c r="K462" s="66"/>
      <c r="L462" s="66"/>
      <c r="M462" s="66"/>
      <c r="N462" s="64"/>
    </row>
    <row r="463" customFormat="false" ht="15" hidden="false" customHeight="false" outlineLevel="0" collapsed="false">
      <c r="A463" s="64"/>
      <c r="B463" s="64"/>
      <c r="C463" s="64"/>
      <c r="D463" s="65"/>
      <c r="E463" s="64"/>
      <c r="F463" s="66"/>
      <c r="G463" s="64"/>
      <c r="H463" s="64"/>
      <c r="I463" s="66"/>
      <c r="J463" s="66"/>
      <c r="K463" s="66"/>
      <c r="L463" s="66"/>
      <c r="M463" s="66"/>
      <c r="N463" s="64"/>
    </row>
    <row r="464" customFormat="false" ht="15" hidden="false" customHeight="false" outlineLevel="0" collapsed="false">
      <c r="A464" s="64"/>
      <c r="B464" s="64"/>
      <c r="C464" s="64"/>
      <c r="D464" s="65"/>
      <c r="E464" s="64"/>
      <c r="F464" s="66"/>
      <c r="G464" s="64"/>
      <c r="H464" s="64"/>
      <c r="I464" s="66"/>
      <c r="J464" s="66"/>
      <c r="K464" s="66"/>
      <c r="L464" s="66"/>
      <c r="M464" s="66"/>
      <c r="N464" s="64"/>
    </row>
    <row r="465" customFormat="false" ht="15" hidden="false" customHeight="false" outlineLevel="0" collapsed="false">
      <c r="A465" s="64"/>
      <c r="B465" s="64"/>
      <c r="C465" s="64"/>
      <c r="D465" s="65"/>
      <c r="E465" s="64"/>
      <c r="F465" s="66"/>
      <c r="G465" s="64"/>
      <c r="H465" s="64"/>
      <c r="I465" s="66"/>
      <c r="J465" s="66"/>
      <c r="K465" s="66"/>
      <c r="L465" s="66"/>
      <c r="M465" s="66"/>
      <c r="N465" s="64"/>
    </row>
    <row r="466" customFormat="false" ht="15" hidden="false" customHeight="false" outlineLevel="0" collapsed="false">
      <c r="A466" s="64"/>
      <c r="B466" s="64"/>
      <c r="C466" s="64"/>
      <c r="D466" s="65"/>
      <c r="E466" s="64"/>
      <c r="F466" s="66"/>
      <c r="G466" s="64"/>
      <c r="H466" s="64"/>
      <c r="I466" s="66"/>
      <c r="J466" s="66"/>
      <c r="K466" s="66"/>
      <c r="L466" s="66"/>
      <c r="M466" s="66"/>
      <c r="N466" s="64"/>
    </row>
    <row r="467" customFormat="false" ht="15" hidden="false" customHeight="false" outlineLevel="0" collapsed="false">
      <c r="A467" s="64"/>
      <c r="B467" s="64"/>
      <c r="C467" s="64"/>
      <c r="D467" s="65"/>
      <c r="E467" s="64"/>
      <c r="F467" s="66"/>
      <c r="G467" s="64"/>
      <c r="H467" s="64"/>
      <c r="I467" s="66"/>
      <c r="J467" s="66"/>
      <c r="K467" s="66"/>
      <c r="L467" s="66"/>
      <c r="M467" s="66"/>
      <c r="N467" s="64"/>
    </row>
    <row r="468" customFormat="false" ht="15" hidden="false" customHeight="false" outlineLevel="0" collapsed="false">
      <c r="A468" s="64"/>
      <c r="B468" s="64"/>
      <c r="C468" s="64"/>
      <c r="D468" s="65"/>
      <c r="E468" s="64"/>
      <c r="F468" s="66"/>
      <c r="G468" s="64"/>
      <c r="H468" s="64"/>
      <c r="I468" s="66"/>
      <c r="J468" s="66"/>
      <c r="K468" s="66"/>
      <c r="L468" s="66"/>
      <c r="M468" s="66"/>
      <c r="N468" s="64"/>
    </row>
    <row r="469" customFormat="false" ht="15" hidden="false" customHeight="false" outlineLevel="0" collapsed="false">
      <c r="A469" s="64"/>
      <c r="B469" s="64"/>
      <c r="C469" s="64"/>
      <c r="D469" s="65"/>
      <c r="E469" s="64"/>
      <c r="F469" s="66"/>
      <c r="G469" s="64"/>
      <c r="H469" s="64"/>
      <c r="I469" s="66"/>
      <c r="J469" s="66"/>
      <c r="K469" s="66"/>
      <c r="L469" s="66"/>
      <c r="M469" s="66"/>
      <c r="N469" s="64"/>
    </row>
    <row r="470" customFormat="false" ht="15" hidden="false" customHeight="false" outlineLevel="0" collapsed="false">
      <c r="A470" s="64"/>
      <c r="B470" s="64"/>
      <c r="C470" s="64"/>
      <c r="D470" s="65"/>
      <c r="E470" s="64"/>
      <c r="F470" s="66"/>
      <c r="G470" s="64"/>
      <c r="H470" s="64"/>
      <c r="I470" s="66"/>
      <c r="J470" s="66"/>
      <c r="K470" s="66"/>
      <c r="L470" s="66"/>
      <c r="M470" s="66"/>
      <c r="N470" s="64"/>
    </row>
    <row r="471" customFormat="false" ht="15" hidden="false" customHeight="false" outlineLevel="0" collapsed="false">
      <c r="A471" s="64"/>
      <c r="B471" s="64"/>
      <c r="C471" s="64"/>
      <c r="D471" s="65"/>
      <c r="E471" s="64"/>
      <c r="F471" s="66"/>
      <c r="G471" s="64"/>
      <c r="H471" s="64"/>
      <c r="I471" s="66"/>
      <c r="J471" s="66"/>
      <c r="K471" s="66"/>
      <c r="L471" s="66"/>
      <c r="M471" s="66"/>
      <c r="N471" s="64"/>
    </row>
    <row r="472" customFormat="false" ht="15" hidden="false" customHeight="false" outlineLevel="0" collapsed="false">
      <c r="A472" s="64"/>
      <c r="B472" s="64"/>
      <c r="C472" s="64"/>
      <c r="D472" s="65"/>
      <c r="E472" s="64"/>
      <c r="F472" s="66"/>
      <c r="G472" s="64"/>
      <c r="H472" s="64"/>
      <c r="I472" s="66"/>
      <c r="J472" s="66"/>
      <c r="K472" s="66"/>
      <c r="L472" s="66"/>
      <c r="M472" s="66"/>
      <c r="N472" s="64"/>
    </row>
    <row r="473" customFormat="false" ht="15" hidden="false" customHeight="false" outlineLevel="0" collapsed="false">
      <c r="A473" s="64"/>
      <c r="B473" s="64"/>
      <c r="C473" s="64"/>
      <c r="D473" s="65"/>
      <c r="E473" s="64"/>
      <c r="F473" s="66"/>
      <c r="G473" s="64"/>
      <c r="H473" s="64"/>
      <c r="I473" s="66"/>
      <c r="J473" s="66"/>
      <c r="K473" s="66"/>
      <c r="L473" s="66"/>
      <c r="M473" s="66"/>
      <c r="N473" s="64"/>
    </row>
    <row r="474" customFormat="false" ht="15" hidden="false" customHeight="false" outlineLevel="0" collapsed="false">
      <c r="A474" s="64"/>
      <c r="B474" s="64"/>
      <c r="C474" s="64"/>
      <c r="D474" s="65"/>
      <c r="E474" s="64"/>
      <c r="F474" s="66"/>
      <c r="G474" s="64"/>
      <c r="H474" s="64"/>
      <c r="I474" s="66"/>
      <c r="J474" s="66"/>
      <c r="K474" s="66"/>
      <c r="L474" s="66"/>
      <c r="M474" s="66"/>
      <c r="N474" s="64"/>
    </row>
    <row r="475" customFormat="false" ht="15" hidden="false" customHeight="false" outlineLevel="0" collapsed="false">
      <c r="A475" s="64"/>
      <c r="B475" s="64"/>
      <c r="C475" s="64"/>
      <c r="D475" s="65"/>
      <c r="E475" s="64"/>
      <c r="F475" s="66"/>
      <c r="G475" s="64"/>
      <c r="H475" s="64"/>
      <c r="I475" s="66"/>
      <c r="J475" s="66"/>
      <c r="K475" s="66"/>
      <c r="L475" s="66"/>
      <c r="M475" s="66"/>
      <c r="N475" s="64"/>
    </row>
    <row r="476" customFormat="false" ht="15" hidden="false" customHeight="false" outlineLevel="0" collapsed="false">
      <c r="A476" s="64"/>
      <c r="B476" s="64"/>
      <c r="C476" s="64"/>
      <c r="D476" s="65"/>
      <c r="E476" s="64"/>
      <c r="F476" s="66"/>
      <c r="G476" s="64"/>
      <c r="H476" s="64"/>
      <c r="I476" s="66"/>
      <c r="J476" s="66"/>
      <c r="K476" s="66"/>
      <c r="L476" s="66"/>
      <c r="M476" s="66"/>
      <c r="N476" s="64"/>
    </row>
    <row r="477" customFormat="false" ht="15" hidden="false" customHeight="false" outlineLevel="0" collapsed="false">
      <c r="A477" s="64"/>
      <c r="B477" s="64"/>
      <c r="C477" s="64"/>
      <c r="D477" s="65"/>
      <c r="E477" s="64"/>
      <c r="F477" s="66"/>
      <c r="G477" s="64"/>
      <c r="H477" s="64"/>
      <c r="I477" s="66"/>
      <c r="J477" s="66"/>
      <c r="K477" s="66"/>
      <c r="L477" s="66"/>
      <c r="M477" s="66"/>
      <c r="N477" s="64"/>
    </row>
    <row r="478" customFormat="false" ht="15" hidden="false" customHeight="false" outlineLevel="0" collapsed="false">
      <c r="A478" s="64"/>
      <c r="B478" s="64"/>
      <c r="C478" s="64"/>
      <c r="D478" s="65"/>
      <c r="E478" s="64"/>
      <c r="F478" s="66"/>
      <c r="G478" s="64"/>
      <c r="H478" s="64"/>
      <c r="I478" s="66"/>
      <c r="J478" s="66"/>
      <c r="K478" s="66"/>
      <c r="L478" s="66"/>
      <c r="M478" s="66"/>
      <c r="N478" s="64"/>
    </row>
    <row r="479" customFormat="false" ht="15" hidden="false" customHeight="false" outlineLevel="0" collapsed="false">
      <c r="A479" s="64"/>
      <c r="B479" s="64"/>
      <c r="C479" s="64"/>
      <c r="D479" s="65"/>
      <c r="E479" s="64"/>
      <c r="F479" s="66"/>
      <c r="G479" s="64"/>
      <c r="H479" s="64"/>
      <c r="I479" s="66"/>
      <c r="J479" s="66"/>
      <c r="K479" s="66"/>
      <c r="L479" s="66"/>
      <c r="M479" s="66"/>
      <c r="N479" s="64"/>
    </row>
    <row r="480" customFormat="false" ht="15" hidden="false" customHeight="false" outlineLevel="0" collapsed="false">
      <c r="A480" s="64"/>
      <c r="B480" s="64"/>
      <c r="C480" s="64"/>
      <c r="D480" s="65"/>
      <c r="E480" s="64"/>
      <c r="F480" s="66"/>
      <c r="G480" s="64"/>
      <c r="H480" s="64"/>
      <c r="I480" s="66"/>
      <c r="J480" s="66"/>
      <c r="K480" s="66"/>
      <c r="L480" s="66"/>
      <c r="M480" s="66"/>
      <c r="N480" s="64"/>
    </row>
    <row r="481" customFormat="false" ht="15" hidden="false" customHeight="false" outlineLevel="0" collapsed="false">
      <c r="A481" s="64"/>
      <c r="B481" s="64"/>
      <c r="C481" s="64"/>
      <c r="D481" s="65"/>
      <c r="E481" s="64"/>
      <c r="F481" s="66"/>
      <c r="G481" s="64"/>
      <c r="H481" s="64"/>
      <c r="I481" s="66"/>
      <c r="J481" s="66"/>
      <c r="K481" s="66"/>
      <c r="L481" s="66"/>
      <c r="M481" s="66"/>
      <c r="N481" s="64"/>
    </row>
    <row r="482" customFormat="false" ht="15" hidden="false" customHeight="false" outlineLevel="0" collapsed="false">
      <c r="A482" s="64"/>
      <c r="B482" s="64"/>
      <c r="C482" s="64"/>
      <c r="D482" s="65"/>
      <c r="E482" s="64"/>
      <c r="F482" s="66"/>
      <c r="G482" s="64"/>
      <c r="H482" s="64"/>
      <c r="I482" s="66"/>
      <c r="J482" s="66"/>
      <c r="K482" s="66"/>
      <c r="L482" s="66"/>
      <c r="M482" s="66"/>
      <c r="N482" s="64"/>
    </row>
    <row r="483" customFormat="false" ht="15" hidden="false" customHeight="false" outlineLevel="0" collapsed="false">
      <c r="A483" s="64"/>
      <c r="B483" s="64"/>
      <c r="C483" s="64"/>
      <c r="D483" s="65"/>
      <c r="E483" s="64"/>
      <c r="F483" s="66"/>
      <c r="G483" s="64"/>
      <c r="H483" s="64"/>
      <c r="I483" s="66"/>
      <c r="J483" s="66"/>
      <c r="K483" s="66"/>
      <c r="L483" s="66"/>
      <c r="M483" s="66"/>
      <c r="N483" s="64"/>
    </row>
    <row r="484" customFormat="false" ht="15" hidden="false" customHeight="false" outlineLevel="0" collapsed="false">
      <c r="A484" s="64"/>
      <c r="B484" s="64"/>
      <c r="C484" s="64"/>
      <c r="D484" s="65"/>
      <c r="E484" s="64"/>
      <c r="F484" s="66"/>
      <c r="G484" s="64"/>
      <c r="H484" s="64"/>
      <c r="I484" s="66"/>
      <c r="J484" s="66"/>
      <c r="K484" s="66"/>
      <c r="L484" s="66"/>
      <c r="M484" s="66"/>
      <c r="N484" s="64"/>
    </row>
    <row r="485" customFormat="false" ht="15" hidden="false" customHeight="false" outlineLevel="0" collapsed="false">
      <c r="A485" s="64"/>
      <c r="B485" s="64"/>
      <c r="C485" s="64"/>
      <c r="D485" s="65"/>
      <c r="E485" s="64"/>
      <c r="F485" s="66"/>
      <c r="G485" s="64"/>
      <c r="H485" s="64"/>
      <c r="I485" s="66"/>
      <c r="J485" s="66"/>
      <c r="K485" s="66"/>
      <c r="L485" s="66"/>
      <c r="M485" s="66"/>
      <c r="N485" s="64"/>
    </row>
    <row r="486" customFormat="false" ht="15" hidden="false" customHeight="false" outlineLevel="0" collapsed="false">
      <c r="A486" s="64"/>
      <c r="B486" s="64"/>
      <c r="C486" s="64"/>
      <c r="D486" s="65"/>
      <c r="E486" s="64"/>
      <c r="F486" s="66"/>
      <c r="G486" s="64"/>
      <c r="H486" s="64"/>
      <c r="I486" s="66"/>
      <c r="J486" s="66"/>
      <c r="K486" s="66"/>
      <c r="L486" s="66"/>
      <c r="M486" s="66"/>
      <c r="N486" s="64"/>
    </row>
    <row r="487" customFormat="false" ht="15" hidden="false" customHeight="false" outlineLevel="0" collapsed="false">
      <c r="A487" s="64"/>
      <c r="B487" s="64"/>
      <c r="C487" s="64"/>
      <c r="D487" s="65"/>
      <c r="E487" s="64"/>
      <c r="F487" s="66"/>
      <c r="G487" s="64"/>
      <c r="H487" s="64"/>
      <c r="I487" s="66"/>
      <c r="J487" s="66"/>
      <c r="K487" s="66"/>
      <c r="L487" s="66"/>
      <c r="M487" s="66"/>
      <c r="N487" s="64"/>
    </row>
    <row r="488" customFormat="false" ht="15" hidden="false" customHeight="false" outlineLevel="0" collapsed="false">
      <c r="A488" s="64"/>
      <c r="B488" s="64"/>
      <c r="C488" s="64"/>
      <c r="D488" s="65"/>
      <c r="E488" s="64"/>
      <c r="F488" s="66"/>
      <c r="G488" s="64"/>
      <c r="H488" s="64"/>
      <c r="I488" s="66"/>
      <c r="J488" s="66"/>
      <c r="K488" s="66"/>
      <c r="L488" s="66"/>
      <c r="M488" s="66"/>
      <c r="N488" s="64"/>
    </row>
    <row r="489" customFormat="false" ht="15" hidden="false" customHeight="false" outlineLevel="0" collapsed="false">
      <c r="A489" s="64"/>
      <c r="B489" s="64"/>
      <c r="C489" s="64"/>
      <c r="D489" s="65"/>
      <c r="E489" s="64"/>
      <c r="F489" s="66"/>
      <c r="G489" s="64"/>
      <c r="H489" s="64"/>
      <c r="I489" s="66"/>
      <c r="J489" s="66"/>
      <c r="K489" s="66"/>
      <c r="L489" s="66"/>
      <c r="M489" s="66"/>
      <c r="N489" s="64"/>
    </row>
    <row r="490" customFormat="false" ht="15" hidden="false" customHeight="false" outlineLevel="0" collapsed="false">
      <c r="A490" s="64"/>
      <c r="B490" s="64"/>
      <c r="C490" s="64"/>
      <c r="D490" s="65"/>
      <c r="E490" s="64"/>
      <c r="F490" s="66"/>
      <c r="G490" s="64"/>
      <c r="H490" s="64"/>
      <c r="I490" s="66"/>
      <c r="J490" s="66"/>
      <c r="K490" s="66"/>
      <c r="L490" s="66"/>
      <c r="M490" s="66"/>
      <c r="N490" s="64"/>
    </row>
    <row r="491" customFormat="false" ht="15" hidden="false" customHeight="false" outlineLevel="0" collapsed="false">
      <c r="A491" s="64"/>
      <c r="B491" s="64"/>
      <c r="C491" s="64"/>
      <c r="D491" s="65"/>
      <c r="E491" s="64"/>
      <c r="F491" s="66"/>
      <c r="G491" s="64"/>
      <c r="H491" s="64"/>
      <c r="I491" s="66"/>
      <c r="J491" s="66"/>
      <c r="K491" s="66"/>
      <c r="L491" s="66"/>
      <c r="M491" s="66"/>
      <c r="N491" s="64"/>
    </row>
    <row r="492" customFormat="false" ht="15" hidden="false" customHeight="false" outlineLevel="0" collapsed="false">
      <c r="A492" s="64"/>
      <c r="B492" s="64"/>
      <c r="C492" s="64"/>
      <c r="D492" s="65"/>
      <c r="E492" s="64"/>
      <c r="F492" s="66"/>
      <c r="G492" s="64"/>
      <c r="H492" s="64"/>
      <c r="I492" s="66"/>
      <c r="J492" s="66"/>
      <c r="K492" s="66"/>
      <c r="L492" s="66"/>
      <c r="M492" s="66"/>
      <c r="N492" s="64"/>
    </row>
    <row r="493" customFormat="false" ht="15" hidden="false" customHeight="false" outlineLevel="0" collapsed="false">
      <c r="A493" s="64"/>
      <c r="B493" s="64"/>
      <c r="C493" s="64"/>
      <c r="D493" s="65"/>
      <c r="E493" s="64"/>
      <c r="F493" s="66"/>
      <c r="G493" s="64"/>
      <c r="H493" s="64"/>
      <c r="I493" s="66"/>
      <c r="J493" s="66"/>
      <c r="K493" s="66"/>
      <c r="L493" s="66"/>
      <c r="M493" s="66"/>
      <c r="N493" s="64"/>
    </row>
    <row r="494" customFormat="false" ht="15" hidden="false" customHeight="false" outlineLevel="0" collapsed="false">
      <c r="A494" s="64"/>
      <c r="B494" s="64"/>
      <c r="C494" s="64"/>
      <c r="D494" s="65"/>
      <c r="E494" s="64"/>
      <c r="F494" s="66"/>
      <c r="G494" s="64"/>
      <c r="H494" s="64"/>
      <c r="I494" s="66"/>
      <c r="J494" s="66"/>
      <c r="K494" s="66"/>
      <c r="L494" s="66"/>
      <c r="M494" s="66"/>
      <c r="N494" s="64"/>
    </row>
    <row r="495" customFormat="false" ht="15" hidden="false" customHeight="false" outlineLevel="0" collapsed="false">
      <c r="A495" s="64"/>
      <c r="B495" s="64"/>
      <c r="C495" s="64"/>
      <c r="D495" s="65"/>
      <c r="E495" s="64"/>
      <c r="F495" s="66"/>
      <c r="G495" s="64"/>
      <c r="H495" s="64"/>
      <c r="I495" s="66"/>
      <c r="J495" s="66"/>
      <c r="K495" s="66"/>
      <c r="L495" s="66"/>
      <c r="M495" s="66"/>
      <c r="N495" s="64"/>
    </row>
    <row r="496" customFormat="false" ht="15" hidden="false" customHeight="false" outlineLevel="0" collapsed="false">
      <c r="A496" s="64"/>
      <c r="B496" s="64"/>
      <c r="C496" s="64"/>
      <c r="D496" s="65"/>
      <c r="E496" s="64"/>
      <c r="F496" s="66"/>
      <c r="G496" s="64"/>
      <c r="H496" s="64"/>
      <c r="I496" s="66"/>
      <c r="J496" s="66"/>
      <c r="K496" s="66"/>
      <c r="L496" s="66"/>
      <c r="M496" s="66"/>
      <c r="N496" s="64"/>
    </row>
    <row r="497" customFormat="false" ht="15" hidden="false" customHeight="false" outlineLevel="0" collapsed="false">
      <c r="A497" s="64"/>
      <c r="B497" s="64"/>
      <c r="C497" s="64"/>
      <c r="D497" s="65"/>
      <c r="E497" s="64"/>
      <c r="F497" s="66"/>
      <c r="G497" s="64"/>
      <c r="H497" s="64"/>
      <c r="I497" s="66"/>
      <c r="J497" s="66"/>
      <c r="K497" s="66"/>
      <c r="L497" s="66"/>
      <c r="M497" s="66"/>
      <c r="N497" s="64"/>
    </row>
    <row r="498" customFormat="false" ht="15" hidden="false" customHeight="false" outlineLevel="0" collapsed="false">
      <c r="A498" s="64"/>
      <c r="B498" s="64"/>
      <c r="C498" s="64"/>
      <c r="D498" s="65"/>
      <c r="E498" s="64"/>
      <c r="F498" s="66"/>
      <c r="G498" s="64"/>
      <c r="H498" s="64"/>
      <c r="I498" s="66"/>
      <c r="J498" s="66"/>
      <c r="K498" s="66"/>
      <c r="L498" s="66"/>
      <c r="M498" s="66"/>
      <c r="N498" s="64"/>
    </row>
    <row r="499" customFormat="false" ht="15" hidden="false" customHeight="false" outlineLevel="0" collapsed="false">
      <c r="A499" s="64"/>
      <c r="B499" s="64"/>
      <c r="C499" s="64"/>
      <c r="D499" s="65"/>
      <c r="E499" s="64"/>
      <c r="F499" s="66"/>
      <c r="G499" s="64"/>
      <c r="H499" s="64"/>
      <c r="I499" s="66"/>
      <c r="J499" s="66"/>
      <c r="K499" s="66"/>
      <c r="L499" s="66"/>
      <c r="M499" s="66"/>
      <c r="N499" s="64"/>
    </row>
    <row r="500" customFormat="false" ht="15" hidden="false" customHeight="false" outlineLevel="0" collapsed="false">
      <c r="A500" s="64"/>
      <c r="B500" s="64"/>
      <c r="C500" s="64"/>
      <c r="D500" s="65"/>
      <c r="E500" s="64"/>
      <c r="F500" s="66"/>
      <c r="G500" s="64"/>
      <c r="H500" s="64"/>
      <c r="I500" s="66"/>
      <c r="J500" s="66"/>
      <c r="K500" s="66"/>
      <c r="L500" s="66"/>
      <c r="M500" s="66"/>
      <c r="N500" s="64"/>
    </row>
    <row r="501" customFormat="false" ht="15" hidden="false" customHeight="false" outlineLevel="0" collapsed="false">
      <c r="A501" s="64"/>
      <c r="B501" s="64"/>
      <c r="C501" s="64"/>
      <c r="D501" s="65"/>
      <c r="E501" s="64"/>
      <c r="F501" s="66"/>
      <c r="G501" s="64"/>
      <c r="H501" s="64"/>
      <c r="I501" s="66"/>
      <c r="J501" s="66"/>
      <c r="K501" s="66"/>
      <c r="L501" s="66"/>
      <c r="M501" s="66"/>
      <c r="N501" s="64"/>
    </row>
    <row r="502" customFormat="false" ht="15" hidden="false" customHeight="false" outlineLevel="0" collapsed="false">
      <c r="A502" s="64"/>
      <c r="B502" s="64"/>
      <c r="C502" s="64"/>
      <c r="D502" s="65"/>
      <c r="E502" s="64"/>
      <c r="F502" s="66"/>
      <c r="G502" s="64"/>
      <c r="H502" s="64"/>
      <c r="I502" s="66"/>
      <c r="J502" s="66"/>
      <c r="K502" s="66"/>
      <c r="L502" s="66"/>
      <c r="M502" s="66"/>
      <c r="N502" s="64"/>
    </row>
    <row r="503" customFormat="false" ht="15" hidden="false" customHeight="false" outlineLevel="0" collapsed="false">
      <c r="A503" s="64"/>
      <c r="B503" s="64"/>
      <c r="C503" s="64"/>
      <c r="D503" s="65"/>
      <c r="E503" s="64"/>
      <c r="F503" s="66"/>
      <c r="G503" s="64"/>
      <c r="H503" s="64"/>
      <c r="I503" s="66"/>
      <c r="J503" s="66"/>
      <c r="K503" s="66"/>
      <c r="L503" s="66"/>
      <c r="M503" s="66"/>
      <c r="N503" s="64"/>
    </row>
    <row r="504" customFormat="false" ht="15" hidden="false" customHeight="false" outlineLevel="0" collapsed="false">
      <c r="A504" s="64"/>
      <c r="B504" s="64"/>
      <c r="C504" s="64"/>
      <c r="D504" s="65"/>
      <c r="E504" s="64"/>
      <c r="F504" s="66"/>
      <c r="G504" s="64"/>
      <c r="H504" s="64"/>
      <c r="I504" s="66"/>
      <c r="J504" s="66"/>
      <c r="K504" s="66"/>
      <c r="L504" s="66"/>
      <c r="M504" s="66"/>
      <c r="N504" s="64"/>
    </row>
    <row r="505" customFormat="false" ht="15" hidden="false" customHeight="false" outlineLevel="0" collapsed="false">
      <c r="A505" s="64"/>
      <c r="B505" s="64"/>
      <c r="C505" s="64"/>
      <c r="D505" s="65"/>
      <c r="E505" s="64"/>
      <c r="F505" s="66"/>
      <c r="G505" s="64"/>
      <c r="H505" s="64"/>
      <c r="I505" s="66"/>
      <c r="J505" s="66"/>
      <c r="K505" s="66"/>
      <c r="L505" s="66"/>
      <c r="M505" s="66"/>
      <c r="N505" s="64"/>
    </row>
    <row r="506" customFormat="false" ht="15" hidden="false" customHeight="false" outlineLevel="0" collapsed="false">
      <c r="A506" s="64"/>
      <c r="B506" s="64"/>
      <c r="C506" s="64"/>
      <c r="D506" s="65"/>
      <c r="E506" s="64"/>
      <c r="F506" s="66"/>
      <c r="G506" s="64"/>
      <c r="H506" s="64"/>
      <c r="I506" s="66"/>
      <c r="J506" s="66"/>
      <c r="K506" s="66"/>
      <c r="L506" s="66"/>
      <c r="M506" s="66"/>
      <c r="N506" s="64"/>
    </row>
    <row r="507" customFormat="false" ht="15" hidden="false" customHeight="false" outlineLevel="0" collapsed="false">
      <c r="A507" s="64"/>
      <c r="B507" s="64"/>
      <c r="C507" s="64"/>
      <c r="D507" s="65"/>
      <c r="E507" s="64"/>
      <c r="F507" s="66"/>
      <c r="G507" s="64"/>
      <c r="H507" s="64"/>
      <c r="I507" s="66"/>
      <c r="J507" s="66"/>
      <c r="K507" s="66"/>
      <c r="L507" s="66"/>
      <c r="M507" s="66"/>
      <c r="N507" s="64"/>
    </row>
    <row r="508" customFormat="false" ht="15" hidden="false" customHeight="false" outlineLevel="0" collapsed="false">
      <c r="A508" s="64"/>
      <c r="B508" s="64"/>
      <c r="C508" s="64"/>
      <c r="D508" s="65"/>
      <c r="E508" s="64"/>
      <c r="F508" s="66"/>
      <c r="G508" s="64"/>
      <c r="H508" s="64"/>
      <c r="I508" s="66"/>
      <c r="J508" s="66"/>
      <c r="K508" s="66"/>
      <c r="L508" s="66"/>
      <c r="M508" s="66"/>
      <c r="N508" s="64"/>
    </row>
    <row r="509" customFormat="false" ht="15" hidden="false" customHeight="false" outlineLevel="0" collapsed="false">
      <c r="A509" s="64"/>
      <c r="B509" s="64"/>
      <c r="C509" s="64"/>
      <c r="D509" s="65"/>
      <c r="E509" s="64"/>
      <c r="F509" s="66"/>
      <c r="G509" s="64"/>
      <c r="H509" s="64"/>
      <c r="I509" s="66"/>
      <c r="J509" s="66"/>
      <c r="K509" s="66"/>
      <c r="L509" s="66"/>
      <c r="M509" s="66"/>
      <c r="N509" s="64"/>
    </row>
    <row r="510" customFormat="false" ht="15" hidden="false" customHeight="false" outlineLevel="0" collapsed="false">
      <c r="A510" s="64"/>
      <c r="B510" s="64"/>
      <c r="C510" s="64"/>
      <c r="D510" s="65"/>
      <c r="E510" s="64"/>
      <c r="F510" s="66"/>
      <c r="G510" s="64"/>
      <c r="H510" s="64"/>
      <c r="I510" s="66"/>
      <c r="J510" s="66"/>
      <c r="K510" s="66"/>
      <c r="L510" s="66"/>
      <c r="M510" s="66"/>
      <c r="N510" s="64"/>
    </row>
    <row r="511" customFormat="false" ht="15" hidden="false" customHeight="false" outlineLevel="0" collapsed="false">
      <c r="A511" s="64"/>
      <c r="B511" s="64"/>
      <c r="C511" s="64"/>
      <c r="D511" s="65"/>
      <c r="E511" s="64"/>
      <c r="F511" s="66"/>
      <c r="G511" s="64"/>
      <c r="H511" s="64"/>
      <c r="I511" s="66"/>
      <c r="J511" s="66"/>
      <c r="K511" s="66"/>
      <c r="L511" s="66"/>
      <c r="M511" s="66"/>
      <c r="N511" s="64"/>
    </row>
    <row r="512" customFormat="false" ht="15" hidden="false" customHeight="false" outlineLevel="0" collapsed="false">
      <c r="A512" s="64"/>
      <c r="B512" s="64"/>
      <c r="C512" s="64"/>
      <c r="D512" s="65"/>
      <c r="E512" s="64"/>
      <c r="F512" s="66"/>
      <c r="G512" s="64"/>
      <c r="H512" s="64"/>
      <c r="I512" s="66"/>
      <c r="J512" s="66"/>
      <c r="K512" s="66"/>
      <c r="L512" s="66"/>
      <c r="M512" s="66"/>
      <c r="N512" s="64"/>
    </row>
    <row r="513" customFormat="false" ht="15" hidden="false" customHeight="false" outlineLevel="0" collapsed="false">
      <c r="A513" s="64"/>
      <c r="B513" s="64"/>
      <c r="C513" s="64"/>
      <c r="D513" s="65"/>
      <c r="E513" s="64"/>
      <c r="F513" s="66"/>
      <c r="G513" s="64"/>
      <c r="H513" s="64"/>
      <c r="I513" s="66"/>
      <c r="J513" s="66"/>
      <c r="K513" s="66"/>
      <c r="L513" s="66"/>
      <c r="M513" s="66"/>
      <c r="N513" s="64"/>
    </row>
    <row r="514" customFormat="false" ht="15" hidden="false" customHeight="false" outlineLevel="0" collapsed="false">
      <c r="A514" s="64"/>
      <c r="B514" s="64"/>
      <c r="C514" s="64"/>
      <c r="D514" s="65"/>
      <c r="E514" s="64"/>
      <c r="F514" s="66"/>
      <c r="G514" s="64"/>
      <c r="H514" s="64"/>
      <c r="I514" s="66"/>
      <c r="J514" s="66"/>
      <c r="K514" s="66"/>
      <c r="L514" s="66"/>
      <c r="M514" s="66"/>
      <c r="N514" s="64"/>
    </row>
    <row r="515" customFormat="false" ht="15" hidden="false" customHeight="false" outlineLevel="0" collapsed="false">
      <c r="A515" s="64"/>
      <c r="B515" s="64"/>
      <c r="C515" s="64"/>
      <c r="D515" s="65"/>
      <c r="E515" s="64"/>
      <c r="F515" s="66"/>
      <c r="G515" s="64"/>
      <c r="H515" s="64"/>
      <c r="I515" s="66"/>
      <c r="J515" s="66"/>
      <c r="K515" s="66"/>
      <c r="L515" s="66"/>
      <c r="M515" s="66"/>
      <c r="N515" s="64"/>
    </row>
    <row r="516" customFormat="false" ht="15" hidden="false" customHeight="false" outlineLevel="0" collapsed="false">
      <c r="A516" s="64"/>
      <c r="B516" s="64"/>
      <c r="C516" s="64"/>
      <c r="D516" s="65"/>
      <c r="E516" s="64"/>
      <c r="F516" s="66"/>
      <c r="G516" s="64"/>
      <c r="H516" s="64"/>
      <c r="I516" s="66"/>
      <c r="J516" s="66"/>
      <c r="K516" s="66"/>
      <c r="L516" s="66"/>
      <c r="M516" s="66"/>
      <c r="N516" s="64"/>
    </row>
    <row r="517" customFormat="false" ht="15" hidden="false" customHeight="false" outlineLevel="0" collapsed="false">
      <c r="A517" s="64"/>
      <c r="B517" s="64"/>
      <c r="C517" s="64"/>
      <c r="D517" s="65"/>
      <c r="E517" s="64"/>
      <c r="F517" s="66"/>
      <c r="G517" s="64"/>
      <c r="H517" s="64"/>
      <c r="I517" s="66"/>
      <c r="J517" s="66"/>
      <c r="K517" s="66"/>
      <c r="L517" s="66"/>
      <c r="M517" s="66"/>
      <c r="N517" s="64"/>
    </row>
    <row r="518" customFormat="false" ht="15" hidden="false" customHeight="false" outlineLevel="0" collapsed="false">
      <c r="A518" s="64"/>
      <c r="B518" s="64"/>
      <c r="C518" s="64"/>
      <c r="D518" s="65"/>
      <c r="E518" s="64"/>
      <c r="F518" s="66"/>
      <c r="G518" s="64"/>
      <c r="H518" s="64"/>
      <c r="I518" s="66"/>
      <c r="J518" s="66"/>
      <c r="K518" s="66"/>
      <c r="L518" s="66"/>
      <c r="M518" s="66"/>
      <c r="N518" s="64"/>
    </row>
    <row r="519" customFormat="false" ht="15" hidden="false" customHeight="false" outlineLevel="0" collapsed="false">
      <c r="A519" s="64"/>
      <c r="B519" s="64"/>
      <c r="C519" s="64"/>
      <c r="D519" s="65"/>
      <c r="E519" s="64"/>
      <c r="F519" s="66"/>
      <c r="G519" s="64"/>
      <c r="H519" s="64"/>
      <c r="I519" s="66"/>
      <c r="J519" s="66"/>
      <c r="K519" s="66"/>
      <c r="L519" s="66"/>
      <c r="M519" s="66"/>
      <c r="N519" s="64"/>
    </row>
    <row r="520" customFormat="false" ht="15" hidden="false" customHeight="false" outlineLevel="0" collapsed="false">
      <c r="A520" s="64"/>
      <c r="B520" s="64"/>
      <c r="C520" s="64"/>
      <c r="D520" s="65"/>
      <c r="E520" s="64"/>
      <c r="F520" s="66"/>
      <c r="G520" s="64"/>
      <c r="H520" s="64"/>
      <c r="I520" s="66"/>
      <c r="J520" s="66"/>
      <c r="K520" s="66"/>
      <c r="L520" s="66"/>
      <c r="M520" s="66"/>
      <c r="N520" s="64"/>
    </row>
    <row r="521" customFormat="false" ht="15" hidden="false" customHeight="false" outlineLevel="0" collapsed="false">
      <c r="A521" s="64"/>
      <c r="B521" s="64"/>
      <c r="C521" s="64"/>
      <c r="D521" s="65"/>
      <c r="E521" s="64"/>
      <c r="F521" s="66"/>
      <c r="G521" s="64"/>
      <c r="H521" s="64"/>
      <c r="I521" s="66"/>
      <c r="J521" s="66"/>
      <c r="K521" s="66"/>
      <c r="L521" s="66"/>
      <c r="M521" s="66"/>
      <c r="N521" s="64"/>
    </row>
    <row r="522" customFormat="false" ht="15" hidden="false" customHeight="false" outlineLevel="0" collapsed="false">
      <c r="A522" s="64"/>
      <c r="B522" s="64"/>
      <c r="C522" s="64"/>
      <c r="D522" s="65"/>
      <c r="E522" s="64"/>
      <c r="F522" s="66"/>
      <c r="G522" s="64"/>
      <c r="H522" s="64"/>
      <c r="I522" s="66"/>
      <c r="J522" s="66"/>
      <c r="K522" s="66"/>
      <c r="L522" s="66"/>
      <c r="M522" s="66"/>
      <c r="N522" s="64"/>
    </row>
    <row r="523" customFormat="false" ht="15" hidden="false" customHeight="false" outlineLevel="0" collapsed="false">
      <c r="A523" s="64"/>
      <c r="B523" s="64"/>
      <c r="C523" s="64"/>
      <c r="D523" s="65"/>
      <c r="E523" s="64"/>
      <c r="F523" s="66"/>
      <c r="G523" s="64"/>
      <c r="H523" s="64"/>
      <c r="I523" s="66"/>
      <c r="J523" s="66"/>
      <c r="K523" s="66"/>
      <c r="L523" s="66"/>
      <c r="M523" s="66"/>
      <c r="N523" s="64"/>
    </row>
    <row r="524" customFormat="false" ht="15" hidden="false" customHeight="false" outlineLevel="0" collapsed="false">
      <c r="A524" s="64"/>
      <c r="B524" s="64"/>
      <c r="C524" s="64"/>
      <c r="D524" s="65"/>
      <c r="E524" s="64"/>
      <c r="F524" s="66"/>
      <c r="G524" s="64"/>
      <c r="H524" s="64"/>
      <c r="I524" s="66"/>
      <c r="J524" s="66"/>
      <c r="K524" s="66"/>
      <c r="L524" s="66"/>
      <c r="M524" s="66"/>
      <c r="N524" s="64"/>
    </row>
    <row r="525" customFormat="false" ht="15" hidden="false" customHeight="false" outlineLevel="0" collapsed="false">
      <c r="A525" s="64"/>
      <c r="B525" s="64"/>
      <c r="C525" s="64"/>
      <c r="D525" s="65"/>
      <c r="E525" s="64"/>
      <c r="F525" s="66"/>
      <c r="G525" s="64"/>
      <c r="H525" s="64"/>
      <c r="I525" s="66"/>
      <c r="J525" s="66"/>
      <c r="K525" s="66"/>
      <c r="L525" s="66"/>
      <c r="M525" s="66"/>
      <c r="N525" s="64"/>
    </row>
    <row r="526" customFormat="false" ht="15" hidden="false" customHeight="false" outlineLevel="0" collapsed="false">
      <c r="A526" s="64"/>
      <c r="B526" s="64"/>
      <c r="C526" s="64"/>
      <c r="D526" s="65"/>
      <c r="E526" s="64"/>
      <c r="F526" s="66"/>
      <c r="G526" s="64"/>
      <c r="H526" s="64"/>
      <c r="I526" s="66"/>
      <c r="J526" s="66"/>
      <c r="K526" s="66"/>
      <c r="L526" s="66"/>
      <c r="M526" s="66"/>
      <c r="N526" s="64"/>
    </row>
    <row r="527" customFormat="false" ht="15" hidden="false" customHeight="false" outlineLevel="0" collapsed="false">
      <c r="A527" s="64"/>
      <c r="B527" s="64"/>
      <c r="C527" s="64"/>
      <c r="D527" s="65"/>
      <c r="E527" s="64"/>
      <c r="F527" s="66"/>
      <c r="G527" s="64"/>
      <c r="H527" s="64"/>
      <c r="I527" s="66"/>
      <c r="J527" s="66"/>
      <c r="K527" s="66"/>
      <c r="L527" s="66"/>
      <c r="M527" s="66"/>
      <c r="N527" s="64"/>
    </row>
    <row r="528" customFormat="false" ht="15" hidden="false" customHeight="false" outlineLevel="0" collapsed="false">
      <c r="A528" s="64"/>
      <c r="B528" s="64"/>
      <c r="C528" s="64"/>
      <c r="D528" s="65"/>
      <c r="E528" s="64"/>
      <c r="F528" s="66"/>
      <c r="G528" s="64"/>
      <c r="H528" s="64"/>
      <c r="I528" s="66"/>
      <c r="J528" s="66"/>
      <c r="K528" s="66"/>
      <c r="L528" s="66"/>
      <c r="M528" s="66"/>
      <c r="N528" s="64"/>
    </row>
    <row r="529" customFormat="false" ht="15" hidden="false" customHeight="false" outlineLevel="0" collapsed="false">
      <c r="A529" s="64"/>
      <c r="B529" s="64"/>
      <c r="C529" s="64"/>
      <c r="D529" s="65"/>
      <c r="E529" s="64"/>
      <c r="F529" s="66"/>
      <c r="G529" s="64"/>
      <c r="H529" s="64"/>
      <c r="I529" s="66"/>
      <c r="J529" s="66"/>
      <c r="K529" s="66"/>
      <c r="L529" s="66"/>
      <c r="M529" s="66"/>
      <c r="N529" s="64"/>
    </row>
    <row r="530" customFormat="false" ht="15" hidden="false" customHeight="false" outlineLevel="0" collapsed="false">
      <c r="A530" s="64"/>
      <c r="B530" s="64"/>
      <c r="C530" s="64"/>
      <c r="D530" s="65"/>
      <c r="E530" s="64"/>
      <c r="F530" s="66"/>
      <c r="G530" s="64"/>
      <c r="H530" s="64"/>
      <c r="I530" s="66"/>
      <c r="J530" s="66"/>
      <c r="K530" s="66"/>
      <c r="L530" s="66"/>
      <c r="M530" s="66"/>
      <c r="N530" s="64"/>
    </row>
    <row r="531" customFormat="false" ht="15" hidden="false" customHeight="false" outlineLevel="0" collapsed="false">
      <c r="A531" s="64"/>
      <c r="B531" s="64"/>
      <c r="C531" s="64"/>
      <c r="D531" s="65"/>
      <c r="E531" s="64"/>
      <c r="F531" s="66"/>
      <c r="G531" s="64"/>
      <c r="H531" s="64"/>
      <c r="I531" s="66"/>
      <c r="J531" s="66"/>
      <c r="K531" s="66"/>
      <c r="L531" s="66"/>
      <c r="M531" s="66"/>
      <c r="N531" s="64"/>
    </row>
    <row r="532" customFormat="false" ht="15" hidden="false" customHeight="false" outlineLevel="0" collapsed="false">
      <c r="A532" s="64"/>
      <c r="B532" s="64"/>
      <c r="C532" s="64"/>
      <c r="D532" s="65"/>
      <c r="E532" s="64"/>
      <c r="F532" s="66"/>
      <c r="G532" s="64"/>
      <c r="H532" s="64"/>
      <c r="I532" s="66"/>
      <c r="J532" s="66"/>
      <c r="K532" s="66"/>
      <c r="L532" s="66"/>
      <c r="M532" s="66"/>
      <c r="N532" s="64"/>
    </row>
    <row r="533" customFormat="false" ht="15" hidden="false" customHeight="false" outlineLevel="0" collapsed="false">
      <c r="A533" s="64"/>
      <c r="B533" s="64"/>
      <c r="C533" s="64"/>
      <c r="D533" s="65"/>
      <c r="E533" s="64"/>
      <c r="F533" s="66"/>
      <c r="G533" s="64"/>
      <c r="H533" s="64"/>
      <c r="I533" s="66"/>
      <c r="J533" s="66"/>
      <c r="K533" s="66"/>
      <c r="L533" s="66"/>
      <c r="M533" s="66"/>
      <c r="N533" s="64"/>
    </row>
    <row r="534" customFormat="false" ht="15" hidden="false" customHeight="false" outlineLevel="0" collapsed="false">
      <c r="A534" s="64"/>
      <c r="B534" s="64"/>
      <c r="C534" s="64"/>
      <c r="D534" s="65"/>
      <c r="E534" s="64"/>
      <c r="F534" s="66"/>
      <c r="G534" s="64"/>
      <c r="H534" s="64"/>
      <c r="I534" s="66"/>
      <c r="J534" s="66"/>
      <c r="K534" s="66"/>
      <c r="L534" s="66"/>
      <c r="M534" s="66"/>
      <c r="N534" s="64"/>
    </row>
    <row r="535" customFormat="false" ht="15" hidden="false" customHeight="false" outlineLevel="0" collapsed="false">
      <c r="A535" s="64"/>
      <c r="B535" s="64"/>
      <c r="C535" s="64"/>
      <c r="D535" s="65"/>
      <c r="E535" s="64"/>
      <c r="F535" s="66"/>
      <c r="G535" s="64"/>
      <c r="H535" s="64"/>
      <c r="I535" s="66"/>
      <c r="J535" s="66"/>
      <c r="K535" s="66"/>
      <c r="L535" s="66"/>
      <c r="M535" s="66"/>
      <c r="N535" s="64"/>
    </row>
    <row r="536" customFormat="false" ht="15" hidden="false" customHeight="false" outlineLevel="0" collapsed="false">
      <c r="A536" s="64"/>
      <c r="B536" s="64"/>
      <c r="C536" s="64"/>
      <c r="D536" s="65"/>
      <c r="E536" s="64"/>
      <c r="F536" s="66"/>
      <c r="G536" s="64"/>
      <c r="H536" s="64"/>
      <c r="I536" s="66"/>
      <c r="J536" s="66"/>
      <c r="K536" s="66"/>
      <c r="L536" s="66"/>
      <c r="M536" s="66"/>
      <c r="N536" s="64"/>
    </row>
    <row r="537" customFormat="false" ht="15" hidden="false" customHeight="false" outlineLevel="0" collapsed="false">
      <c r="A537" s="64"/>
      <c r="B537" s="64"/>
      <c r="C537" s="64"/>
      <c r="D537" s="65"/>
      <c r="E537" s="64"/>
      <c r="F537" s="66"/>
      <c r="G537" s="64"/>
      <c r="H537" s="64"/>
      <c r="I537" s="66"/>
      <c r="J537" s="66"/>
      <c r="K537" s="66"/>
      <c r="L537" s="66"/>
      <c r="M537" s="66"/>
      <c r="N537" s="64"/>
    </row>
    <row r="538" customFormat="false" ht="15" hidden="false" customHeight="false" outlineLevel="0" collapsed="false">
      <c r="A538" s="64"/>
      <c r="B538" s="64"/>
      <c r="C538" s="64"/>
      <c r="D538" s="65"/>
      <c r="E538" s="64"/>
      <c r="F538" s="66"/>
      <c r="G538" s="64"/>
      <c r="H538" s="64"/>
      <c r="I538" s="66"/>
      <c r="J538" s="66"/>
      <c r="K538" s="66"/>
      <c r="L538" s="66"/>
      <c r="M538" s="66"/>
      <c r="N538" s="64"/>
    </row>
    <row r="539" customFormat="false" ht="15" hidden="false" customHeight="false" outlineLevel="0" collapsed="false">
      <c r="A539" s="64"/>
      <c r="B539" s="64"/>
      <c r="C539" s="64"/>
      <c r="D539" s="65"/>
      <c r="E539" s="64"/>
      <c r="F539" s="66"/>
      <c r="G539" s="64"/>
      <c r="H539" s="64"/>
      <c r="I539" s="66"/>
      <c r="J539" s="66"/>
      <c r="K539" s="66"/>
      <c r="L539" s="66"/>
      <c r="M539" s="66"/>
      <c r="N539" s="64"/>
    </row>
    <row r="540" customFormat="false" ht="15" hidden="false" customHeight="false" outlineLevel="0" collapsed="false">
      <c r="A540" s="64"/>
      <c r="B540" s="64"/>
      <c r="C540" s="64"/>
      <c r="D540" s="65"/>
      <c r="E540" s="64"/>
      <c r="F540" s="66"/>
      <c r="G540" s="64"/>
      <c r="H540" s="64"/>
      <c r="I540" s="66"/>
      <c r="J540" s="66"/>
      <c r="K540" s="66"/>
      <c r="L540" s="66"/>
      <c r="M540" s="66"/>
      <c r="N540" s="64"/>
    </row>
    <row r="541" customFormat="false" ht="15" hidden="false" customHeight="false" outlineLevel="0" collapsed="false">
      <c r="A541" s="64"/>
      <c r="B541" s="64"/>
      <c r="C541" s="64"/>
      <c r="D541" s="65"/>
      <c r="E541" s="64"/>
      <c r="F541" s="66"/>
      <c r="G541" s="64"/>
      <c r="H541" s="64"/>
      <c r="I541" s="66"/>
      <c r="J541" s="66"/>
      <c r="K541" s="66"/>
      <c r="L541" s="66"/>
      <c r="M541" s="66"/>
      <c r="N541" s="64"/>
    </row>
    <row r="542" customFormat="false" ht="15" hidden="false" customHeight="false" outlineLevel="0" collapsed="false">
      <c r="A542" s="64"/>
      <c r="B542" s="64"/>
      <c r="C542" s="64"/>
      <c r="D542" s="65"/>
      <c r="E542" s="64"/>
      <c r="F542" s="66"/>
      <c r="G542" s="64"/>
      <c r="H542" s="64"/>
      <c r="I542" s="66"/>
      <c r="J542" s="66"/>
      <c r="K542" s="66"/>
      <c r="L542" s="66"/>
      <c r="M542" s="66"/>
      <c r="N542" s="64"/>
    </row>
    <row r="543" customFormat="false" ht="15" hidden="false" customHeight="false" outlineLevel="0" collapsed="false">
      <c r="A543" s="64"/>
      <c r="B543" s="64"/>
      <c r="C543" s="64"/>
      <c r="D543" s="65"/>
      <c r="E543" s="64"/>
      <c r="F543" s="66"/>
      <c r="G543" s="64"/>
      <c r="H543" s="64"/>
      <c r="I543" s="66"/>
      <c r="J543" s="66"/>
      <c r="K543" s="66"/>
      <c r="L543" s="66"/>
      <c r="M543" s="66"/>
      <c r="N543" s="64"/>
    </row>
    <row r="544" customFormat="false" ht="15" hidden="false" customHeight="false" outlineLevel="0" collapsed="false">
      <c r="A544" s="64"/>
      <c r="B544" s="64"/>
      <c r="C544" s="64"/>
      <c r="D544" s="65"/>
      <c r="E544" s="64"/>
      <c r="F544" s="66"/>
      <c r="G544" s="64"/>
      <c r="H544" s="64"/>
      <c r="I544" s="66"/>
      <c r="J544" s="66"/>
      <c r="K544" s="66"/>
      <c r="L544" s="66"/>
      <c r="M544" s="66"/>
      <c r="N544" s="64"/>
    </row>
    <row r="545" customFormat="false" ht="15" hidden="false" customHeight="false" outlineLevel="0" collapsed="false">
      <c r="A545" s="64"/>
      <c r="B545" s="64"/>
      <c r="C545" s="64"/>
      <c r="D545" s="65"/>
      <c r="E545" s="64"/>
      <c r="F545" s="66"/>
      <c r="G545" s="64"/>
      <c r="H545" s="64"/>
      <c r="I545" s="66"/>
      <c r="J545" s="66"/>
      <c r="K545" s="66"/>
      <c r="L545" s="66"/>
      <c r="M545" s="66"/>
      <c r="N545" s="64"/>
    </row>
    <row r="546" customFormat="false" ht="15" hidden="false" customHeight="false" outlineLevel="0" collapsed="false">
      <c r="A546" s="64"/>
      <c r="B546" s="64"/>
      <c r="C546" s="64"/>
      <c r="D546" s="65"/>
      <c r="E546" s="64"/>
      <c r="F546" s="66"/>
      <c r="G546" s="64"/>
      <c r="H546" s="64"/>
      <c r="I546" s="66"/>
      <c r="J546" s="66"/>
      <c r="K546" s="66"/>
      <c r="L546" s="66"/>
      <c r="M546" s="66"/>
      <c r="N546" s="64"/>
    </row>
    <row r="547" customFormat="false" ht="15" hidden="false" customHeight="false" outlineLevel="0" collapsed="false">
      <c r="A547" s="64"/>
      <c r="B547" s="64"/>
      <c r="C547" s="64"/>
      <c r="D547" s="65"/>
      <c r="E547" s="64"/>
      <c r="F547" s="66"/>
      <c r="G547" s="64"/>
      <c r="H547" s="64"/>
      <c r="I547" s="66"/>
      <c r="J547" s="66"/>
      <c r="K547" s="66"/>
      <c r="L547" s="66"/>
      <c r="M547" s="66"/>
      <c r="N547" s="64"/>
    </row>
    <row r="548" customFormat="false" ht="15" hidden="false" customHeight="false" outlineLevel="0" collapsed="false">
      <c r="A548" s="64"/>
      <c r="B548" s="64"/>
      <c r="C548" s="64"/>
      <c r="D548" s="65"/>
      <c r="E548" s="64"/>
      <c r="F548" s="66"/>
      <c r="G548" s="64"/>
      <c r="H548" s="64"/>
      <c r="I548" s="66"/>
      <c r="J548" s="66"/>
      <c r="K548" s="66"/>
      <c r="L548" s="66"/>
      <c r="M548" s="66"/>
      <c r="N548" s="64"/>
    </row>
    <row r="549" customFormat="false" ht="15" hidden="false" customHeight="false" outlineLevel="0" collapsed="false">
      <c r="A549" s="64"/>
      <c r="B549" s="64"/>
      <c r="C549" s="64"/>
      <c r="D549" s="65"/>
      <c r="E549" s="64"/>
      <c r="F549" s="66"/>
      <c r="G549" s="64"/>
      <c r="H549" s="64"/>
      <c r="I549" s="66"/>
      <c r="J549" s="66"/>
      <c r="K549" s="66"/>
      <c r="L549" s="66"/>
      <c r="M549" s="66"/>
      <c r="N549" s="64"/>
    </row>
    <row r="550" customFormat="false" ht="15" hidden="false" customHeight="false" outlineLevel="0" collapsed="false">
      <c r="A550" s="64"/>
      <c r="B550" s="64"/>
      <c r="C550" s="64"/>
      <c r="D550" s="65"/>
      <c r="E550" s="64"/>
      <c r="F550" s="66"/>
      <c r="G550" s="64"/>
      <c r="H550" s="64"/>
      <c r="I550" s="66"/>
      <c r="J550" s="66"/>
      <c r="K550" s="66"/>
      <c r="L550" s="66"/>
      <c r="M550" s="66"/>
      <c r="N550" s="64"/>
    </row>
    <row r="551" customFormat="false" ht="15" hidden="false" customHeight="false" outlineLevel="0" collapsed="false">
      <c r="A551" s="64"/>
      <c r="B551" s="64"/>
      <c r="C551" s="64"/>
      <c r="D551" s="65"/>
      <c r="E551" s="64"/>
      <c r="F551" s="66"/>
      <c r="G551" s="64"/>
      <c r="H551" s="64"/>
      <c r="I551" s="66"/>
      <c r="J551" s="66"/>
      <c r="K551" s="66"/>
      <c r="L551" s="66"/>
      <c r="M551" s="66"/>
      <c r="N551" s="64"/>
    </row>
    <row r="552" customFormat="false" ht="15" hidden="false" customHeight="false" outlineLevel="0" collapsed="false">
      <c r="A552" s="64"/>
      <c r="B552" s="64"/>
      <c r="C552" s="64"/>
      <c r="D552" s="65"/>
      <c r="E552" s="64"/>
      <c r="F552" s="66"/>
      <c r="G552" s="64"/>
      <c r="H552" s="64"/>
      <c r="I552" s="66"/>
      <c r="J552" s="66"/>
      <c r="K552" s="66"/>
      <c r="L552" s="66"/>
      <c r="M552" s="66"/>
      <c r="N552" s="64"/>
    </row>
    <row r="553" customFormat="false" ht="15" hidden="false" customHeight="false" outlineLevel="0" collapsed="false">
      <c r="A553" s="64"/>
      <c r="B553" s="64"/>
      <c r="C553" s="64"/>
      <c r="D553" s="65"/>
      <c r="E553" s="64"/>
      <c r="F553" s="66"/>
      <c r="G553" s="64"/>
      <c r="H553" s="64"/>
      <c r="I553" s="66"/>
      <c r="J553" s="66"/>
      <c r="K553" s="66"/>
      <c r="L553" s="66"/>
      <c r="M553" s="66"/>
      <c r="N553" s="64"/>
    </row>
    <row r="554" customFormat="false" ht="15" hidden="false" customHeight="false" outlineLevel="0" collapsed="false">
      <c r="A554" s="64"/>
      <c r="B554" s="64"/>
      <c r="C554" s="64"/>
      <c r="D554" s="65"/>
      <c r="E554" s="64"/>
      <c r="F554" s="66"/>
      <c r="G554" s="64"/>
      <c r="H554" s="64"/>
      <c r="I554" s="66"/>
      <c r="J554" s="66"/>
      <c r="K554" s="66"/>
      <c r="L554" s="66"/>
      <c r="M554" s="66"/>
      <c r="N554" s="64"/>
    </row>
    <row r="555" customFormat="false" ht="15" hidden="false" customHeight="false" outlineLevel="0" collapsed="false">
      <c r="A555" s="64"/>
      <c r="B555" s="64"/>
      <c r="C555" s="64"/>
      <c r="D555" s="65"/>
      <c r="E555" s="64"/>
      <c r="F555" s="66"/>
      <c r="G555" s="64"/>
      <c r="H555" s="64"/>
      <c r="I555" s="66"/>
      <c r="J555" s="66"/>
      <c r="K555" s="66"/>
      <c r="L555" s="66"/>
      <c r="M555" s="66"/>
      <c r="N555" s="64"/>
    </row>
    <row r="556" customFormat="false" ht="15" hidden="false" customHeight="false" outlineLevel="0" collapsed="false">
      <c r="A556" s="64"/>
      <c r="B556" s="64"/>
      <c r="C556" s="64"/>
      <c r="D556" s="65"/>
      <c r="E556" s="64"/>
      <c r="F556" s="66"/>
      <c r="G556" s="64"/>
      <c r="H556" s="64"/>
      <c r="I556" s="66"/>
      <c r="J556" s="66"/>
      <c r="K556" s="66"/>
      <c r="L556" s="66"/>
      <c r="M556" s="66"/>
      <c r="N556" s="64"/>
    </row>
    <row r="557" customFormat="false" ht="15" hidden="false" customHeight="false" outlineLevel="0" collapsed="false">
      <c r="A557" s="64"/>
      <c r="B557" s="64"/>
      <c r="C557" s="64"/>
      <c r="D557" s="65"/>
      <c r="E557" s="64"/>
      <c r="F557" s="66"/>
      <c r="G557" s="64"/>
      <c r="H557" s="64"/>
      <c r="I557" s="66"/>
      <c r="J557" s="66"/>
      <c r="K557" s="66"/>
      <c r="L557" s="66"/>
      <c r="M557" s="66"/>
      <c r="N557" s="64"/>
    </row>
    <row r="558" customFormat="false" ht="15" hidden="false" customHeight="false" outlineLevel="0" collapsed="false">
      <c r="A558" s="64"/>
      <c r="B558" s="64"/>
      <c r="C558" s="64"/>
      <c r="D558" s="65"/>
      <c r="E558" s="64"/>
      <c r="F558" s="66"/>
      <c r="G558" s="64"/>
      <c r="H558" s="64"/>
      <c r="I558" s="66"/>
      <c r="J558" s="66"/>
      <c r="K558" s="66"/>
      <c r="L558" s="66"/>
      <c r="M558" s="66"/>
      <c r="N558" s="64"/>
    </row>
    <row r="559" customFormat="false" ht="15" hidden="false" customHeight="false" outlineLevel="0" collapsed="false">
      <c r="A559" s="64"/>
      <c r="B559" s="64"/>
      <c r="C559" s="64"/>
      <c r="D559" s="65"/>
      <c r="E559" s="64"/>
      <c r="F559" s="66"/>
      <c r="G559" s="64"/>
      <c r="H559" s="64"/>
      <c r="I559" s="66"/>
      <c r="J559" s="66"/>
      <c r="K559" s="66"/>
      <c r="L559" s="66"/>
      <c r="M559" s="66"/>
      <c r="N559" s="64"/>
    </row>
    <row r="560" customFormat="false" ht="15" hidden="false" customHeight="false" outlineLevel="0" collapsed="false">
      <c r="A560" s="64"/>
      <c r="B560" s="64"/>
      <c r="C560" s="64"/>
      <c r="D560" s="65"/>
      <c r="E560" s="64"/>
      <c r="F560" s="66"/>
      <c r="G560" s="64"/>
      <c r="H560" s="64"/>
      <c r="I560" s="66"/>
      <c r="J560" s="66"/>
      <c r="K560" s="66"/>
      <c r="L560" s="66"/>
      <c r="M560" s="66"/>
      <c r="N560" s="64"/>
    </row>
    <row r="561" customFormat="false" ht="15" hidden="false" customHeight="false" outlineLevel="0" collapsed="false">
      <c r="A561" s="64"/>
      <c r="B561" s="64"/>
      <c r="C561" s="64"/>
      <c r="D561" s="65"/>
      <c r="E561" s="64"/>
      <c r="F561" s="66"/>
      <c r="G561" s="64"/>
      <c r="H561" s="64"/>
      <c r="I561" s="66"/>
      <c r="J561" s="66"/>
      <c r="K561" s="66"/>
      <c r="L561" s="66"/>
      <c r="M561" s="66"/>
      <c r="N561" s="64"/>
    </row>
    <row r="562" customFormat="false" ht="15" hidden="false" customHeight="false" outlineLevel="0" collapsed="false">
      <c r="A562" s="64"/>
      <c r="B562" s="64"/>
      <c r="C562" s="64"/>
      <c r="D562" s="65"/>
      <c r="E562" s="64"/>
      <c r="F562" s="66"/>
      <c r="G562" s="64"/>
      <c r="H562" s="64"/>
      <c r="I562" s="66"/>
      <c r="J562" s="66"/>
      <c r="K562" s="66"/>
      <c r="L562" s="66"/>
      <c r="M562" s="66"/>
      <c r="N562" s="64"/>
    </row>
    <row r="563" customFormat="false" ht="15" hidden="false" customHeight="false" outlineLevel="0" collapsed="false">
      <c r="A563" s="64"/>
      <c r="B563" s="64"/>
      <c r="C563" s="64"/>
      <c r="D563" s="65"/>
      <c r="E563" s="64"/>
      <c r="F563" s="66"/>
      <c r="G563" s="64"/>
      <c r="H563" s="64"/>
      <c r="I563" s="66"/>
      <c r="J563" s="66"/>
      <c r="K563" s="66"/>
      <c r="L563" s="66"/>
      <c r="M563" s="66"/>
      <c r="N563" s="64"/>
    </row>
    <row r="564" customFormat="false" ht="15" hidden="false" customHeight="false" outlineLevel="0" collapsed="false">
      <c r="A564" s="64"/>
      <c r="B564" s="64"/>
      <c r="C564" s="64"/>
      <c r="D564" s="65"/>
      <c r="E564" s="64"/>
      <c r="F564" s="66"/>
      <c r="G564" s="64"/>
      <c r="H564" s="64"/>
      <c r="I564" s="66"/>
      <c r="J564" s="66"/>
      <c r="K564" s="66"/>
      <c r="L564" s="66"/>
      <c r="M564" s="66"/>
      <c r="N564" s="64"/>
    </row>
    <row r="565" customFormat="false" ht="15" hidden="false" customHeight="false" outlineLevel="0" collapsed="false">
      <c r="A565" s="64"/>
      <c r="B565" s="64"/>
      <c r="C565" s="64"/>
      <c r="D565" s="65"/>
      <c r="E565" s="64"/>
      <c r="F565" s="66"/>
      <c r="G565" s="64"/>
      <c r="H565" s="64"/>
      <c r="I565" s="66"/>
      <c r="J565" s="66"/>
      <c r="K565" s="66"/>
      <c r="L565" s="66"/>
      <c r="M565" s="66"/>
      <c r="N565" s="64"/>
    </row>
    <row r="566" customFormat="false" ht="15" hidden="false" customHeight="false" outlineLevel="0" collapsed="false">
      <c r="A566" s="64"/>
      <c r="B566" s="64"/>
      <c r="C566" s="64"/>
      <c r="D566" s="65"/>
      <c r="E566" s="64"/>
      <c r="F566" s="66"/>
      <c r="G566" s="64"/>
      <c r="H566" s="64"/>
      <c r="I566" s="66"/>
      <c r="J566" s="66"/>
      <c r="K566" s="66"/>
      <c r="L566" s="66"/>
      <c r="M566" s="66"/>
      <c r="N566" s="64"/>
    </row>
    <row r="567" customFormat="false" ht="15" hidden="false" customHeight="false" outlineLevel="0" collapsed="false">
      <c r="A567" s="64"/>
      <c r="B567" s="64"/>
      <c r="C567" s="64"/>
      <c r="D567" s="65"/>
      <c r="E567" s="64"/>
      <c r="F567" s="66"/>
      <c r="G567" s="64"/>
      <c r="H567" s="64"/>
      <c r="I567" s="66"/>
      <c r="J567" s="66"/>
      <c r="K567" s="66"/>
      <c r="L567" s="66"/>
      <c r="M567" s="66"/>
      <c r="N567" s="64"/>
    </row>
    <row r="568" customFormat="false" ht="15" hidden="false" customHeight="false" outlineLevel="0" collapsed="false">
      <c r="A568" s="64"/>
      <c r="B568" s="64"/>
      <c r="C568" s="64"/>
      <c r="D568" s="65"/>
      <c r="E568" s="64"/>
      <c r="F568" s="66"/>
      <c r="G568" s="64"/>
      <c r="H568" s="64"/>
      <c r="I568" s="66"/>
      <c r="J568" s="66"/>
      <c r="K568" s="66"/>
      <c r="L568" s="66"/>
      <c r="M568" s="66"/>
      <c r="N568" s="64"/>
    </row>
    <row r="569" customFormat="false" ht="15" hidden="false" customHeight="false" outlineLevel="0" collapsed="false">
      <c r="A569" s="64"/>
      <c r="B569" s="64"/>
      <c r="C569" s="64"/>
      <c r="D569" s="65"/>
      <c r="E569" s="64"/>
      <c r="F569" s="66"/>
      <c r="G569" s="64"/>
      <c r="H569" s="64"/>
      <c r="I569" s="66"/>
      <c r="J569" s="66"/>
      <c r="K569" s="66"/>
      <c r="L569" s="66"/>
      <c r="M569" s="66"/>
      <c r="N569" s="64"/>
    </row>
    <row r="570" customFormat="false" ht="15" hidden="false" customHeight="false" outlineLevel="0" collapsed="false">
      <c r="A570" s="64"/>
      <c r="B570" s="64"/>
      <c r="C570" s="64"/>
      <c r="D570" s="65"/>
      <c r="E570" s="64"/>
      <c r="F570" s="66"/>
      <c r="G570" s="64"/>
      <c r="H570" s="64"/>
      <c r="I570" s="66"/>
      <c r="J570" s="66"/>
      <c r="K570" s="66"/>
      <c r="L570" s="66"/>
      <c r="M570" s="66"/>
      <c r="N570" s="64"/>
    </row>
    <row r="571" customFormat="false" ht="15" hidden="false" customHeight="false" outlineLevel="0" collapsed="false">
      <c r="A571" s="64"/>
      <c r="B571" s="64"/>
      <c r="C571" s="64"/>
      <c r="D571" s="65"/>
      <c r="E571" s="64"/>
      <c r="F571" s="66"/>
      <c r="G571" s="64"/>
      <c r="H571" s="64"/>
      <c r="I571" s="66"/>
      <c r="J571" s="66"/>
      <c r="K571" s="66"/>
      <c r="L571" s="66"/>
      <c r="M571" s="66"/>
      <c r="N571" s="64"/>
    </row>
    <row r="572" customFormat="false" ht="15" hidden="false" customHeight="false" outlineLevel="0" collapsed="false">
      <c r="A572" s="64"/>
      <c r="B572" s="64"/>
      <c r="C572" s="64"/>
      <c r="D572" s="65"/>
      <c r="E572" s="64"/>
      <c r="F572" s="66"/>
      <c r="G572" s="64"/>
      <c r="H572" s="64"/>
      <c r="I572" s="66"/>
      <c r="J572" s="66"/>
      <c r="K572" s="66"/>
      <c r="L572" s="66"/>
      <c r="M572" s="66"/>
      <c r="N572" s="64"/>
    </row>
    <row r="573" customFormat="false" ht="15" hidden="false" customHeight="false" outlineLevel="0" collapsed="false">
      <c r="A573" s="64"/>
      <c r="B573" s="64"/>
      <c r="C573" s="64"/>
      <c r="D573" s="65"/>
      <c r="E573" s="64"/>
      <c r="F573" s="66"/>
      <c r="G573" s="64"/>
      <c r="H573" s="64"/>
      <c r="I573" s="66"/>
      <c r="J573" s="66"/>
      <c r="K573" s="66"/>
      <c r="L573" s="66"/>
      <c r="M573" s="66"/>
      <c r="N573" s="64"/>
    </row>
    <row r="574" customFormat="false" ht="15" hidden="false" customHeight="false" outlineLevel="0" collapsed="false">
      <c r="A574" s="64"/>
      <c r="B574" s="64"/>
      <c r="C574" s="64"/>
      <c r="D574" s="65"/>
      <c r="E574" s="64"/>
      <c r="F574" s="66"/>
      <c r="G574" s="64"/>
      <c r="H574" s="64"/>
      <c r="I574" s="66"/>
      <c r="J574" s="66"/>
      <c r="K574" s="66"/>
      <c r="L574" s="66"/>
      <c r="M574" s="66"/>
      <c r="N574" s="64"/>
    </row>
    <row r="575" customFormat="false" ht="15" hidden="false" customHeight="false" outlineLevel="0" collapsed="false">
      <c r="A575" s="64"/>
      <c r="B575" s="64"/>
      <c r="C575" s="64"/>
      <c r="D575" s="65"/>
      <c r="E575" s="64"/>
      <c r="F575" s="66"/>
      <c r="G575" s="64"/>
      <c r="H575" s="64"/>
      <c r="I575" s="66"/>
      <c r="J575" s="66"/>
      <c r="K575" s="66"/>
      <c r="L575" s="66"/>
      <c r="M575" s="66"/>
      <c r="N575" s="64"/>
    </row>
    <row r="576" customFormat="false" ht="15" hidden="false" customHeight="false" outlineLevel="0" collapsed="false">
      <c r="A576" s="64"/>
      <c r="B576" s="64"/>
      <c r="C576" s="64"/>
      <c r="D576" s="65"/>
      <c r="E576" s="64"/>
      <c r="F576" s="66"/>
      <c r="G576" s="64"/>
      <c r="H576" s="64"/>
      <c r="I576" s="66"/>
      <c r="J576" s="66"/>
      <c r="K576" s="66"/>
      <c r="L576" s="66"/>
      <c r="M576" s="66"/>
      <c r="N576" s="64"/>
    </row>
    <row r="577" customFormat="false" ht="15" hidden="false" customHeight="false" outlineLevel="0" collapsed="false">
      <c r="A577" s="64"/>
      <c r="B577" s="64"/>
      <c r="C577" s="64"/>
      <c r="D577" s="65"/>
      <c r="E577" s="64"/>
      <c r="F577" s="66"/>
      <c r="G577" s="64"/>
      <c r="H577" s="64"/>
      <c r="I577" s="66"/>
      <c r="J577" s="66"/>
      <c r="K577" s="66"/>
      <c r="L577" s="66"/>
      <c r="M577" s="66"/>
      <c r="N577" s="64"/>
    </row>
    <row r="578" customFormat="false" ht="15" hidden="false" customHeight="false" outlineLevel="0" collapsed="false">
      <c r="A578" s="64"/>
      <c r="B578" s="64"/>
      <c r="C578" s="64"/>
      <c r="D578" s="65"/>
      <c r="E578" s="64"/>
      <c r="F578" s="66"/>
      <c r="G578" s="64"/>
      <c r="H578" s="64"/>
      <c r="I578" s="66"/>
      <c r="J578" s="66"/>
      <c r="K578" s="66"/>
      <c r="L578" s="66"/>
      <c r="M578" s="66"/>
      <c r="N578" s="64"/>
    </row>
    <row r="579" customFormat="false" ht="15" hidden="false" customHeight="false" outlineLevel="0" collapsed="false">
      <c r="A579" s="64"/>
      <c r="B579" s="64"/>
      <c r="C579" s="64"/>
      <c r="D579" s="65"/>
      <c r="E579" s="64"/>
      <c r="F579" s="66"/>
      <c r="G579" s="64"/>
      <c r="H579" s="64"/>
      <c r="I579" s="66"/>
      <c r="J579" s="66"/>
      <c r="K579" s="66"/>
      <c r="L579" s="66"/>
      <c r="M579" s="66"/>
      <c r="N579" s="64"/>
    </row>
    <row r="580" customFormat="false" ht="15" hidden="false" customHeight="false" outlineLevel="0" collapsed="false">
      <c r="A580" s="64"/>
      <c r="B580" s="64"/>
      <c r="C580" s="64"/>
      <c r="D580" s="65"/>
      <c r="E580" s="64"/>
      <c r="F580" s="66"/>
      <c r="G580" s="64"/>
      <c r="H580" s="64"/>
      <c r="I580" s="66"/>
      <c r="J580" s="66"/>
      <c r="K580" s="66"/>
      <c r="L580" s="66"/>
      <c r="M580" s="66"/>
      <c r="N580" s="64"/>
    </row>
    <row r="581" customFormat="false" ht="15" hidden="false" customHeight="false" outlineLevel="0" collapsed="false">
      <c r="A581" s="64"/>
      <c r="B581" s="64"/>
      <c r="C581" s="64"/>
      <c r="D581" s="65"/>
      <c r="E581" s="64"/>
      <c r="F581" s="66"/>
      <c r="G581" s="64"/>
      <c r="H581" s="64"/>
      <c r="I581" s="66"/>
      <c r="J581" s="66"/>
      <c r="K581" s="66"/>
      <c r="L581" s="66"/>
      <c r="M581" s="66"/>
      <c r="N581" s="64"/>
    </row>
    <row r="582" customFormat="false" ht="15" hidden="false" customHeight="false" outlineLevel="0" collapsed="false">
      <c r="A582" s="64"/>
      <c r="B582" s="64"/>
      <c r="C582" s="64"/>
      <c r="D582" s="65"/>
      <c r="E582" s="64"/>
      <c r="F582" s="66"/>
      <c r="G582" s="64"/>
      <c r="H582" s="64"/>
      <c r="I582" s="66"/>
      <c r="J582" s="66"/>
      <c r="K582" s="66"/>
      <c r="L582" s="66"/>
      <c r="M582" s="66"/>
      <c r="N582" s="64"/>
    </row>
    <row r="583" customFormat="false" ht="15" hidden="false" customHeight="false" outlineLevel="0" collapsed="false">
      <c r="A583" s="64"/>
      <c r="B583" s="64"/>
      <c r="C583" s="64"/>
      <c r="D583" s="65"/>
      <c r="E583" s="64"/>
      <c r="F583" s="66"/>
      <c r="G583" s="64"/>
      <c r="H583" s="64"/>
      <c r="I583" s="66"/>
      <c r="J583" s="66"/>
      <c r="K583" s="66"/>
      <c r="L583" s="66"/>
      <c r="M583" s="66"/>
      <c r="N583" s="64"/>
    </row>
    <row r="584" customFormat="false" ht="15" hidden="false" customHeight="false" outlineLevel="0" collapsed="false">
      <c r="A584" s="64"/>
      <c r="B584" s="64"/>
      <c r="C584" s="64"/>
      <c r="D584" s="65"/>
      <c r="E584" s="64"/>
      <c r="F584" s="66"/>
      <c r="G584" s="64"/>
      <c r="H584" s="64"/>
      <c r="I584" s="66"/>
      <c r="J584" s="66"/>
      <c r="K584" s="66"/>
      <c r="L584" s="66"/>
      <c r="M584" s="66"/>
      <c r="N584" s="64"/>
    </row>
    <row r="585" customFormat="false" ht="15" hidden="false" customHeight="false" outlineLevel="0" collapsed="false">
      <c r="A585" s="64"/>
      <c r="B585" s="64"/>
      <c r="C585" s="64"/>
      <c r="D585" s="65"/>
      <c r="E585" s="64"/>
      <c r="F585" s="66"/>
      <c r="G585" s="64"/>
      <c r="H585" s="64"/>
      <c r="I585" s="66"/>
      <c r="J585" s="66"/>
      <c r="K585" s="66"/>
      <c r="L585" s="66"/>
      <c r="M585" s="66"/>
      <c r="N585" s="64"/>
    </row>
    <row r="586" customFormat="false" ht="15" hidden="false" customHeight="false" outlineLevel="0" collapsed="false">
      <c r="A586" s="64"/>
      <c r="B586" s="64"/>
      <c r="C586" s="64"/>
      <c r="D586" s="65"/>
      <c r="E586" s="64"/>
      <c r="F586" s="66"/>
      <c r="G586" s="64"/>
      <c r="H586" s="64"/>
      <c r="I586" s="66"/>
      <c r="J586" s="66"/>
      <c r="K586" s="66"/>
      <c r="L586" s="66"/>
      <c r="M586" s="66"/>
      <c r="N586" s="64"/>
    </row>
    <row r="587" customFormat="false" ht="15" hidden="false" customHeight="false" outlineLevel="0" collapsed="false">
      <c r="A587" s="64"/>
      <c r="B587" s="64"/>
      <c r="C587" s="64"/>
      <c r="D587" s="65"/>
      <c r="E587" s="64"/>
      <c r="F587" s="66"/>
      <c r="G587" s="64"/>
      <c r="H587" s="64"/>
      <c r="I587" s="66"/>
      <c r="J587" s="66"/>
      <c r="K587" s="66"/>
      <c r="L587" s="66"/>
      <c r="M587" s="66"/>
      <c r="N587" s="64"/>
    </row>
    <row r="588" customFormat="false" ht="15" hidden="false" customHeight="false" outlineLevel="0" collapsed="false">
      <c r="A588" s="64"/>
      <c r="B588" s="64"/>
      <c r="C588" s="64"/>
      <c r="D588" s="65"/>
      <c r="E588" s="64"/>
      <c r="F588" s="66"/>
      <c r="G588" s="64"/>
      <c r="H588" s="64"/>
      <c r="I588" s="66"/>
      <c r="J588" s="66"/>
      <c r="K588" s="66"/>
      <c r="L588" s="66"/>
      <c r="M588" s="66"/>
      <c r="N588" s="64"/>
    </row>
    <row r="589" customFormat="false" ht="15" hidden="false" customHeight="false" outlineLevel="0" collapsed="false">
      <c r="A589" s="64"/>
      <c r="B589" s="64"/>
      <c r="C589" s="64"/>
      <c r="D589" s="65"/>
      <c r="E589" s="64"/>
      <c r="F589" s="66"/>
      <c r="G589" s="64"/>
      <c r="H589" s="64"/>
      <c r="I589" s="66"/>
      <c r="J589" s="66"/>
      <c r="K589" s="66"/>
      <c r="L589" s="66"/>
      <c r="M589" s="66"/>
      <c r="N589" s="64"/>
    </row>
    <row r="590" customFormat="false" ht="15" hidden="false" customHeight="false" outlineLevel="0" collapsed="false">
      <c r="A590" s="64"/>
      <c r="B590" s="64"/>
      <c r="C590" s="64"/>
      <c r="D590" s="65"/>
      <c r="E590" s="64"/>
      <c r="F590" s="66"/>
      <c r="G590" s="64"/>
      <c r="H590" s="64"/>
      <c r="I590" s="66"/>
      <c r="J590" s="66"/>
      <c r="K590" s="66"/>
      <c r="L590" s="66"/>
      <c r="M590" s="66"/>
      <c r="N590" s="64"/>
    </row>
    <row r="591" customFormat="false" ht="15" hidden="false" customHeight="false" outlineLevel="0" collapsed="false">
      <c r="A591" s="64"/>
      <c r="B591" s="64"/>
      <c r="C591" s="64"/>
      <c r="D591" s="65"/>
      <c r="E591" s="64"/>
      <c r="F591" s="66"/>
      <c r="G591" s="64"/>
      <c r="H591" s="64"/>
      <c r="I591" s="66"/>
      <c r="J591" s="66"/>
      <c r="K591" s="66"/>
      <c r="L591" s="66"/>
      <c r="M591" s="66"/>
      <c r="N591" s="64"/>
    </row>
    <row r="592" customFormat="false" ht="15" hidden="false" customHeight="false" outlineLevel="0" collapsed="false">
      <c r="A592" s="64"/>
      <c r="B592" s="64"/>
      <c r="C592" s="64"/>
      <c r="D592" s="65"/>
      <c r="E592" s="64"/>
      <c r="F592" s="66"/>
      <c r="G592" s="64"/>
      <c r="H592" s="64"/>
      <c r="I592" s="66"/>
      <c r="J592" s="66"/>
      <c r="K592" s="66"/>
      <c r="L592" s="66"/>
      <c r="M592" s="66"/>
      <c r="N592" s="64"/>
    </row>
    <row r="593" customFormat="false" ht="15" hidden="false" customHeight="false" outlineLevel="0" collapsed="false">
      <c r="A593" s="64"/>
      <c r="B593" s="64"/>
      <c r="C593" s="64"/>
      <c r="D593" s="65"/>
      <c r="E593" s="64"/>
      <c r="F593" s="66"/>
      <c r="G593" s="64"/>
      <c r="H593" s="64"/>
      <c r="I593" s="66"/>
      <c r="J593" s="66"/>
      <c r="K593" s="66"/>
      <c r="L593" s="66"/>
      <c r="M593" s="66"/>
      <c r="N593" s="64"/>
    </row>
    <row r="594" customFormat="false" ht="15" hidden="false" customHeight="false" outlineLevel="0" collapsed="false">
      <c r="A594" s="64"/>
      <c r="B594" s="64"/>
      <c r="C594" s="64"/>
      <c r="D594" s="65"/>
      <c r="E594" s="64"/>
      <c r="F594" s="66"/>
      <c r="G594" s="64"/>
      <c r="H594" s="64"/>
      <c r="I594" s="66"/>
      <c r="J594" s="66"/>
      <c r="K594" s="66"/>
      <c r="L594" s="66"/>
      <c r="M594" s="66"/>
      <c r="N594" s="64"/>
    </row>
    <row r="595" customFormat="false" ht="15" hidden="false" customHeight="false" outlineLevel="0" collapsed="false">
      <c r="A595" s="64"/>
      <c r="B595" s="64"/>
      <c r="C595" s="64"/>
      <c r="D595" s="65"/>
      <c r="E595" s="64"/>
      <c r="F595" s="66"/>
      <c r="G595" s="64"/>
      <c r="H595" s="64"/>
      <c r="I595" s="66"/>
      <c r="J595" s="66"/>
      <c r="K595" s="66"/>
      <c r="L595" s="66"/>
      <c r="M595" s="66"/>
      <c r="N595" s="64"/>
    </row>
    <row r="596" customFormat="false" ht="15" hidden="false" customHeight="false" outlineLevel="0" collapsed="false">
      <c r="A596" s="64"/>
      <c r="B596" s="64"/>
      <c r="C596" s="64"/>
      <c r="D596" s="65"/>
      <c r="E596" s="64"/>
      <c r="F596" s="66"/>
      <c r="G596" s="64"/>
      <c r="H596" s="64"/>
      <c r="I596" s="66"/>
      <c r="J596" s="66"/>
      <c r="K596" s="66"/>
      <c r="L596" s="66"/>
      <c r="M596" s="66"/>
      <c r="N596" s="64"/>
    </row>
    <row r="597" customFormat="false" ht="15" hidden="false" customHeight="false" outlineLevel="0" collapsed="false">
      <c r="A597" s="64"/>
      <c r="B597" s="64"/>
      <c r="C597" s="64"/>
      <c r="D597" s="65"/>
      <c r="E597" s="64"/>
      <c r="F597" s="66"/>
      <c r="G597" s="64"/>
      <c r="H597" s="64"/>
      <c r="I597" s="66"/>
      <c r="J597" s="66"/>
      <c r="K597" s="66"/>
      <c r="L597" s="66"/>
      <c r="M597" s="66"/>
      <c r="N597" s="64"/>
    </row>
    <row r="598" customFormat="false" ht="15" hidden="false" customHeight="false" outlineLevel="0" collapsed="false">
      <c r="A598" s="64"/>
      <c r="B598" s="64"/>
      <c r="C598" s="64"/>
      <c r="D598" s="65"/>
      <c r="E598" s="64"/>
      <c r="F598" s="66"/>
      <c r="G598" s="64"/>
      <c r="H598" s="64"/>
      <c r="I598" s="66"/>
      <c r="J598" s="66"/>
      <c r="K598" s="66"/>
      <c r="L598" s="66"/>
      <c r="M598" s="66"/>
      <c r="N598" s="64"/>
    </row>
    <row r="599" customFormat="false" ht="15" hidden="false" customHeight="false" outlineLevel="0" collapsed="false">
      <c r="A599" s="64"/>
      <c r="B599" s="64"/>
      <c r="C599" s="64"/>
      <c r="D599" s="65"/>
      <c r="E599" s="64"/>
      <c r="F599" s="66"/>
      <c r="G599" s="64"/>
      <c r="H599" s="64"/>
      <c r="I599" s="66"/>
      <c r="J599" s="66"/>
      <c r="K599" s="66"/>
      <c r="L599" s="66"/>
      <c r="M599" s="66"/>
      <c r="N599" s="64"/>
    </row>
    <row r="600" customFormat="false" ht="15" hidden="false" customHeight="false" outlineLevel="0" collapsed="false">
      <c r="A600" s="64"/>
      <c r="B600" s="64"/>
      <c r="C600" s="64"/>
      <c r="D600" s="65"/>
      <c r="E600" s="64"/>
      <c r="F600" s="66"/>
      <c r="G600" s="64"/>
      <c r="H600" s="64"/>
      <c r="I600" s="66"/>
      <c r="J600" s="66"/>
      <c r="K600" s="66"/>
      <c r="L600" s="66"/>
      <c r="M600" s="66"/>
      <c r="N600" s="64"/>
    </row>
    <row r="601" customFormat="false" ht="15" hidden="false" customHeight="false" outlineLevel="0" collapsed="false">
      <c r="A601" s="64"/>
      <c r="B601" s="64"/>
      <c r="C601" s="64"/>
      <c r="D601" s="65"/>
      <c r="E601" s="64"/>
      <c r="F601" s="66"/>
      <c r="G601" s="64"/>
      <c r="H601" s="64"/>
      <c r="I601" s="66"/>
      <c r="J601" s="66"/>
      <c r="K601" s="66"/>
      <c r="L601" s="66"/>
      <c r="M601" s="66"/>
      <c r="N601" s="64"/>
    </row>
    <row r="602" customFormat="false" ht="15" hidden="false" customHeight="false" outlineLevel="0" collapsed="false">
      <c r="A602" s="64"/>
      <c r="B602" s="64"/>
      <c r="C602" s="64"/>
      <c r="D602" s="65"/>
      <c r="E602" s="64"/>
      <c r="F602" s="66"/>
      <c r="G602" s="64"/>
      <c r="H602" s="64"/>
      <c r="I602" s="66"/>
      <c r="J602" s="66"/>
      <c r="K602" s="66"/>
      <c r="L602" s="66"/>
      <c r="M602" s="66"/>
      <c r="N602" s="64"/>
    </row>
    <row r="603" customFormat="false" ht="15" hidden="false" customHeight="false" outlineLevel="0" collapsed="false">
      <c r="A603" s="64"/>
      <c r="B603" s="64"/>
      <c r="C603" s="64"/>
      <c r="D603" s="65"/>
      <c r="E603" s="64"/>
      <c r="F603" s="66"/>
      <c r="G603" s="64"/>
      <c r="H603" s="64"/>
      <c r="I603" s="66"/>
      <c r="J603" s="66"/>
      <c r="K603" s="66"/>
      <c r="L603" s="66"/>
      <c r="M603" s="66"/>
      <c r="N603" s="64"/>
    </row>
    <row r="604" customFormat="false" ht="15" hidden="false" customHeight="false" outlineLevel="0" collapsed="false">
      <c r="A604" s="64"/>
      <c r="B604" s="64"/>
      <c r="C604" s="64"/>
      <c r="D604" s="65"/>
      <c r="E604" s="64"/>
      <c r="F604" s="66"/>
      <c r="G604" s="64"/>
      <c r="H604" s="64"/>
      <c r="I604" s="66"/>
      <c r="J604" s="66"/>
      <c r="K604" s="66"/>
      <c r="L604" s="66"/>
      <c r="M604" s="66"/>
      <c r="N604" s="64"/>
    </row>
    <row r="605" customFormat="false" ht="15" hidden="false" customHeight="false" outlineLevel="0" collapsed="false">
      <c r="A605" s="64"/>
      <c r="B605" s="64"/>
      <c r="C605" s="64"/>
      <c r="D605" s="65"/>
      <c r="E605" s="64"/>
      <c r="F605" s="66"/>
      <c r="G605" s="64"/>
      <c r="H605" s="64"/>
      <c r="I605" s="66"/>
      <c r="J605" s="66"/>
      <c r="K605" s="66"/>
      <c r="L605" s="66"/>
      <c r="M605" s="66"/>
      <c r="N605" s="64"/>
    </row>
    <row r="606" customFormat="false" ht="15" hidden="false" customHeight="false" outlineLevel="0" collapsed="false">
      <c r="A606" s="64"/>
      <c r="B606" s="64"/>
      <c r="C606" s="64"/>
      <c r="D606" s="65"/>
      <c r="E606" s="64"/>
      <c r="F606" s="66"/>
      <c r="G606" s="64"/>
      <c r="H606" s="64"/>
      <c r="I606" s="66"/>
      <c r="J606" s="66"/>
      <c r="K606" s="66"/>
      <c r="L606" s="66"/>
      <c r="M606" s="66"/>
      <c r="N606" s="64"/>
    </row>
    <row r="607" customFormat="false" ht="15" hidden="false" customHeight="false" outlineLevel="0" collapsed="false">
      <c r="A607" s="64"/>
      <c r="B607" s="64"/>
      <c r="C607" s="64"/>
      <c r="D607" s="65"/>
      <c r="E607" s="64"/>
      <c r="F607" s="66"/>
      <c r="G607" s="64"/>
      <c r="H607" s="64"/>
      <c r="I607" s="66"/>
      <c r="J607" s="66"/>
      <c r="K607" s="66"/>
      <c r="L607" s="66"/>
      <c r="M607" s="66"/>
      <c r="N607" s="64"/>
    </row>
    <row r="608" customFormat="false" ht="15" hidden="false" customHeight="false" outlineLevel="0" collapsed="false">
      <c r="A608" s="64"/>
      <c r="B608" s="64"/>
      <c r="C608" s="64"/>
      <c r="D608" s="65"/>
      <c r="E608" s="64"/>
      <c r="F608" s="66"/>
      <c r="G608" s="64"/>
      <c r="H608" s="64"/>
      <c r="I608" s="66"/>
      <c r="J608" s="66"/>
      <c r="K608" s="66"/>
      <c r="L608" s="66"/>
      <c r="M608" s="66"/>
      <c r="N608" s="64"/>
    </row>
    <row r="609" customFormat="false" ht="15" hidden="false" customHeight="false" outlineLevel="0" collapsed="false">
      <c r="A609" s="64"/>
      <c r="B609" s="64"/>
      <c r="C609" s="64"/>
      <c r="D609" s="65"/>
      <c r="E609" s="64"/>
      <c r="F609" s="66"/>
      <c r="G609" s="64"/>
      <c r="H609" s="64"/>
      <c r="I609" s="66"/>
      <c r="J609" s="66"/>
      <c r="K609" s="66"/>
      <c r="L609" s="66"/>
      <c r="M609" s="66"/>
      <c r="N609" s="64"/>
    </row>
    <row r="610" customFormat="false" ht="15" hidden="false" customHeight="false" outlineLevel="0" collapsed="false">
      <c r="A610" s="64"/>
      <c r="B610" s="64"/>
      <c r="C610" s="64"/>
      <c r="D610" s="65"/>
      <c r="E610" s="64"/>
      <c r="F610" s="66"/>
      <c r="G610" s="64"/>
      <c r="H610" s="64"/>
      <c r="I610" s="66"/>
      <c r="J610" s="66"/>
      <c r="K610" s="66"/>
      <c r="L610" s="66"/>
      <c r="M610" s="66"/>
      <c r="N610" s="64"/>
    </row>
    <row r="611" customFormat="false" ht="15" hidden="false" customHeight="false" outlineLevel="0" collapsed="false">
      <c r="A611" s="64"/>
      <c r="B611" s="64"/>
      <c r="C611" s="64"/>
      <c r="D611" s="65"/>
      <c r="E611" s="64"/>
      <c r="F611" s="66"/>
      <c r="G611" s="64"/>
      <c r="H611" s="64"/>
      <c r="I611" s="66"/>
      <c r="J611" s="66"/>
      <c r="K611" s="66"/>
      <c r="L611" s="66"/>
      <c r="M611" s="66"/>
      <c r="N611" s="64"/>
    </row>
    <row r="612" customFormat="false" ht="15" hidden="false" customHeight="false" outlineLevel="0" collapsed="false">
      <c r="A612" s="64"/>
      <c r="B612" s="64"/>
      <c r="C612" s="64"/>
      <c r="D612" s="65"/>
      <c r="E612" s="64"/>
      <c r="F612" s="66"/>
      <c r="G612" s="64"/>
      <c r="H612" s="64"/>
      <c r="I612" s="66"/>
      <c r="J612" s="66"/>
      <c r="K612" s="66"/>
      <c r="L612" s="66"/>
      <c r="M612" s="66"/>
      <c r="N612" s="64"/>
    </row>
    <row r="613" customFormat="false" ht="15" hidden="false" customHeight="false" outlineLevel="0" collapsed="false">
      <c r="A613" s="64"/>
      <c r="B613" s="64"/>
      <c r="C613" s="64"/>
      <c r="D613" s="65"/>
      <c r="E613" s="64"/>
      <c r="F613" s="66"/>
      <c r="G613" s="64"/>
      <c r="H613" s="64"/>
      <c r="I613" s="66"/>
      <c r="J613" s="66"/>
      <c r="K613" s="66"/>
      <c r="L613" s="66"/>
      <c r="M613" s="66"/>
      <c r="N613" s="64"/>
    </row>
    <row r="614" customFormat="false" ht="15" hidden="false" customHeight="false" outlineLevel="0" collapsed="false">
      <c r="A614" s="64"/>
      <c r="B614" s="64"/>
      <c r="C614" s="64"/>
      <c r="D614" s="65"/>
      <c r="E614" s="64"/>
      <c r="F614" s="66"/>
      <c r="G614" s="64"/>
      <c r="H614" s="64"/>
      <c r="I614" s="66"/>
      <c r="J614" s="66"/>
      <c r="K614" s="66"/>
      <c r="L614" s="66"/>
      <c r="M614" s="66"/>
      <c r="N614" s="64"/>
    </row>
    <row r="615" customFormat="false" ht="15" hidden="false" customHeight="false" outlineLevel="0" collapsed="false">
      <c r="A615" s="64"/>
      <c r="B615" s="64"/>
      <c r="C615" s="64"/>
      <c r="D615" s="65"/>
      <c r="E615" s="64"/>
      <c r="F615" s="66"/>
      <c r="G615" s="64"/>
      <c r="H615" s="64"/>
      <c r="I615" s="66"/>
      <c r="J615" s="66"/>
      <c r="K615" s="66"/>
      <c r="L615" s="66"/>
      <c r="M615" s="66"/>
      <c r="N615" s="64"/>
    </row>
    <row r="616" customFormat="false" ht="15" hidden="false" customHeight="false" outlineLevel="0" collapsed="false">
      <c r="A616" s="64"/>
      <c r="B616" s="64"/>
      <c r="C616" s="64"/>
      <c r="D616" s="65"/>
      <c r="E616" s="64"/>
      <c r="F616" s="66"/>
      <c r="G616" s="64"/>
      <c r="H616" s="64"/>
      <c r="I616" s="66"/>
      <c r="J616" s="66"/>
      <c r="K616" s="66"/>
      <c r="L616" s="66"/>
      <c r="M616" s="66"/>
      <c r="N616" s="64"/>
    </row>
    <row r="617" customFormat="false" ht="15" hidden="false" customHeight="false" outlineLevel="0" collapsed="false">
      <c r="A617" s="64"/>
      <c r="B617" s="64"/>
      <c r="C617" s="64"/>
      <c r="D617" s="65"/>
      <c r="E617" s="64"/>
      <c r="F617" s="66"/>
      <c r="G617" s="64"/>
      <c r="H617" s="64"/>
      <c r="I617" s="66"/>
      <c r="J617" s="66"/>
      <c r="K617" s="66"/>
      <c r="L617" s="66"/>
      <c r="M617" s="66"/>
      <c r="N617" s="64"/>
    </row>
    <row r="618" customFormat="false" ht="15" hidden="false" customHeight="false" outlineLevel="0" collapsed="false">
      <c r="A618" s="64"/>
      <c r="B618" s="64"/>
      <c r="C618" s="64"/>
      <c r="D618" s="65"/>
      <c r="E618" s="64"/>
      <c r="F618" s="66"/>
      <c r="G618" s="64"/>
      <c r="H618" s="64"/>
      <c r="I618" s="66"/>
      <c r="J618" s="66"/>
      <c r="K618" s="66"/>
      <c r="L618" s="66"/>
      <c r="M618" s="66"/>
      <c r="N618" s="64"/>
    </row>
    <row r="619" customFormat="false" ht="15" hidden="false" customHeight="false" outlineLevel="0" collapsed="false">
      <c r="A619" s="64"/>
      <c r="B619" s="64"/>
      <c r="C619" s="64"/>
      <c r="D619" s="65"/>
      <c r="E619" s="64"/>
      <c r="F619" s="66"/>
      <c r="G619" s="64"/>
      <c r="H619" s="64"/>
      <c r="I619" s="66"/>
      <c r="J619" s="66"/>
      <c r="K619" s="66"/>
      <c r="L619" s="66"/>
      <c r="M619" s="66"/>
      <c r="N619" s="64"/>
    </row>
    <row r="620" customFormat="false" ht="15" hidden="false" customHeight="false" outlineLevel="0" collapsed="false">
      <c r="A620" s="64"/>
      <c r="B620" s="64"/>
      <c r="C620" s="64"/>
      <c r="D620" s="65"/>
      <c r="E620" s="64"/>
      <c r="F620" s="66"/>
      <c r="G620" s="64"/>
      <c r="H620" s="64"/>
      <c r="I620" s="66"/>
      <c r="J620" s="66"/>
      <c r="K620" s="66"/>
      <c r="L620" s="66"/>
      <c r="M620" s="66"/>
      <c r="N620" s="64"/>
    </row>
    <row r="621" customFormat="false" ht="15" hidden="false" customHeight="false" outlineLevel="0" collapsed="false">
      <c r="A621" s="64"/>
      <c r="B621" s="64"/>
      <c r="C621" s="64"/>
      <c r="D621" s="65"/>
      <c r="E621" s="64"/>
      <c r="F621" s="66"/>
      <c r="G621" s="64"/>
      <c r="H621" s="64"/>
      <c r="I621" s="66"/>
      <c r="J621" s="66"/>
      <c r="K621" s="66"/>
      <c r="L621" s="66"/>
      <c r="M621" s="66"/>
      <c r="N621" s="64"/>
    </row>
    <row r="622" customFormat="false" ht="15" hidden="false" customHeight="false" outlineLevel="0" collapsed="false">
      <c r="A622" s="64"/>
      <c r="B622" s="64"/>
      <c r="C622" s="64"/>
      <c r="D622" s="65"/>
      <c r="E622" s="64"/>
      <c r="F622" s="66"/>
      <c r="G622" s="64"/>
      <c r="H622" s="64"/>
      <c r="I622" s="66"/>
      <c r="J622" s="66"/>
      <c r="K622" s="66"/>
      <c r="L622" s="66"/>
      <c r="M622" s="66"/>
      <c r="N622" s="64"/>
    </row>
    <row r="623" customFormat="false" ht="15" hidden="false" customHeight="false" outlineLevel="0" collapsed="false">
      <c r="A623" s="64"/>
      <c r="B623" s="64"/>
      <c r="C623" s="64"/>
      <c r="D623" s="65"/>
      <c r="E623" s="64"/>
      <c r="F623" s="66"/>
      <c r="G623" s="64"/>
      <c r="H623" s="64"/>
      <c r="I623" s="66"/>
      <c r="J623" s="66"/>
      <c r="K623" s="66"/>
      <c r="L623" s="66"/>
      <c r="M623" s="66"/>
      <c r="N623" s="64"/>
    </row>
    <row r="624" customFormat="false" ht="15" hidden="false" customHeight="false" outlineLevel="0" collapsed="false">
      <c r="A624" s="64"/>
      <c r="B624" s="64"/>
      <c r="C624" s="64"/>
      <c r="D624" s="65"/>
      <c r="E624" s="64"/>
      <c r="F624" s="66"/>
      <c r="G624" s="64"/>
      <c r="H624" s="64"/>
      <c r="I624" s="66"/>
      <c r="J624" s="66"/>
      <c r="K624" s="66"/>
      <c r="L624" s="66"/>
      <c r="M624" s="66"/>
      <c r="N624" s="64"/>
    </row>
    <row r="625" customFormat="false" ht="15" hidden="false" customHeight="false" outlineLevel="0" collapsed="false">
      <c r="A625" s="64"/>
      <c r="B625" s="64"/>
      <c r="C625" s="64"/>
      <c r="D625" s="65"/>
      <c r="E625" s="64"/>
      <c r="F625" s="66"/>
      <c r="G625" s="64"/>
      <c r="H625" s="64"/>
      <c r="I625" s="66"/>
      <c r="J625" s="66"/>
      <c r="K625" s="66"/>
      <c r="L625" s="66"/>
      <c r="M625" s="66"/>
      <c r="N625" s="64"/>
    </row>
    <row r="626" customFormat="false" ht="15" hidden="false" customHeight="false" outlineLevel="0" collapsed="false">
      <c r="A626" s="64"/>
      <c r="B626" s="64"/>
      <c r="C626" s="64"/>
      <c r="D626" s="65"/>
      <c r="E626" s="64"/>
      <c r="F626" s="66"/>
      <c r="G626" s="64"/>
      <c r="H626" s="64"/>
      <c r="I626" s="66"/>
      <c r="J626" s="66"/>
      <c r="K626" s="66"/>
      <c r="L626" s="66"/>
      <c r="M626" s="66"/>
      <c r="N626" s="64"/>
    </row>
    <row r="627" customFormat="false" ht="15" hidden="false" customHeight="false" outlineLevel="0" collapsed="false">
      <c r="A627" s="64"/>
      <c r="B627" s="64"/>
      <c r="C627" s="64"/>
      <c r="D627" s="65"/>
      <c r="E627" s="64"/>
      <c r="F627" s="66"/>
      <c r="G627" s="64"/>
      <c r="H627" s="64"/>
      <c r="I627" s="66"/>
      <c r="J627" s="66"/>
      <c r="K627" s="66"/>
      <c r="L627" s="66"/>
      <c r="M627" s="66"/>
      <c r="N627" s="64"/>
    </row>
    <row r="628" customFormat="false" ht="15" hidden="false" customHeight="false" outlineLevel="0" collapsed="false">
      <c r="A628" s="64"/>
      <c r="B628" s="64"/>
      <c r="C628" s="64"/>
      <c r="D628" s="65"/>
      <c r="E628" s="64"/>
      <c r="F628" s="66"/>
      <c r="G628" s="64"/>
      <c r="H628" s="64"/>
      <c r="I628" s="66"/>
      <c r="J628" s="66"/>
      <c r="K628" s="66"/>
      <c r="L628" s="66"/>
      <c r="M628" s="66"/>
      <c r="N628" s="64"/>
    </row>
    <row r="629" customFormat="false" ht="15" hidden="false" customHeight="false" outlineLevel="0" collapsed="false">
      <c r="A629" s="64"/>
      <c r="B629" s="64"/>
      <c r="C629" s="64"/>
      <c r="D629" s="65"/>
      <c r="E629" s="64"/>
      <c r="F629" s="66"/>
      <c r="G629" s="64"/>
      <c r="H629" s="64"/>
      <c r="I629" s="66"/>
      <c r="J629" s="66"/>
      <c r="K629" s="66"/>
      <c r="L629" s="66"/>
      <c r="M629" s="66"/>
      <c r="N629" s="64"/>
    </row>
    <row r="630" customFormat="false" ht="15" hidden="false" customHeight="false" outlineLevel="0" collapsed="false">
      <c r="A630" s="64"/>
      <c r="B630" s="64"/>
      <c r="C630" s="64"/>
      <c r="D630" s="65"/>
      <c r="E630" s="64"/>
      <c r="F630" s="66"/>
      <c r="G630" s="64"/>
      <c r="H630" s="64"/>
      <c r="I630" s="66"/>
      <c r="J630" s="66"/>
      <c r="K630" s="66"/>
      <c r="L630" s="66"/>
      <c r="M630" s="66"/>
      <c r="N630" s="64"/>
    </row>
    <row r="631" customFormat="false" ht="15" hidden="false" customHeight="false" outlineLevel="0" collapsed="false">
      <c r="A631" s="64"/>
      <c r="B631" s="64"/>
      <c r="C631" s="64"/>
      <c r="D631" s="65"/>
      <c r="E631" s="64"/>
      <c r="F631" s="66"/>
      <c r="G631" s="64"/>
      <c r="H631" s="64"/>
      <c r="I631" s="66"/>
      <c r="J631" s="66"/>
      <c r="K631" s="66"/>
      <c r="L631" s="66"/>
      <c r="M631" s="66"/>
      <c r="N631" s="64"/>
    </row>
    <row r="632" customFormat="false" ht="15" hidden="false" customHeight="false" outlineLevel="0" collapsed="false">
      <c r="A632" s="64"/>
      <c r="B632" s="64"/>
      <c r="C632" s="64"/>
      <c r="D632" s="65"/>
      <c r="E632" s="64"/>
      <c r="F632" s="66"/>
      <c r="G632" s="64"/>
      <c r="H632" s="64"/>
      <c r="I632" s="66"/>
      <c r="J632" s="66"/>
      <c r="K632" s="66"/>
      <c r="L632" s="66"/>
      <c r="M632" s="66"/>
      <c r="N632" s="64"/>
    </row>
    <row r="633" customFormat="false" ht="15" hidden="false" customHeight="false" outlineLevel="0" collapsed="false">
      <c r="A633" s="64"/>
      <c r="B633" s="64"/>
      <c r="C633" s="64"/>
      <c r="D633" s="65"/>
      <c r="E633" s="64"/>
      <c r="F633" s="66"/>
      <c r="G633" s="64"/>
      <c r="H633" s="64"/>
      <c r="I633" s="66"/>
      <c r="J633" s="66"/>
      <c r="K633" s="66"/>
      <c r="L633" s="66"/>
      <c r="M633" s="66"/>
      <c r="N633" s="64"/>
    </row>
    <row r="634" customFormat="false" ht="15" hidden="false" customHeight="false" outlineLevel="0" collapsed="false">
      <c r="A634" s="64"/>
      <c r="B634" s="64"/>
      <c r="C634" s="64"/>
      <c r="D634" s="65"/>
      <c r="E634" s="64"/>
      <c r="F634" s="66"/>
      <c r="G634" s="64"/>
      <c r="H634" s="64"/>
      <c r="I634" s="66"/>
      <c r="J634" s="66"/>
      <c r="K634" s="66"/>
      <c r="L634" s="66"/>
      <c r="M634" s="66"/>
      <c r="N634" s="64"/>
    </row>
    <row r="635" customFormat="false" ht="15" hidden="false" customHeight="false" outlineLevel="0" collapsed="false">
      <c r="A635" s="64"/>
      <c r="B635" s="64"/>
      <c r="C635" s="64"/>
      <c r="D635" s="65"/>
      <c r="E635" s="64"/>
      <c r="F635" s="66"/>
      <c r="G635" s="64"/>
      <c r="H635" s="64"/>
      <c r="I635" s="66"/>
      <c r="J635" s="66"/>
      <c r="K635" s="66"/>
      <c r="L635" s="66"/>
      <c r="M635" s="66"/>
      <c r="N635" s="64"/>
    </row>
    <row r="636" customFormat="false" ht="15" hidden="false" customHeight="false" outlineLevel="0" collapsed="false">
      <c r="A636" s="64"/>
      <c r="B636" s="64"/>
      <c r="C636" s="64"/>
      <c r="D636" s="65"/>
      <c r="E636" s="64"/>
      <c r="F636" s="66"/>
      <c r="G636" s="64"/>
      <c r="H636" s="64"/>
      <c r="I636" s="66"/>
      <c r="J636" s="66"/>
      <c r="K636" s="66"/>
      <c r="L636" s="66"/>
      <c r="M636" s="66"/>
      <c r="N636" s="64"/>
    </row>
    <row r="637" customFormat="false" ht="15" hidden="false" customHeight="false" outlineLevel="0" collapsed="false">
      <c r="A637" s="64"/>
      <c r="B637" s="64"/>
      <c r="C637" s="64"/>
      <c r="D637" s="65"/>
      <c r="E637" s="64"/>
      <c r="F637" s="66"/>
      <c r="G637" s="64"/>
      <c r="H637" s="64"/>
      <c r="I637" s="66"/>
      <c r="J637" s="66"/>
      <c r="K637" s="66"/>
      <c r="L637" s="66"/>
      <c r="M637" s="66"/>
      <c r="N637" s="64"/>
    </row>
    <row r="638" customFormat="false" ht="15" hidden="false" customHeight="false" outlineLevel="0" collapsed="false">
      <c r="A638" s="64"/>
      <c r="B638" s="64"/>
      <c r="C638" s="64"/>
      <c r="D638" s="65"/>
      <c r="E638" s="64"/>
      <c r="F638" s="66"/>
      <c r="G638" s="64"/>
      <c r="H638" s="64"/>
      <c r="I638" s="66"/>
      <c r="J638" s="66"/>
      <c r="K638" s="66"/>
      <c r="L638" s="66"/>
      <c r="M638" s="66"/>
      <c r="N638" s="64"/>
    </row>
    <row r="639" customFormat="false" ht="15" hidden="false" customHeight="false" outlineLevel="0" collapsed="false">
      <c r="A639" s="64"/>
      <c r="B639" s="64"/>
      <c r="C639" s="64"/>
      <c r="D639" s="65"/>
      <c r="E639" s="64"/>
      <c r="F639" s="66"/>
      <c r="G639" s="64"/>
      <c r="H639" s="64"/>
      <c r="I639" s="66"/>
      <c r="J639" s="66"/>
      <c r="K639" s="66"/>
      <c r="L639" s="66"/>
      <c r="M639" s="66"/>
      <c r="N639" s="64"/>
    </row>
    <row r="640" customFormat="false" ht="15" hidden="false" customHeight="false" outlineLevel="0" collapsed="false">
      <c r="A640" s="64"/>
      <c r="B640" s="64"/>
      <c r="C640" s="64"/>
      <c r="D640" s="65"/>
      <c r="E640" s="64"/>
      <c r="F640" s="66"/>
      <c r="G640" s="64"/>
      <c r="H640" s="64"/>
      <c r="I640" s="66"/>
      <c r="J640" s="66"/>
      <c r="K640" s="66"/>
      <c r="L640" s="66"/>
      <c r="M640" s="66"/>
      <c r="N640" s="64"/>
    </row>
    <row r="641" customFormat="false" ht="15" hidden="false" customHeight="false" outlineLevel="0" collapsed="false">
      <c r="A641" s="64"/>
      <c r="B641" s="64"/>
      <c r="C641" s="64"/>
      <c r="D641" s="65"/>
      <c r="E641" s="64"/>
      <c r="F641" s="66"/>
      <c r="G641" s="64"/>
      <c r="H641" s="64"/>
      <c r="I641" s="66"/>
      <c r="J641" s="66"/>
      <c r="K641" s="66"/>
      <c r="L641" s="66"/>
      <c r="M641" s="66"/>
      <c r="N641" s="64"/>
    </row>
    <row r="642" customFormat="false" ht="15" hidden="false" customHeight="false" outlineLevel="0" collapsed="false">
      <c r="A642" s="64"/>
      <c r="B642" s="64"/>
      <c r="C642" s="64"/>
      <c r="D642" s="65"/>
      <c r="E642" s="64"/>
      <c r="F642" s="66"/>
      <c r="G642" s="64"/>
      <c r="H642" s="64"/>
      <c r="I642" s="66"/>
      <c r="J642" s="66"/>
      <c r="K642" s="66"/>
      <c r="L642" s="66"/>
      <c r="M642" s="66"/>
      <c r="N642" s="64"/>
    </row>
    <row r="643" customFormat="false" ht="15" hidden="false" customHeight="false" outlineLevel="0" collapsed="false">
      <c r="A643" s="64"/>
      <c r="B643" s="64"/>
      <c r="C643" s="64"/>
      <c r="D643" s="65"/>
      <c r="E643" s="64"/>
      <c r="F643" s="66"/>
      <c r="G643" s="64"/>
      <c r="H643" s="64"/>
      <c r="I643" s="66"/>
      <c r="J643" s="66"/>
      <c r="K643" s="66"/>
      <c r="L643" s="66"/>
      <c r="M643" s="66"/>
      <c r="N643" s="64"/>
    </row>
    <row r="644" customFormat="false" ht="15" hidden="false" customHeight="false" outlineLevel="0" collapsed="false">
      <c r="A644" s="64"/>
      <c r="B644" s="64"/>
      <c r="C644" s="64"/>
      <c r="D644" s="65"/>
      <c r="E644" s="64"/>
      <c r="F644" s="66"/>
      <c r="G644" s="64"/>
      <c r="H644" s="64"/>
      <c r="I644" s="66"/>
      <c r="J644" s="66"/>
      <c r="K644" s="66"/>
      <c r="L644" s="66"/>
      <c r="M644" s="66"/>
      <c r="N644" s="64"/>
    </row>
    <row r="645" customFormat="false" ht="15" hidden="false" customHeight="false" outlineLevel="0" collapsed="false">
      <c r="A645" s="64"/>
      <c r="B645" s="64"/>
      <c r="C645" s="64"/>
      <c r="D645" s="65"/>
      <c r="E645" s="64"/>
      <c r="F645" s="66"/>
      <c r="G645" s="64"/>
      <c r="H645" s="64"/>
      <c r="I645" s="66"/>
      <c r="J645" s="66"/>
      <c r="K645" s="66"/>
      <c r="L645" s="66"/>
      <c r="M645" s="66"/>
      <c r="N645" s="64"/>
    </row>
    <row r="646" customFormat="false" ht="15" hidden="false" customHeight="false" outlineLevel="0" collapsed="false">
      <c r="A646" s="64"/>
      <c r="B646" s="64"/>
      <c r="C646" s="64"/>
      <c r="D646" s="65"/>
      <c r="E646" s="64"/>
      <c r="F646" s="66"/>
      <c r="G646" s="64"/>
      <c r="H646" s="64"/>
      <c r="I646" s="66"/>
      <c r="J646" s="66"/>
      <c r="K646" s="66"/>
      <c r="L646" s="66"/>
      <c r="M646" s="66"/>
      <c r="N646" s="64"/>
    </row>
    <row r="647" customFormat="false" ht="15" hidden="false" customHeight="false" outlineLevel="0" collapsed="false">
      <c r="A647" s="64"/>
      <c r="B647" s="64"/>
      <c r="C647" s="64"/>
      <c r="D647" s="65"/>
      <c r="E647" s="64"/>
      <c r="F647" s="66"/>
      <c r="G647" s="64"/>
      <c r="H647" s="64"/>
      <c r="I647" s="66"/>
      <c r="J647" s="66"/>
      <c r="K647" s="66"/>
      <c r="L647" s="66"/>
      <c r="M647" s="66"/>
      <c r="N647" s="64"/>
    </row>
    <row r="648" customFormat="false" ht="15" hidden="false" customHeight="false" outlineLevel="0" collapsed="false">
      <c r="A648" s="64"/>
      <c r="B648" s="64"/>
      <c r="C648" s="64"/>
      <c r="D648" s="65"/>
      <c r="E648" s="64"/>
      <c r="F648" s="66"/>
      <c r="G648" s="64"/>
      <c r="H648" s="64"/>
      <c r="I648" s="66"/>
      <c r="J648" s="66"/>
      <c r="K648" s="66"/>
      <c r="L648" s="66"/>
      <c r="M648" s="66"/>
      <c r="N648" s="64"/>
    </row>
    <row r="649" customFormat="false" ht="15" hidden="false" customHeight="false" outlineLevel="0" collapsed="false">
      <c r="A649" s="64"/>
      <c r="B649" s="64"/>
      <c r="C649" s="64"/>
      <c r="D649" s="65"/>
      <c r="E649" s="64"/>
      <c r="F649" s="66"/>
      <c r="G649" s="64"/>
      <c r="H649" s="64"/>
      <c r="I649" s="66"/>
      <c r="J649" s="66"/>
      <c r="K649" s="66"/>
      <c r="L649" s="66"/>
      <c r="M649" s="66"/>
      <c r="N649" s="64"/>
    </row>
    <row r="650" customFormat="false" ht="15" hidden="false" customHeight="false" outlineLevel="0" collapsed="false">
      <c r="A650" s="64"/>
      <c r="B650" s="64"/>
      <c r="C650" s="64"/>
      <c r="D650" s="65"/>
      <c r="E650" s="64"/>
      <c r="F650" s="66"/>
      <c r="G650" s="64"/>
      <c r="H650" s="64"/>
      <c r="I650" s="66"/>
      <c r="J650" s="66"/>
      <c r="K650" s="66"/>
      <c r="L650" s="66"/>
      <c r="M650" s="66"/>
      <c r="N650" s="64"/>
    </row>
    <row r="651" customFormat="false" ht="15" hidden="false" customHeight="false" outlineLevel="0" collapsed="false">
      <c r="A651" s="64"/>
      <c r="B651" s="64"/>
      <c r="C651" s="64"/>
      <c r="D651" s="65"/>
      <c r="E651" s="64"/>
      <c r="F651" s="66"/>
      <c r="G651" s="64"/>
      <c r="H651" s="64"/>
      <c r="I651" s="66"/>
      <c r="J651" s="66"/>
      <c r="K651" s="66"/>
      <c r="L651" s="66"/>
      <c r="M651" s="66"/>
      <c r="N651" s="64"/>
    </row>
    <row r="652" customFormat="false" ht="15" hidden="false" customHeight="false" outlineLevel="0" collapsed="false">
      <c r="A652" s="64"/>
      <c r="B652" s="64"/>
      <c r="C652" s="64"/>
      <c r="D652" s="65"/>
      <c r="E652" s="64"/>
      <c r="F652" s="66"/>
      <c r="G652" s="64"/>
      <c r="H652" s="64"/>
      <c r="I652" s="66"/>
      <c r="J652" s="66"/>
      <c r="K652" s="66"/>
      <c r="L652" s="66"/>
      <c r="M652" s="66"/>
      <c r="N652" s="64"/>
    </row>
    <row r="653" customFormat="false" ht="15" hidden="false" customHeight="false" outlineLevel="0" collapsed="false">
      <c r="A653" s="64"/>
      <c r="B653" s="64"/>
      <c r="C653" s="64"/>
      <c r="D653" s="65"/>
      <c r="E653" s="64"/>
      <c r="F653" s="66"/>
      <c r="G653" s="64"/>
      <c r="H653" s="64"/>
      <c r="I653" s="66"/>
      <c r="J653" s="66"/>
      <c r="K653" s="66"/>
      <c r="L653" s="66"/>
      <c r="M653" s="66"/>
      <c r="N653" s="64"/>
    </row>
    <row r="654" customFormat="false" ht="15" hidden="false" customHeight="false" outlineLevel="0" collapsed="false">
      <c r="A654" s="64"/>
      <c r="B654" s="64"/>
      <c r="C654" s="64"/>
      <c r="D654" s="65"/>
      <c r="E654" s="64"/>
      <c r="F654" s="66"/>
      <c r="G654" s="64"/>
      <c r="H654" s="64"/>
      <c r="I654" s="66"/>
      <c r="J654" s="66"/>
      <c r="K654" s="66"/>
      <c r="L654" s="66"/>
      <c r="M654" s="66"/>
      <c r="N654" s="64"/>
    </row>
    <row r="655" customFormat="false" ht="15" hidden="false" customHeight="false" outlineLevel="0" collapsed="false">
      <c r="A655" s="64"/>
      <c r="B655" s="64"/>
      <c r="C655" s="64"/>
      <c r="D655" s="65"/>
      <c r="E655" s="64"/>
      <c r="F655" s="66"/>
      <c r="G655" s="64"/>
      <c r="H655" s="64"/>
      <c r="I655" s="66"/>
      <c r="J655" s="66"/>
      <c r="K655" s="66"/>
      <c r="L655" s="66"/>
      <c r="M655" s="66"/>
      <c r="N655" s="64"/>
    </row>
    <row r="656" customFormat="false" ht="15" hidden="false" customHeight="false" outlineLevel="0" collapsed="false">
      <c r="A656" s="64"/>
      <c r="B656" s="64"/>
      <c r="C656" s="64"/>
      <c r="D656" s="65"/>
      <c r="E656" s="64"/>
      <c r="F656" s="66"/>
      <c r="G656" s="64"/>
      <c r="H656" s="64"/>
      <c r="I656" s="66"/>
      <c r="J656" s="66"/>
      <c r="K656" s="66"/>
      <c r="L656" s="66"/>
      <c r="M656" s="66"/>
      <c r="N656" s="64"/>
    </row>
    <row r="657" customFormat="false" ht="15" hidden="false" customHeight="false" outlineLevel="0" collapsed="false">
      <c r="A657" s="64"/>
      <c r="B657" s="64"/>
      <c r="C657" s="64"/>
      <c r="D657" s="65"/>
      <c r="E657" s="64"/>
      <c r="F657" s="66"/>
      <c r="G657" s="64"/>
      <c r="H657" s="64"/>
      <c r="I657" s="66"/>
      <c r="J657" s="66"/>
      <c r="K657" s="66"/>
      <c r="L657" s="66"/>
      <c r="M657" s="66"/>
      <c r="N657" s="64"/>
    </row>
    <row r="658" customFormat="false" ht="15" hidden="false" customHeight="false" outlineLevel="0" collapsed="false">
      <c r="A658" s="64"/>
      <c r="B658" s="64"/>
      <c r="C658" s="64"/>
      <c r="D658" s="65"/>
      <c r="E658" s="64"/>
      <c r="F658" s="66"/>
      <c r="G658" s="64"/>
      <c r="H658" s="64"/>
      <c r="I658" s="66"/>
      <c r="J658" s="66"/>
      <c r="K658" s="66"/>
      <c r="L658" s="66"/>
      <c r="M658" s="66"/>
      <c r="N658" s="64"/>
    </row>
    <row r="659" customFormat="false" ht="15" hidden="false" customHeight="false" outlineLevel="0" collapsed="false">
      <c r="A659" s="64"/>
      <c r="B659" s="64"/>
      <c r="C659" s="64"/>
      <c r="D659" s="65"/>
      <c r="E659" s="64"/>
      <c r="F659" s="66"/>
      <c r="G659" s="64"/>
      <c r="H659" s="64"/>
      <c r="I659" s="66"/>
      <c r="J659" s="66"/>
      <c r="K659" s="66"/>
      <c r="L659" s="66"/>
      <c r="M659" s="66"/>
      <c r="N659" s="64"/>
    </row>
    <row r="660" customFormat="false" ht="15" hidden="false" customHeight="false" outlineLevel="0" collapsed="false">
      <c r="A660" s="64"/>
      <c r="B660" s="64"/>
      <c r="C660" s="64"/>
      <c r="D660" s="65"/>
      <c r="E660" s="64"/>
      <c r="F660" s="66"/>
      <c r="G660" s="64"/>
      <c r="H660" s="64"/>
      <c r="I660" s="66"/>
      <c r="J660" s="66"/>
      <c r="K660" s="66"/>
      <c r="L660" s="66"/>
      <c r="M660" s="66"/>
      <c r="N660" s="64"/>
    </row>
    <row r="661" customFormat="false" ht="15" hidden="false" customHeight="false" outlineLevel="0" collapsed="false">
      <c r="A661" s="64"/>
      <c r="B661" s="64"/>
      <c r="C661" s="64"/>
      <c r="D661" s="65"/>
      <c r="E661" s="64"/>
      <c r="F661" s="66"/>
      <c r="G661" s="64"/>
      <c r="H661" s="64"/>
      <c r="I661" s="66"/>
      <c r="J661" s="66"/>
      <c r="K661" s="66"/>
      <c r="L661" s="66"/>
      <c r="M661" s="66"/>
      <c r="N661" s="64"/>
    </row>
    <row r="662" customFormat="false" ht="15" hidden="false" customHeight="false" outlineLevel="0" collapsed="false">
      <c r="A662" s="64"/>
      <c r="B662" s="64"/>
      <c r="C662" s="64"/>
      <c r="D662" s="65"/>
      <c r="E662" s="64"/>
      <c r="F662" s="66"/>
      <c r="G662" s="64"/>
      <c r="H662" s="64"/>
      <c r="I662" s="66"/>
      <c r="J662" s="66"/>
      <c r="K662" s="66"/>
      <c r="L662" s="66"/>
      <c r="M662" s="66"/>
      <c r="N662" s="64"/>
    </row>
    <row r="663" customFormat="false" ht="15" hidden="false" customHeight="false" outlineLevel="0" collapsed="false">
      <c r="A663" s="64"/>
      <c r="B663" s="64"/>
      <c r="C663" s="64"/>
      <c r="D663" s="65"/>
      <c r="E663" s="64"/>
      <c r="F663" s="66"/>
      <c r="G663" s="64"/>
      <c r="H663" s="64"/>
      <c r="I663" s="66"/>
      <c r="J663" s="66"/>
      <c r="K663" s="66"/>
      <c r="L663" s="66"/>
      <c r="M663" s="66"/>
      <c r="N663" s="64"/>
    </row>
    <row r="664" customFormat="false" ht="15" hidden="false" customHeight="false" outlineLevel="0" collapsed="false">
      <c r="A664" s="64"/>
      <c r="B664" s="64"/>
      <c r="C664" s="64"/>
      <c r="D664" s="65"/>
      <c r="E664" s="64"/>
      <c r="F664" s="66"/>
      <c r="G664" s="64"/>
      <c r="H664" s="64"/>
      <c r="I664" s="66"/>
      <c r="J664" s="66"/>
      <c r="K664" s="66"/>
      <c r="L664" s="66"/>
      <c r="M664" s="66"/>
      <c r="N664" s="64"/>
    </row>
    <row r="665" customFormat="false" ht="15" hidden="false" customHeight="false" outlineLevel="0" collapsed="false">
      <c r="A665" s="64"/>
      <c r="B665" s="64"/>
      <c r="C665" s="64"/>
      <c r="D665" s="65"/>
      <c r="E665" s="64"/>
      <c r="F665" s="66"/>
      <c r="G665" s="64"/>
      <c r="H665" s="64"/>
      <c r="I665" s="66"/>
      <c r="J665" s="66"/>
      <c r="K665" s="66"/>
      <c r="L665" s="66"/>
      <c r="M665" s="66"/>
      <c r="N665" s="64"/>
    </row>
    <row r="666" customFormat="false" ht="15" hidden="false" customHeight="false" outlineLevel="0" collapsed="false">
      <c r="A666" s="64"/>
      <c r="B666" s="64"/>
      <c r="C666" s="64"/>
      <c r="D666" s="65"/>
      <c r="E666" s="64"/>
      <c r="F666" s="66"/>
      <c r="G666" s="64"/>
      <c r="H666" s="64"/>
      <c r="I666" s="66"/>
      <c r="J666" s="66"/>
      <c r="K666" s="66"/>
      <c r="L666" s="66"/>
      <c r="M666" s="66"/>
      <c r="N666" s="64"/>
    </row>
    <row r="667" customFormat="false" ht="15" hidden="false" customHeight="false" outlineLevel="0" collapsed="false">
      <c r="A667" s="64"/>
      <c r="B667" s="64"/>
      <c r="C667" s="64"/>
      <c r="D667" s="65"/>
      <c r="E667" s="64"/>
      <c r="F667" s="66"/>
      <c r="G667" s="64"/>
      <c r="H667" s="64"/>
      <c r="I667" s="66"/>
      <c r="J667" s="66"/>
      <c r="K667" s="66"/>
      <c r="L667" s="66"/>
      <c r="M667" s="66"/>
      <c r="N667" s="64"/>
    </row>
    <row r="668" customFormat="false" ht="15" hidden="false" customHeight="false" outlineLevel="0" collapsed="false">
      <c r="A668" s="64"/>
      <c r="B668" s="64"/>
      <c r="C668" s="64"/>
      <c r="D668" s="65"/>
      <c r="E668" s="64"/>
      <c r="F668" s="66"/>
      <c r="G668" s="64"/>
      <c r="H668" s="64"/>
      <c r="I668" s="66"/>
      <c r="J668" s="66"/>
      <c r="K668" s="66"/>
      <c r="L668" s="66"/>
      <c r="M668" s="66"/>
      <c r="N668" s="64"/>
    </row>
    <row r="669" customFormat="false" ht="15" hidden="false" customHeight="false" outlineLevel="0" collapsed="false">
      <c r="A669" s="64"/>
      <c r="B669" s="64"/>
      <c r="C669" s="64"/>
      <c r="D669" s="65"/>
      <c r="E669" s="64"/>
      <c r="F669" s="66"/>
      <c r="G669" s="64"/>
      <c r="H669" s="64"/>
      <c r="I669" s="66"/>
      <c r="J669" s="66"/>
      <c r="K669" s="66"/>
      <c r="L669" s="66"/>
      <c r="M669" s="66"/>
      <c r="N669" s="64"/>
    </row>
    <row r="670" customFormat="false" ht="15" hidden="false" customHeight="false" outlineLevel="0" collapsed="false">
      <c r="A670" s="64"/>
      <c r="B670" s="64"/>
      <c r="C670" s="64"/>
      <c r="D670" s="65"/>
      <c r="E670" s="64"/>
      <c r="F670" s="66"/>
      <c r="G670" s="64"/>
      <c r="H670" s="64"/>
      <c r="I670" s="66"/>
      <c r="J670" s="66"/>
      <c r="K670" s="66"/>
      <c r="L670" s="66"/>
      <c r="M670" s="66"/>
      <c r="N670" s="64"/>
    </row>
    <row r="671" customFormat="false" ht="15" hidden="false" customHeight="false" outlineLevel="0" collapsed="false">
      <c r="A671" s="64"/>
      <c r="B671" s="64"/>
      <c r="C671" s="64"/>
      <c r="D671" s="65"/>
      <c r="E671" s="64"/>
      <c r="F671" s="66"/>
      <c r="G671" s="64"/>
      <c r="H671" s="64"/>
      <c r="I671" s="66"/>
      <c r="J671" s="66"/>
      <c r="K671" s="66"/>
      <c r="L671" s="66"/>
      <c r="M671" s="66"/>
      <c r="N671" s="64"/>
    </row>
    <row r="672" customFormat="false" ht="15" hidden="false" customHeight="false" outlineLevel="0" collapsed="false">
      <c r="A672" s="64"/>
      <c r="B672" s="64"/>
      <c r="C672" s="64"/>
      <c r="D672" s="65"/>
      <c r="E672" s="64"/>
      <c r="F672" s="66"/>
      <c r="G672" s="64"/>
      <c r="H672" s="64"/>
      <c r="I672" s="66"/>
      <c r="J672" s="66"/>
      <c r="K672" s="66"/>
      <c r="L672" s="66"/>
      <c r="M672" s="66"/>
      <c r="N672" s="64"/>
    </row>
    <row r="673" customFormat="false" ht="15" hidden="false" customHeight="false" outlineLevel="0" collapsed="false">
      <c r="A673" s="64"/>
      <c r="B673" s="64"/>
      <c r="C673" s="64"/>
      <c r="D673" s="65"/>
      <c r="E673" s="64"/>
      <c r="F673" s="66"/>
      <c r="G673" s="64"/>
      <c r="H673" s="64"/>
      <c r="I673" s="66"/>
      <c r="J673" s="66"/>
      <c r="K673" s="66"/>
      <c r="L673" s="66"/>
      <c r="M673" s="66"/>
      <c r="N673" s="64"/>
    </row>
    <row r="674" customFormat="false" ht="15" hidden="false" customHeight="false" outlineLevel="0" collapsed="false">
      <c r="A674" s="64"/>
      <c r="B674" s="64"/>
      <c r="C674" s="64"/>
      <c r="D674" s="65"/>
      <c r="E674" s="64"/>
      <c r="F674" s="66"/>
      <c r="G674" s="64"/>
      <c r="H674" s="64"/>
      <c r="I674" s="66"/>
      <c r="J674" s="66"/>
      <c r="K674" s="66"/>
      <c r="L674" s="66"/>
      <c r="M674" s="66"/>
      <c r="N674" s="64"/>
    </row>
    <row r="675" customFormat="false" ht="15" hidden="false" customHeight="false" outlineLevel="0" collapsed="false">
      <c r="A675" s="64"/>
      <c r="B675" s="64"/>
      <c r="C675" s="64"/>
      <c r="D675" s="65"/>
      <c r="E675" s="64"/>
      <c r="F675" s="66"/>
      <c r="G675" s="64"/>
      <c r="H675" s="64"/>
      <c r="I675" s="66"/>
      <c r="J675" s="66"/>
      <c r="K675" s="66"/>
      <c r="L675" s="66"/>
      <c r="M675" s="66"/>
      <c r="N675" s="64"/>
    </row>
    <row r="676" customFormat="false" ht="15" hidden="false" customHeight="false" outlineLevel="0" collapsed="false">
      <c r="A676" s="64"/>
      <c r="B676" s="64"/>
      <c r="C676" s="64"/>
      <c r="D676" s="65"/>
      <c r="E676" s="64"/>
      <c r="F676" s="66"/>
      <c r="G676" s="64"/>
      <c r="H676" s="64"/>
      <c r="I676" s="66"/>
      <c r="J676" s="66"/>
      <c r="K676" s="66"/>
      <c r="L676" s="66"/>
      <c r="M676" s="66"/>
      <c r="N676" s="64"/>
    </row>
    <row r="677" customFormat="false" ht="15" hidden="false" customHeight="false" outlineLevel="0" collapsed="false">
      <c r="A677" s="64"/>
      <c r="B677" s="64"/>
      <c r="C677" s="64"/>
      <c r="D677" s="65"/>
      <c r="E677" s="64"/>
      <c r="F677" s="66"/>
      <c r="G677" s="64"/>
      <c r="H677" s="64"/>
      <c r="I677" s="66"/>
      <c r="J677" s="66"/>
      <c r="K677" s="66"/>
      <c r="L677" s="66"/>
      <c r="M677" s="66"/>
      <c r="N677" s="64"/>
    </row>
    <row r="678" customFormat="false" ht="15" hidden="false" customHeight="false" outlineLevel="0" collapsed="false">
      <c r="A678" s="64"/>
      <c r="B678" s="64"/>
      <c r="C678" s="64"/>
      <c r="D678" s="65"/>
      <c r="E678" s="64"/>
      <c r="F678" s="66"/>
      <c r="G678" s="64"/>
      <c r="H678" s="64"/>
      <c r="I678" s="66"/>
      <c r="J678" s="66"/>
      <c r="K678" s="66"/>
      <c r="L678" s="66"/>
      <c r="M678" s="66"/>
      <c r="N678" s="64"/>
    </row>
    <row r="679" customFormat="false" ht="15" hidden="false" customHeight="false" outlineLevel="0" collapsed="false">
      <c r="A679" s="64"/>
      <c r="B679" s="64"/>
      <c r="C679" s="64"/>
      <c r="D679" s="65"/>
      <c r="E679" s="64"/>
      <c r="F679" s="66"/>
      <c r="G679" s="64"/>
      <c r="H679" s="64"/>
      <c r="I679" s="66"/>
      <c r="J679" s="66"/>
      <c r="K679" s="66"/>
      <c r="L679" s="66"/>
      <c r="M679" s="66"/>
      <c r="N679" s="64"/>
    </row>
    <row r="680" customFormat="false" ht="15" hidden="false" customHeight="false" outlineLevel="0" collapsed="false">
      <c r="A680" s="64"/>
      <c r="B680" s="64"/>
      <c r="C680" s="64"/>
      <c r="D680" s="65"/>
      <c r="E680" s="64"/>
      <c r="F680" s="66"/>
      <c r="G680" s="64"/>
      <c r="H680" s="64"/>
      <c r="I680" s="66"/>
      <c r="J680" s="66"/>
      <c r="K680" s="66"/>
      <c r="L680" s="66"/>
      <c r="M680" s="66"/>
      <c r="N680" s="64"/>
    </row>
    <row r="681" customFormat="false" ht="15" hidden="false" customHeight="false" outlineLevel="0" collapsed="false">
      <c r="A681" s="64"/>
      <c r="B681" s="64"/>
      <c r="C681" s="64"/>
      <c r="D681" s="65"/>
      <c r="E681" s="64"/>
      <c r="F681" s="66"/>
      <c r="G681" s="64"/>
      <c r="H681" s="64"/>
      <c r="I681" s="66"/>
      <c r="J681" s="66"/>
      <c r="K681" s="66"/>
      <c r="L681" s="66"/>
      <c r="M681" s="66"/>
      <c r="N681" s="64"/>
    </row>
    <row r="682" customFormat="false" ht="15" hidden="false" customHeight="false" outlineLevel="0" collapsed="false">
      <c r="A682" s="64"/>
      <c r="B682" s="64"/>
      <c r="C682" s="64"/>
      <c r="D682" s="65"/>
      <c r="E682" s="64"/>
      <c r="F682" s="66"/>
      <c r="G682" s="64"/>
      <c r="H682" s="64"/>
      <c r="I682" s="66"/>
      <c r="J682" s="66"/>
      <c r="K682" s="66"/>
      <c r="L682" s="66"/>
      <c r="M682" s="66"/>
      <c r="N682" s="64"/>
    </row>
    <row r="683" customFormat="false" ht="15" hidden="false" customHeight="false" outlineLevel="0" collapsed="false">
      <c r="A683" s="64"/>
      <c r="B683" s="64"/>
      <c r="C683" s="64"/>
      <c r="D683" s="65"/>
      <c r="E683" s="64"/>
      <c r="F683" s="66"/>
      <c r="G683" s="64"/>
      <c r="H683" s="64"/>
      <c r="I683" s="66"/>
      <c r="J683" s="66"/>
      <c r="K683" s="66"/>
      <c r="L683" s="66"/>
      <c r="M683" s="66"/>
      <c r="N683" s="64"/>
    </row>
    <row r="684" customFormat="false" ht="15" hidden="false" customHeight="false" outlineLevel="0" collapsed="false">
      <c r="A684" s="64"/>
      <c r="B684" s="64"/>
      <c r="C684" s="64"/>
      <c r="D684" s="65"/>
      <c r="E684" s="64"/>
      <c r="F684" s="66"/>
      <c r="G684" s="64"/>
      <c r="H684" s="64"/>
      <c r="I684" s="66"/>
      <c r="J684" s="66"/>
      <c r="K684" s="66"/>
      <c r="L684" s="66"/>
      <c r="M684" s="66"/>
      <c r="N684" s="64"/>
    </row>
    <row r="685" customFormat="false" ht="15" hidden="false" customHeight="false" outlineLevel="0" collapsed="false">
      <c r="A685" s="64"/>
      <c r="B685" s="64"/>
      <c r="C685" s="64"/>
      <c r="D685" s="65"/>
      <c r="E685" s="64"/>
      <c r="F685" s="66"/>
      <c r="G685" s="64"/>
      <c r="H685" s="64"/>
      <c r="I685" s="66"/>
      <c r="J685" s="66"/>
      <c r="K685" s="66"/>
      <c r="L685" s="66"/>
      <c r="M685" s="66"/>
      <c r="N685" s="64"/>
    </row>
    <row r="686" customFormat="false" ht="15" hidden="false" customHeight="false" outlineLevel="0" collapsed="false">
      <c r="A686" s="64"/>
      <c r="B686" s="64"/>
      <c r="C686" s="64"/>
      <c r="D686" s="65"/>
      <c r="E686" s="64"/>
      <c r="F686" s="66"/>
      <c r="G686" s="64"/>
      <c r="H686" s="64"/>
      <c r="I686" s="66"/>
      <c r="J686" s="66"/>
      <c r="K686" s="66"/>
      <c r="L686" s="66"/>
      <c r="M686" s="66"/>
      <c r="N686" s="64"/>
    </row>
    <row r="687" customFormat="false" ht="15" hidden="false" customHeight="false" outlineLevel="0" collapsed="false">
      <c r="A687" s="64"/>
      <c r="B687" s="64"/>
      <c r="C687" s="64"/>
      <c r="D687" s="65"/>
      <c r="E687" s="64"/>
      <c r="F687" s="66"/>
      <c r="G687" s="64"/>
      <c r="H687" s="64"/>
      <c r="I687" s="66"/>
      <c r="J687" s="66"/>
      <c r="K687" s="66"/>
      <c r="L687" s="66"/>
      <c r="M687" s="66"/>
      <c r="N687" s="64"/>
    </row>
    <row r="688" customFormat="false" ht="15" hidden="false" customHeight="false" outlineLevel="0" collapsed="false">
      <c r="A688" s="64"/>
      <c r="B688" s="64"/>
      <c r="C688" s="64"/>
      <c r="D688" s="65"/>
      <c r="E688" s="64"/>
      <c r="F688" s="66"/>
      <c r="G688" s="64"/>
      <c r="H688" s="64"/>
      <c r="I688" s="66"/>
      <c r="J688" s="66"/>
      <c r="K688" s="66"/>
      <c r="L688" s="66"/>
      <c r="M688" s="66"/>
      <c r="N688" s="64"/>
    </row>
    <row r="689" customFormat="false" ht="15" hidden="false" customHeight="false" outlineLevel="0" collapsed="false">
      <c r="A689" s="64"/>
      <c r="B689" s="64"/>
      <c r="C689" s="64"/>
      <c r="D689" s="65"/>
      <c r="E689" s="64"/>
      <c r="F689" s="66"/>
      <c r="G689" s="64"/>
      <c r="H689" s="64"/>
      <c r="I689" s="66"/>
      <c r="J689" s="66"/>
      <c r="K689" s="66"/>
      <c r="L689" s="66"/>
      <c r="M689" s="66"/>
      <c r="N689" s="64"/>
    </row>
    <row r="690" customFormat="false" ht="15" hidden="false" customHeight="false" outlineLevel="0" collapsed="false">
      <c r="A690" s="64"/>
      <c r="B690" s="64"/>
      <c r="C690" s="64"/>
      <c r="D690" s="65"/>
      <c r="E690" s="64"/>
      <c r="F690" s="66"/>
      <c r="G690" s="64"/>
      <c r="H690" s="64"/>
      <c r="I690" s="66"/>
      <c r="J690" s="66"/>
      <c r="K690" s="66"/>
      <c r="L690" s="66"/>
      <c r="M690" s="66"/>
      <c r="N690" s="64"/>
    </row>
    <row r="691" customFormat="false" ht="15" hidden="false" customHeight="false" outlineLevel="0" collapsed="false">
      <c r="A691" s="64"/>
      <c r="B691" s="64"/>
      <c r="C691" s="64"/>
      <c r="D691" s="65"/>
      <c r="E691" s="64"/>
      <c r="F691" s="66"/>
      <c r="G691" s="64"/>
      <c r="H691" s="64"/>
      <c r="I691" s="66"/>
      <c r="J691" s="66"/>
      <c r="K691" s="66"/>
      <c r="L691" s="66"/>
      <c r="M691" s="66"/>
      <c r="N691" s="64"/>
    </row>
    <row r="692" customFormat="false" ht="15" hidden="false" customHeight="false" outlineLevel="0" collapsed="false">
      <c r="A692" s="64"/>
      <c r="B692" s="64"/>
      <c r="C692" s="64"/>
      <c r="D692" s="65"/>
      <c r="E692" s="64"/>
      <c r="F692" s="66"/>
      <c r="G692" s="64"/>
      <c r="H692" s="64"/>
      <c r="I692" s="66"/>
      <c r="J692" s="66"/>
      <c r="K692" s="66"/>
      <c r="L692" s="66"/>
      <c r="M692" s="66"/>
      <c r="N692" s="64"/>
    </row>
    <row r="693" customFormat="false" ht="15" hidden="false" customHeight="false" outlineLevel="0" collapsed="false">
      <c r="A693" s="64"/>
      <c r="B693" s="64"/>
      <c r="C693" s="64"/>
      <c r="D693" s="65"/>
      <c r="E693" s="64"/>
      <c r="F693" s="66"/>
      <c r="G693" s="64"/>
      <c r="H693" s="64"/>
      <c r="I693" s="66"/>
      <c r="J693" s="66"/>
      <c r="K693" s="66"/>
      <c r="L693" s="66"/>
      <c r="M693" s="66"/>
      <c r="N693" s="64"/>
    </row>
    <row r="694" customFormat="false" ht="15" hidden="false" customHeight="false" outlineLevel="0" collapsed="false">
      <c r="A694" s="64"/>
      <c r="B694" s="64"/>
      <c r="C694" s="64"/>
      <c r="D694" s="65"/>
      <c r="E694" s="64"/>
      <c r="F694" s="66"/>
      <c r="G694" s="64"/>
      <c r="H694" s="64"/>
      <c r="I694" s="66"/>
      <c r="J694" s="66"/>
      <c r="K694" s="66"/>
      <c r="L694" s="66"/>
      <c r="M694" s="66"/>
      <c r="N694" s="64"/>
    </row>
    <row r="695" customFormat="false" ht="15" hidden="false" customHeight="false" outlineLevel="0" collapsed="false">
      <c r="A695" s="64"/>
      <c r="B695" s="64"/>
      <c r="C695" s="64"/>
      <c r="D695" s="65"/>
      <c r="E695" s="64"/>
      <c r="F695" s="66"/>
      <c r="G695" s="64"/>
      <c r="H695" s="64"/>
      <c r="I695" s="66"/>
      <c r="J695" s="66"/>
      <c r="K695" s="66"/>
      <c r="L695" s="66"/>
      <c r="M695" s="66"/>
      <c r="N695" s="64"/>
    </row>
    <row r="696" customFormat="false" ht="15" hidden="false" customHeight="false" outlineLevel="0" collapsed="false">
      <c r="A696" s="64"/>
      <c r="B696" s="64"/>
      <c r="C696" s="64"/>
      <c r="D696" s="65"/>
      <c r="E696" s="64"/>
      <c r="F696" s="66"/>
      <c r="G696" s="64"/>
      <c r="H696" s="64"/>
      <c r="I696" s="66"/>
      <c r="J696" s="66"/>
      <c r="K696" s="66"/>
      <c r="L696" s="66"/>
      <c r="M696" s="66"/>
      <c r="N696" s="64"/>
    </row>
    <row r="697" customFormat="false" ht="15" hidden="false" customHeight="false" outlineLevel="0" collapsed="false">
      <c r="A697" s="64"/>
      <c r="B697" s="64"/>
      <c r="C697" s="64"/>
      <c r="D697" s="65"/>
      <c r="E697" s="64"/>
      <c r="F697" s="66"/>
      <c r="G697" s="64"/>
      <c r="H697" s="64"/>
      <c r="I697" s="66"/>
      <c r="J697" s="66"/>
      <c r="K697" s="66"/>
      <c r="L697" s="66"/>
      <c r="M697" s="66"/>
      <c r="N697" s="64"/>
    </row>
    <row r="698" customFormat="false" ht="15" hidden="false" customHeight="false" outlineLevel="0" collapsed="false">
      <c r="A698" s="64"/>
      <c r="B698" s="64"/>
      <c r="C698" s="64"/>
      <c r="D698" s="65"/>
      <c r="E698" s="64"/>
      <c r="F698" s="66"/>
      <c r="G698" s="64"/>
      <c r="H698" s="64"/>
      <c r="I698" s="66"/>
      <c r="J698" s="66"/>
      <c r="K698" s="66"/>
      <c r="L698" s="66"/>
      <c r="M698" s="66"/>
      <c r="N698" s="64"/>
    </row>
    <row r="699" customFormat="false" ht="15" hidden="false" customHeight="false" outlineLevel="0" collapsed="false">
      <c r="A699" s="64"/>
      <c r="B699" s="64"/>
      <c r="C699" s="64"/>
      <c r="D699" s="65"/>
      <c r="E699" s="64"/>
      <c r="F699" s="66"/>
      <c r="G699" s="64"/>
      <c r="H699" s="64"/>
      <c r="I699" s="66"/>
      <c r="J699" s="66"/>
      <c r="K699" s="66"/>
      <c r="L699" s="66"/>
      <c r="M699" s="66"/>
      <c r="N699" s="64"/>
    </row>
    <row r="700" customFormat="false" ht="15" hidden="false" customHeight="false" outlineLevel="0" collapsed="false">
      <c r="A700" s="64"/>
      <c r="B700" s="64"/>
      <c r="C700" s="64"/>
      <c r="D700" s="65"/>
      <c r="E700" s="64"/>
      <c r="F700" s="66"/>
      <c r="G700" s="64"/>
      <c r="H700" s="64"/>
      <c r="I700" s="66"/>
      <c r="J700" s="66"/>
      <c r="K700" s="66"/>
      <c r="L700" s="66"/>
      <c r="M700" s="66"/>
      <c r="N700" s="64"/>
    </row>
    <row r="701" customFormat="false" ht="15" hidden="false" customHeight="false" outlineLevel="0" collapsed="false">
      <c r="A701" s="64"/>
      <c r="B701" s="64"/>
      <c r="C701" s="64"/>
      <c r="D701" s="65"/>
      <c r="E701" s="64"/>
      <c r="F701" s="66"/>
      <c r="G701" s="64"/>
      <c r="H701" s="64"/>
      <c r="I701" s="66"/>
      <c r="J701" s="66"/>
      <c r="K701" s="66"/>
      <c r="L701" s="66"/>
      <c r="M701" s="66"/>
      <c r="N701" s="64"/>
    </row>
    <row r="702" customFormat="false" ht="15" hidden="false" customHeight="false" outlineLevel="0" collapsed="false">
      <c r="A702" s="64"/>
      <c r="B702" s="64"/>
      <c r="C702" s="64"/>
      <c r="D702" s="65"/>
      <c r="E702" s="64"/>
      <c r="F702" s="66"/>
      <c r="G702" s="64"/>
      <c r="H702" s="64"/>
      <c r="I702" s="66"/>
      <c r="J702" s="66"/>
      <c r="K702" s="66"/>
      <c r="L702" s="66"/>
      <c r="M702" s="66"/>
      <c r="N702" s="64"/>
    </row>
    <row r="703" customFormat="false" ht="15" hidden="false" customHeight="false" outlineLevel="0" collapsed="false">
      <c r="A703" s="64"/>
      <c r="B703" s="64"/>
      <c r="C703" s="64"/>
      <c r="D703" s="65"/>
      <c r="E703" s="64"/>
      <c r="F703" s="66"/>
      <c r="G703" s="64"/>
      <c r="H703" s="64"/>
      <c r="I703" s="66"/>
      <c r="J703" s="66"/>
      <c r="K703" s="66"/>
      <c r="L703" s="66"/>
      <c r="M703" s="66"/>
      <c r="N703" s="64"/>
    </row>
    <row r="704" customFormat="false" ht="15" hidden="false" customHeight="false" outlineLevel="0" collapsed="false">
      <c r="A704" s="64"/>
      <c r="B704" s="64"/>
      <c r="C704" s="64"/>
      <c r="D704" s="65"/>
      <c r="E704" s="64"/>
      <c r="F704" s="66"/>
      <c r="G704" s="64"/>
      <c r="H704" s="64"/>
      <c r="I704" s="66"/>
      <c r="J704" s="66"/>
      <c r="K704" s="66"/>
      <c r="L704" s="66"/>
      <c r="M704" s="66"/>
      <c r="N704" s="64"/>
    </row>
    <row r="705" customFormat="false" ht="15" hidden="false" customHeight="false" outlineLevel="0" collapsed="false">
      <c r="A705" s="64"/>
      <c r="B705" s="64"/>
      <c r="C705" s="64"/>
      <c r="D705" s="65"/>
      <c r="E705" s="64"/>
      <c r="F705" s="66"/>
      <c r="G705" s="64"/>
      <c r="H705" s="64"/>
      <c r="I705" s="66"/>
      <c r="J705" s="66"/>
      <c r="K705" s="66"/>
      <c r="L705" s="66"/>
      <c r="M705" s="66"/>
      <c r="N705" s="64"/>
    </row>
    <row r="706" customFormat="false" ht="15" hidden="false" customHeight="false" outlineLevel="0" collapsed="false">
      <c r="A706" s="64"/>
      <c r="B706" s="64"/>
      <c r="C706" s="64"/>
      <c r="D706" s="65"/>
      <c r="E706" s="64"/>
      <c r="F706" s="66"/>
      <c r="G706" s="64"/>
      <c r="H706" s="64"/>
      <c r="I706" s="66"/>
      <c r="J706" s="66"/>
      <c r="K706" s="66"/>
      <c r="L706" s="66"/>
      <c r="M706" s="66"/>
      <c r="N706" s="64"/>
    </row>
    <row r="707" customFormat="false" ht="15" hidden="false" customHeight="false" outlineLevel="0" collapsed="false">
      <c r="A707" s="64"/>
      <c r="B707" s="64"/>
      <c r="C707" s="64"/>
      <c r="D707" s="65"/>
      <c r="E707" s="64"/>
      <c r="F707" s="66"/>
      <c r="G707" s="64"/>
      <c r="H707" s="64"/>
      <c r="I707" s="66"/>
      <c r="J707" s="66"/>
      <c r="K707" s="66"/>
      <c r="L707" s="66"/>
      <c r="M707" s="66"/>
      <c r="N707" s="64"/>
    </row>
    <row r="708" customFormat="false" ht="15" hidden="false" customHeight="false" outlineLevel="0" collapsed="false">
      <c r="A708" s="64"/>
      <c r="B708" s="64"/>
      <c r="C708" s="64"/>
      <c r="D708" s="65"/>
      <c r="E708" s="64"/>
      <c r="F708" s="66"/>
      <c r="G708" s="64"/>
      <c r="H708" s="64"/>
      <c r="I708" s="66"/>
      <c r="J708" s="66"/>
      <c r="K708" s="66"/>
      <c r="L708" s="66"/>
      <c r="M708" s="66"/>
      <c r="N708" s="64"/>
    </row>
    <row r="709" customFormat="false" ht="15" hidden="false" customHeight="false" outlineLevel="0" collapsed="false">
      <c r="A709" s="64"/>
      <c r="B709" s="64"/>
      <c r="C709" s="64"/>
      <c r="D709" s="65"/>
      <c r="E709" s="64"/>
      <c r="F709" s="66"/>
      <c r="G709" s="64"/>
      <c r="H709" s="64"/>
      <c r="I709" s="66"/>
      <c r="J709" s="66"/>
      <c r="K709" s="66"/>
      <c r="L709" s="66"/>
      <c r="M709" s="66"/>
      <c r="N709" s="64"/>
    </row>
    <row r="710" customFormat="false" ht="15" hidden="false" customHeight="false" outlineLevel="0" collapsed="false">
      <c r="A710" s="64"/>
      <c r="B710" s="64"/>
      <c r="C710" s="64"/>
      <c r="D710" s="65"/>
      <c r="E710" s="64"/>
      <c r="F710" s="66"/>
      <c r="G710" s="64"/>
      <c r="H710" s="64"/>
      <c r="I710" s="66"/>
      <c r="J710" s="66"/>
      <c r="K710" s="66"/>
      <c r="L710" s="66"/>
      <c r="M710" s="66"/>
      <c r="N710" s="64"/>
    </row>
    <row r="711" customFormat="false" ht="15" hidden="false" customHeight="false" outlineLevel="0" collapsed="false">
      <c r="A711" s="64"/>
      <c r="B711" s="64"/>
      <c r="C711" s="64"/>
      <c r="D711" s="65"/>
      <c r="E711" s="64"/>
      <c r="F711" s="66"/>
      <c r="G711" s="64"/>
      <c r="H711" s="64"/>
      <c r="I711" s="66"/>
      <c r="J711" s="66"/>
      <c r="K711" s="66"/>
      <c r="L711" s="66"/>
      <c r="M711" s="66"/>
      <c r="N711" s="64"/>
    </row>
    <row r="712" customFormat="false" ht="15" hidden="false" customHeight="false" outlineLevel="0" collapsed="false">
      <c r="A712" s="64"/>
      <c r="B712" s="64"/>
      <c r="C712" s="64"/>
      <c r="D712" s="65"/>
      <c r="E712" s="64"/>
      <c r="F712" s="66"/>
      <c r="G712" s="64"/>
      <c r="H712" s="64"/>
      <c r="I712" s="66"/>
      <c r="J712" s="66"/>
      <c r="K712" s="66"/>
      <c r="L712" s="66"/>
      <c r="M712" s="66"/>
      <c r="N712" s="64"/>
    </row>
    <row r="713" customFormat="false" ht="15" hidden="false" customHeight="false" outlineLevel="0" collapsed="false">
      <c r="A713" s="64"/>
      <c r="B713" s="64"/>
      <c r="C713" s="64"/>
      <c r="D713" s="65"/>
      <c r="E713" s="64"/>
      <c r="F713" s="66"/>
      <c r="G713" s="64"/>
      <c r="H713" s="64"/>
      <c r="I713" s="66"/>
      <c r="J713" s="66"/>
      <c r="K713" s="66"/>
      <c r="L713" s="66"/>
      <c r="M713" s="66"/>
      <c r="N713" s="64"/>
    </row>
    <row r="714" customFormat="false" ht="15" hidden="false" customHeight="false" outlineLevel="0" collapsed="false">
      <c r="A714" s="64"/>
      <c r="B714" s="64"/>
      <c r="C714" s="64"/>
      <c r="D714" s="65"/>
      <c r="E714" s="64"/>
      <c r="F714" s="66"/>
      <c r="G714" s="64"/>
      <c r="H714" s="64"/>
      <c r="I714" s="66"/>
      <c r="J714" s="66"/>
      <c r="K714" s="66"/>
      <c r="L714" s="66"/>
      <c r="M714" s="66"/>
      <c r="N714" s="64"/>
    </row>
    <row r="715" customFormat="false" ht="15" hidden="false" customHeight="false" outlineLevel="0" collapsed="false">
      <c r="A715" s="64"/>
      <c r="B715" s="64"/>
      <c r="C715" s="64"/>
      <c r="D715" s="65"/>
      <c r="E715" s="64"/>
      <c r="F715" s="66"/>
      <c r="G715" s="64"/>
      <c r="H715" s="64"/>
      <c r="I715" s="66"/>
      <c r="J715" s="66"/>
      <c r="K715" s="66"/>
      <c r="L715" s="66"/>
      <c r="M715" s="66"/>
      <c r="N715" s="64"/>
    </row>
    <row r="716" customFormat="false" ht="15" hidden="false" customHeight="false" outlineLevel="0" collapsed="false">
      <c r="A716" s="64"/>
      <c r="B716" s="64"/>
      <c r="C716" s="64"/>
      <c r="D716" s="65"/>
      <c r="E716" s="64"/>
      <c r="F716" s="66"/>
      <c r="G716" s="64"/>
      <c r="H716" s="64"/>
      <c r="I716" s="66"/>
      <c r="J716" s="66"/>
      <c r="K716" s="66"/>
      <c r="L716" s="66"/>
      <c r="M716" s="66"/>
      <c r="N716" s="64"/>
    </row>
    <row r="717" customFormat="false" ht="15" hidden="false" customHeight="false" outlineLevel="0" collapsed="false">
      <c r="A717" s="64"/>
      <c r="B717" s="64"/>
      <c r="C717" s="64"/>
      <c r="D717" s="65"/>
      <c r="E717" s="64"/>
      <c r="F717" s="66"/>
      <c r="G717" s="64"/>
      <c r="H717" s="64"/>
      <c r="I717" s="66"/>
      <c r="J717" s="66"/>
      <c r="K717" s="66"/>
      <c r="L717" s="66"/>
      <c r="M717" s="66"/>
      <c r="N717" s="64"/>
    </row>
    <row r="718" customFormat="false" ht="15" hidden="false" customHeight="false" outlineLevel="0" collapsed="false">
      <c r="A718" s="64"/>
      <c r="B718" s="64"/>
      <c r="C718" s="64"/>
      <c r="D718" s="65"/>
      <c r="E718" s="64"/>
      <c r="F718" s="66"/>
      <c r="G718" s="64"/>
      <c r="H718" s="64"/>
      <c r="I718" s="66"/>
      <c r="J718" s="66"/>
      <c r="K718" s="66"/>
      <c r="L718" s="66"/>
      <c r="M718" s="66"/>
      <c r="N718" s="64"/>
    </row>
    <row r="719" customFormat="false" ht="15" hidden="false" customHeight="false" outlineLevel="0" collapsed="false">
      <c r="A719" s="64"/>
      <c r="B719" s="64"/>
      <c r="C719" s="64"/>
      <c r="D719" s="65"/>
      <c r="E719" s="64"/>
      <c r="F719" s="66"/>
      <c r="G719" s="64"/>
      <c r="H719" s="64"/>
      <c r="I719" s="66"/>
      <c r="J719" s="66"/>
      <c r="K719" s="66"/>
      <c r="L719" s="66"/>
      <c r="M719" s="66"/>
      <c r="N719" s="64"/>
    </row>
    <row r="720" customFormat="false" ht="15" hidden="false" customHeight="false" outlineLevel="0" collapsed="false">
      <c r="A720" s="64"/>
      <c r="B720" s="64"/>
      <c r="C720" s="64"/>
      <c r="D720" s="65"/>
      <c r="E720" s="64"/>
      <c r="F720" s="66"/>
      <c r="G720" s="64"/>
      <c r="H720" s="64"/>
      <c r="I720" s="66"/>
      <c r="J720" s="66"/>
      <c r="K720" s="66"/>
      <c r="L720" s="66"/>
      <c r="M720" s="66"/>
      <c r="N720" s="64"/>
    </row>
    <row r="721" customFormat="false" ht="15" hidden="false" customHeight="false" outlineLevel="0" collapsed="false">
      <c r="A721" s="64"/>
      <c r="B721" s="64"/>
      <c r="C721" s="64"/>
      <c r="D721" s="65"/>
      <c r="E721" s="64"/>
      <c r="F721" s="66"/>
      <c r="G721" s="64"/>
      <c r="H721" s="64"/>
      <c r="I721" s="66"/>
      <c r="J721" s="66"/>
      <c r="K721" s="66"/>
      <c r="L721" s="66"/>
      <c r="M721" s="66"/>
      <c r="N721" s="64"/>
    </row>
    <row r="722" customFormat="false" ht="15" hidden="false" customHeight="false" outlineLevel="0" collapsed="false">
      <c r="A722" s="64"/>
      <c r="B722" s="64"/>
      <c r="C722" s="64"/>
      <c r="D722" s="65"/>
      <c r="E722" s="64"/>
      <c r="F722" s="66"/>
      <c r="G722" s="64"/>
      <c r="H722" s="64"/>
      <c r="I722" s="66"/>
      <c r="J722" s="66"/>
      <c r="K722" s="66"/>
      <c r="L722" s="66"/>
      <c r="M722" s="66"/>
      <c r="N722" s="64"/>
    </row>
    <row r="723" customFormat="false" ht="15" hidden="false" customHeight="false" outlineLevel="0" collapsed="false">
      <c r="A723" s="64"/>
      <c r="B723" s="64"/>
      <c r="C723" s="64"/>
      <c r="D723" s="65"/>
      <c r="E723" s="64"/>
      <c r="F723" s="66"/>
      <c r="G723" s="64"/>
      <c r="H723" s="64"/>
      <c r="I723" s="66"/>
      <c r="J723" s="66"/>
      <c r="K723" s="66"/>
      <c r="L723" s="66"/>
      <c r="M723" s="66"/>
      <c r="N723" s="64"/>
    </row>
    <row r="724" customFormat="false" ht="15" hidden="false" customHeight="false" outlineLevel="0" collapsed="false">
      <c r="A724" s="64"/>
      <c r="B724" s="64"/>
      <c r="C724" s="64"/>
      <c r="D724" s="65"/>
      <c r="E724" s="64"/>
      <c r="F724" s="66"/>
      <c r="G724" s="64"/>
      <c r="H724" s="64"/>
      <c r="I724" s="66"/>
      <c r="J724" s="66"/>
      <c r="K724" s="66"/>
      <c r="L724" s="66"/>
      <c r="M724" s="66"/>
      <c r="N724" s="64"/>
    </row>
    <row r="725" customFormat="false" ht="15" hidden="false" customHeight="false" outlineLevel="0" collapsed="false">
      <c r="A725" s="64"/>
      <c r="B725" s="64"/>
      <c r="C725" s="64"/>
      <c r="D725" s="65"/>
      <c r="E725" s="64"/>
      <c r="F725" s="66"/>
      <c r="G725" s="64"/>
      <c r="H725" s="64"/>
      <c r="I725" s="66"/>
      <c r="J725" s="66"/>
      <c r="K725" s="66"/>
      <c r="L725" s="66"/>
      <c r="M725" s="66"/>
      <c r="N725" s="64"/>
    </row>
    <row r="726" customFormat="false" ht="15" hidden="false" customHeight="false" outlineLevel="0" collapsed="false">
      <c r="A726" s="64"/>
      <c r="B726" s="64"/>
      <c r="C726" s="64"/>
      <c r="D726" s="65"/>
      <c r="E726" s="64"/>
      <c r="F726" s="66"/>
      <c r="G726" s="64"/>
      <c r="H726" s="64"/>
      <c r="I726" s="66"/>
      <c r="J726" s="66"/>
      <c r="K726" s="66"/>
      <c r="L726" s="66"/>
      <c r="M726" s="66"/>
      <c r="N726" s="64"/>
    </row>
    <row r="727" customFormat="false" ht="15" hidden="false" customHeight="false" outlineLevel="0" collapsed="false">
      <c r="A727" s="64"/>
      <c r="B727" s="64"/>
      <c r="C727" s="64"/>
      <c r="D727" s="65"/>
      <c r="E727" s="64"/>
      <c r="F727" s="66"/>
      <c r="G727" s="64"/>
      <c r="H727" s="64"/>
      <c r="I727" s="66"/>
      <c r="J727" s="66"/>
      <c r="K727" s="66"/>
      <c r="L727" s="66"/>
      <c r="M727" s="66"/>
      <c r="N727" s="64"/>
    </row>
    <row r="728" customFormat="false" ht="15" hidden="false" customHeight="false" outlineLevel="0" collapsed="false">
      <c r="A728" s="64"/>
      <c r="B728" s="64"/>
      <c r="C728" s="64"/>
      <c r="D728" s="65"/>
      <c r="E728" s="64"/>
      <c r="F728" s="66"/>
      <c r="G728" s="64"/>
      <c r="H728" s="64"/>
      <c r="I728" s="66"/>
      <c r="J728" s="66"/>
      <c r="K728" s="66"/>
      <c r="L728" s="66"/>
      <c r="M728" s="66"/>
      <c r="N728" s="64"/>
    </row>
    <row r="729" customFormat="false" ht="15" hidden="false" customHeight="false" outlineLevel="0" collapsed="false">
      <c r="A729" s="64"/>
      <c r="B729" s="64"/>
      <c r="C729" s="64"/>
      <c r="D729" s="65"/>
      <c r="E729" s="64"/>
      <c r="F729" s="66"/>
      <c r="G729" s="64"/>
      <c r="H729" s="64"/>
      <c r="I729" s="66"/>
      <c r="J729" s="66"/>
      <c r="K729" s="66"/>
      <c r="L729" s="66"/>
      <c r="M729" s="66"/>
      <c r="N729" s="64"/>
    </row>
    <row r="730" customFormat="false" ht="15" hidden="false" customHeight="false" outlineLevel="0" collapsed="false">
      <c r="A730" s="64"/>
      <c r="B730" s="64"/>
      <c r="C730" s="64"/>
      <c r="D730" s="65"/>
      <c r="E730" s="64"/>
      <c r="F730" s="66"/>
      <c r="G730" s="64"/>
      <c r="H730" s="64"/>
      <c r="I730" s="66"/>
      <c r="J730" s="66"/>
      <c r="K730" s="66"/>
      <c r="L730" s="66"/>
      <c r="M730" s="66"/>
      <c r="N730" s="64"/>
    </row>
    <row r="731" customFormat="false" ht="15" hidden="false" customHeight="false" outlineLevel="0" collapsed="false">
      <c r="A731" s="64"/>
      <c r="B731" s="64"/>
      <c r="C731" s="64"/>
      <c r="D731" s="65"/>
      <c r="E731" s="64"/>
      <c r="F731" s="66"/>
      <c r="G731" s="64"/>
      <c r="H731" s="64"/>
      <c r="I731" s="66"/>
      <c r="J731" s="66"/>
      <c r="K731" s="66"/>
      <c r="L731" s="66"/>
      <c r="M731" s="66"/>
      <c r="N731" s="64"/>
    </row>
    <row r="732" customFormat="false" ht="15" hidden="false" customHeight="false" outlineLevel="0" collapsed="false">
      <c r="A732" s="64"/>
      <c r="B732" s="64"/>
      <c r="C732" s="64"/>
      <c r="D732" s="65"/>
      <c r="E732" s="64"/>
      <c r="F732" s="66"/>
      <c r="G732" s="64"/>
      <c r="H732" s="64"/>
      <c r="I732" s="66"/>
      <c r="J732" s="66"/>
      <c r="K732" s="66"/>
      <c r="L732" s="66"/>
      <c r="M732" s="66"/>
      <c r="N732" s="64"/>
    </row>
    <row r="733" customFormat="false" ht="15" hidden="false" customHeight="false" outlineLevel="0" collapsed="false">
      <c r="A733" s="64"/>
      <c r="B733" s="64"/>
      <c r="C733" s="64"/>
      <c r="D733" s="65"/>
      <c r="E733" s="64"/>
      <c r="F733" s="66"/>
      <c r="G733" s="64"/>
      <c r="H733" s="64"/>
      <c r="I733" s="66"/>
      <c r="J733" s="66"/>
      <c r="K733" s="66"/>
      <c r="L733" s="66"/>
      <c r="M733" s="66"/>
      <c r="N733" s="64"/>
    </row>
    <row r="734" customFormat="false" ht="15" hidden="false" customHeight="false" outlineLevel="0" collapsed="false">
      <c r="A734" s="64"/>
      <c r="B734" s="64"/>
      <c r="C734" s="64"/>
      <c r="D734" s="65"/>
      <c r="E734" s="64"/>
      <c r="F734" s="66"/>
      <c r="G734" s="64"/>
      <c r="H734" s="64"/>
      <c r="I734" s="66"/>
      <c r="J734" s="66"/>
      <c r="K734" s="66"/>
      <c r="L734" s="66"/>
      <c r="M734" s="66"/>
      <c r="N734" s="64"/>
    </row>
    <row r="735" customFormat="false" ht="15" hidden="false" customHeight="false" outlineLevel="0" collapsed="false">
      <c r="A735" s="64"/>
      <c r="B735" s="64"/>
      <c r="C735" s="64"/>
      <c r="D735" s="65"/>
      <c r="E735" s="64"/>
      <c r="F735" s="66"/>
      <c r="G735" s="64"/>
      <c r="H735" s="64"/>
      <c r="I735" s="66"/>
      <c r="J735" s="66"/>
      <c r="K735" s="66"/>
      <c r="L735" s="66"/>
      <c r="M735" s="66"/>
      <c r="N735" s="64"/>
    </row>
    <row r="736" customFormat="false" ht="15" hidden="false" customHeight="false" outlineLevel="0" collapsed="false">
      <c r="A736" s="64"/>
      <c r="B736" s="64"/>
      <c r="C736" s="64"/>
      <c r="D736" s="65"/>
      <c r="E736" s="64"/>
      <c r="F736" s="66"/>
      <c r="G736" s="64"/>
      <c r="H736" s="64"/>
      <c r="I736" s="66"/>
      <c r="J736" s="66"/>
      <c r="K736" s="66"/>
      <c r="L736" s="66"/>
      <c r="M736" s="66"/>
      <c r="N736" s="64"/>
    </row>
    <row r="737" customFormat="false" ht="15" hidden="false" customHeight="false" outlineLevel="0" collapsed="false">
      <c r="A737" s="64"/>
      <c r="B737" s="64"/>
      <c r="C737" s="64"/>
      <c r="D737" s="65"/>
      <c r="E737" s="64"/>
      <c r="F737" s="66"/>
      <c r="G737" s="64"/>
      <c r="H737" s="64"/>
      <c r="I737" s="66"/>
      <c r="J737" s="66"/>
      <c r="K737" s="66"/>
      <c r="L737" s="66"/>
      <c r="M737" s="66"/>
      <c r="N737" s="64"/>
    </row>
    <row r="738" customFormat="false" ht="15" hidden="false" customHeight="false" outlineLevel="0" collapsed="false">
      <c r="A738" s="64"/>
      <c r="B738" s="64"/>
      <c r="C738" s="64"/>
      <c r="D738" s="65"/>
      <c r="E738" s="64"/>
      <c r="F738" s="66"/>
      <c r="G738" s="64"/>
      <c r="H738" s="64"/>
      <c r="I738" s="66"/>
      <c r="J738" s="66"/>
      <c r="K738" s="66"/>
      <c r="L738" s="66"/>
      <c r="M738" s="66"/>
      <c r="N738" s="64"/>
    </row>
    <row r="739" customFormat="false" ht="15" hidden="false" customHeight="false" outlineLevel="0" collapsed="false">
      <c r="A739" s="64"/>
      <c r="B739" s="64"/>
      <c r="C739" s="64"/>
      <c r="D739" s="65"/>
      <c r="E739" s="64"/>
      <c r="F739" s="66"/>
      <c r="G739" s="64"/>
      <c r="H739" s="64"/>
      <c r="I739" s="66"/>
      <c r="J739" s="66"/>
      <c r="K739" s="66"/>
      <c r="L739" s="66"/>
      <c r="M739" s="66"/>
      <c r="N739" s="64"/>
    </row>
    <row r="740" customFormat="false" ht="15" hidden="false" customHeight="false" outlineLevel="0" collapsed="false">
      <c r="A740" s="64"/>
      <c r="B740" s="64"/>
      <c r="C740" s="64"/>
      <c r="D740" s="65"/>
      <c r="E740" s="64"/>
      <c r="F740" s="66"/>
      <c r="G740" s="64"/>
      <c r="H740" s="64"/>
      <c r="I740" s="66"/>
      <c r="J740" s="66"/>
      <c r="K740" s="66"/>
      <c r="L740" s="66"/>
      <c r="M740" s="66"/>
      <c r="N740" s="64"/>
    </row>
    <row r="741" customFormat="false" ht="15" hidden="false" customHeight="false" outlineLevel="0" collapsed="false">
      <c r="A741" s="64"/>
      <c r="B741" s="64"/>
      <c r="C741" s="64"/>
      <c r="D741" s="65"/>
      <c r="E741" s="64"/>
      <c r="F741" s="66"/>
      <c r="G741" s="64"/>
      <c r="H741" s="64"/>
      <c r="I741" s="66"/>
      <c r="J741" s="66"/>
      <c r="K741" s="66"/>
      <c r="L741" s="66"/>
      <c r="M741" s="66"/>
      <c r="N741" s="64"/>
    </row>
    <row r="742" customFormat="false" ht="15" hidden="false" customHeight="false" outlineLevel="0" collapsed="false">
      <c r="A742" s="64"/>
      <c r="B742" s="64"/>
      <c r="C742" s="64"/>
      <c r="D742" s="65"/>
      <c r="E742" s="64"/>
      <c r="F742" s="66"/>
      <c r="G742" s="64"/>
      <c r="H742" s="64"/>
      <c r="I742" s="66"/>
      <c r="J742" s="66"/>
      <c r="K742" s="66"/>
      <c r="L742" s="66"/>
      <c r="M742" s="66"/>
      <c r="N742" s="64"/>
    </row>
    <row r="743" customFormat="false" ht="15" hidden="false" customHeight="false" outlineLevel="0" collapsed="false">
      <c r="A743" s="64"/>
      <c r="B743" s="64"/>
      <c r="C743" s="64"/>
      <c r="D743" s="65"/>
      <c r="E743" s="64"/>
      <c r="F743" s="66"/>
      <c r="G743" s="64"/>
      <c r="H743" s="64"/>
      <c r="I743" s="66"/>
      <c r="J743" s="66"/>
      <c r="K743" s="66"/>
      <c r="L743" s="66"/>
      <c r="M743" s="66"/>
      <c r="N743" s="64"/>
    </row>
    <row r="744" customFormat="false" ht="15" hidden="false" customHeight="false" outlineLevel="0" collapsed="false">
      <c r="A744" s="64"/>
      <c r="B744" s="64"/>
      <c r="C744" s="64"/>
      <c r="D744" s="65"/>
      <c r="E744" s="64"/>
      <c r="F744" s="66"/>
      <c r="G744" s="64"/>
      <c r="H744" s="64"/>
      <c r="I744" s="66"/>
      <c r="J744" s="66"/>
      <c r="K744" s="66"/>
      <c r="L744" s="66"/>
      <c r="M744" s="66"/>
      <c r="N744" s="64"/>
    </row>
    <row r="745" customFormat="false" ht="15" hidden="false" customHeight="false" outlineLevel="0" collapsed="false">
      <c r="A745" s="64"/>
      <c r="B745" s="64"/>
      <c r="C745" s="64"/>
      <c r="D745" s="65"/>
      <c r="E745" s="64"/>
      <c r="F745" s="66"/>
      <c r="G745" s="64"/>
      <c r="H745" s="64"/>
      <c r="I745" s="66"/>
      <c r="J745" s="66"/>
      <c r="K745" s="66"/>
      <c r="L745" s="66"/>
      <c r="M745" s="66"/>
      <c r="N745" s="64"/>
    </row>
    <row r="746" customFormat="false" ht="15" hidden="false" customHeight="false" outlineLevel="0" collapsed="false">
      <c r="A746" s="64"/>
      <c r="B746" s="64"/>
      <c r="C746" s="64"/>
      <c r="D746" s="65"/>
      <c r="E746" s="64"/>
      <c r="F746" s="66"/>
      <c r="G746" s="64"/>
      <c r="H746" s="64"/>
      <c r="I746" s="66"/>
      <c r="J746" s="66"/>
      <c r="K746" s="66"/>
      <c r="L746" s="66"/>
      <c r="M746" s="66"/>
      <c r="N746" s="64"/>
    </row>
    <row r="747" customFormat="false" ht="15" hidden="false" customHeight="false" outlineLevel="0" collapsed="false">
      <c r="A747" s="64"/>
      <c r="B747" s="64"/>
      <c r="C747" s="64"/>
      <c r="D747" s="65"/>
      <c r="E747" s="64"/>
      <c r="F747" s="66"/>
      <c r="G747" s="64"/>
      <c r="H747" s="64"/>
      <c r="I747" s="66"/>
      <c r="J747" s="66"/>
      <c r="K747" s="66"/>
      <c r="L747" s="66"/>
      <c r="M747" s="66"/>
      <c r="N747" s="64"/>
    </row>
    <row r="748" customFormat="false" ht="15" hidden="false" customHeight="false" outlineLevel="0" collapsed="false">
      <c r="A748" s="64"/>
      <c r="B748" s="64"/>
      <c r="C748" s="64"/>
      <c r="D748" s="65"/>
      <c r="E748" s="64"/>
      <c r="F748" s="66"/>
      <c r="G748" s="64"/>
      <c r="H748" s="64"/>
      <c r="I748" s="66"/>
      <c r="J748" s="66"/>
      <c r="K748" s="66"/>
      <c r="L748" s="66"/>
      <c r="M748" s="66"/>
      <c r="N748" s="64"/>
    </row>
    <row r="749" customFormat="false" ht="15" hidden="false" customHeight="false" outlineLevel="0" collapsed="false">
      <c r="A749" s="64"/>
      <c r="B749" s="64"/>
      <c r="C749" s="64"/>
      <c r="D749" s="65"/>
      <c r="E749" s="64"/>
      <c r="F749" s="66"/>
      <c r="G749" s="64"/>
      <c r="H749" s="64"/>
      <c r="I749" s="66"/>
      <c r="J749" s="66"/>
      <c r="K749" s="66"/>
      <c r="L749" s="66"/>
      <c r="M749" s="66"/>
      <c r="N749" s="64"/>
    </row>
    <row r="750" customFormat="false" ht="15" hidden="false" customHeight="false" outlineLevel="0" collapsed="false">
      <c r="A750" s="64"/>
      <c r="B750" s="64"/>
      <c r="C750" s="64"/>
      <c r="D750" s="65"/>
      <c r="E750" s="64"/>
      <c r="F750" s="66"/>
      <c r="G750" s="64"/>
      <c r="H750" s="64"/>
      <c r="I750" s="66"/>
      <c r="J750" s="66"/>
      <c r="K750" s="66"/>
      <c r="L750" s="66"/>
      <c r="M750" s="66"/>
      <c r="N750" s="64"/>
    </row>
    <row r="751" customFormat="false" ht="15" hidden="false" customHeight="false" outlineLevel="0" collapsed="false">
      <c r="A751" s="64"/>
      <c r="B751" s="64"/>
      <c r="C751" s="64"/>
      <c r="D751" s="65"/>
      <c r="E751" s="64"/>
      <c r="F751" s="66"/>
      <c r="G751" s="64"/>
      <c r="H751" s="64"/>
      <c r="I751" s="66"/>
      <c r="J751" s="66"/>
      <c r="K751" s="66"/>
      <c r="L751" s="66"/>
      <c r="M751" s="66"/>
      <c r="N751" s="64"/>
    </row>
    <row r="752" customFormat="false" ht="15" hidden="false" customHeight="false" outlineLevel="0" collapsed="false">
      <c r="A752" s="64"/>
      <c r="B752" s="64"/>
      <c r="C752" s="64"/>
      <c r="D752" s="65"/>
      <c r="E752" s="64"/>
      <c r="F752" s="66"/>
      <c r="G752" s="64"/>
      <c r="H752" s="64"/>
      <c r="I752" s="66"/>
      <c r="J752" s="66"/>
      <c r="K752" s="66"/>
      <c r="L752" s="66"/>
      <c r="M752" s="66"/>
      <c r="N752" s="64"/>
    </row>
    <row r="753" customFormat="false" ht="15" hidden="false" customHeight="false" outlineLevel="0" collapsed="false">
      <c r="A753" s="64"/>
      <c r="B753" s="64"/>
      <c r="C753" s="64"/>
      <c r="D753" s="65"/>
      <c r="E753" s="64"/>
      <c r="F753" s="66"/>
      <c r="G753" s="64"/>
      <c r="H753" s="64"/>
      <c r="I753" s="66"/>
      <c r="J753" s="66"/>
      <c r="K753" s="66"/>
      <c r="L753" s="66"/>
      <c r="M753" s="66"/>
      <c r="N753" s="64"/>
    </row>
    <row r="754" customFormat="false" ht="15" hidden="false" customHeight="false" outlineLevel="0" collapsed="false">
      <c r="A754" s="64"/>
      <c r="B754" s="64"/>
      <c r="C754" s="64"/>
      <c r="D754" s="65"/>
      <c r="E754" s="64"/>
      <c r="F754" s="66"/>
      <c r="G754" s="64"/>
      <c r="H754" s="64"/>
      <c r="I754" s="66"/>
      <c r="J754" s="66"/>
      <c r="K754" s="66"/>
      <c r="L754" s="66"/>
      <c r="M754" s="66"/>
      <c r="N754" s="64"/>
    </row>
    <row r="755" customFormat="false" ht="15" hidden="false" customHeight="false" outlineLevel="0" collapsed="false">
      <c r="A755" s="64"/>
      <c r="B755" s="64"/>
      <c r="C755" s="64"/>
      <c r="D755" s="65"/>
      <c r="E755" s="64"/>
      <c r="F755" s="66"/>
      <c r="G755" s="64"/>
      <c r="H755" s="64"/>
      <c r="I755" s="66"/>
      <c r="J755" s="66"/>
      <c r="K755" s="66"/>
      <c r="L755" s="66"/>
      <c r="M755" s="66"/>
      <c r="N755" s="64"/>
    </row>
    <row r="756" customFormat="false" ht="15" hidden="false" customHeight="false" outlineLevel="0" collapsed="false">
      <c r="A756" s="64"/>
      <c r="B756" s="64"/>
      <c r="C756" s="64"/>
      <c r="D756" s="65"/>
      <c r="E756" s="64"/>
      <c r="F756" s="66"/>
      <c r="G756" s="64"/>
      <c r="H756" s="64"/>
      <c r="I756" s="66"/>
      <c r="J756" s="66"/>
      <c r="K756" s="66"/>
      <c r="L756" s="66"/>
      <c r="M756" s="66"/>
      <c r="N756" s="64"/>
    </row>
    <row r="757" customFormat="false" ht="15" hidden="false" customHeight="false" outlineLevel="0" collapsed="false">
      <c r="A757" s="64"/>
      <c r="B757" s="64"/>
      <c r="C757" s="64"/>
      <c r="D757" s="65"/>
      <c r="E757" s="64"/>
      <c r="F757" s="66"/>
      <c r="G757" s="64"/>
      <c r="H757" s="64"/>
      <c r="I757" s="66"/>
      <c r="J757" s="66"/>
      <c r="K757" s="66"/>
      <c r="L757" s="66"/>
      <c r="M757" s="66"/>
      <c r="N757" s="64"/>
    </row>
    <row r="758" customFormat="false" ht="15" hidden="false" customHeight="false" outlineLevel="0" collapsed="false">
      <c r="A758" s="64"/>
      <c r="B758" s="64"/>
      <c r="C758" s="64"/>
      <c r="D758" s="65"/>
      <c r="E758" s="64"/>
      <c r="F758" s="66"/>
      <c r="G758" s="64"/>
      <c r="H758" s="64"/>
      <c r="I758" s="66"/>
      <c r="J758" s="66"/>
      <c r="K758" s="66"/>
      <c r="L758" s="66"/>
      <c r="M758" s="66"/>
      <c r="N758" s="64"/>
    </row>
    <row r="759" customFormat="false" ht="15" hidden="false" customHeight="false" outlineLevel="0" collapsed="false">
      <c r="A759" s="64"/>
      <c r="B759" s="64"/>
      <c r="C759" s="64"/>
      <c r="D759" s="65"/>
      <c r="E759" s="64"/>
      <c r="F759" s="66"/>
      <c r="G759" s="64"/>
      <c r="H759" s="64"/>
      <c r="I759" s="66"/>
      <c r="J759" s="66"/>
      <c r="K759" s="66"/>
      <c r="L759" s="66"/>
      <c r="M759" s="66"/>
      <c r="N759" s="64"/>
    </row>
    <row r="760" customFormat="false" ht="15" hidden="false" customHeight="false" outlineLevel="0" collapsed="false">
      <c r="A760" s="64"/>
      <c r="B760" s="64"/>
      <c r="C760" s="64"/>
      <c r="D760" s="65"/>
      <c r="E760" s="64"/>
      <c r="F760" s="66"/>
      <c r="G760" s="64"/>
      <c r="H760" s="64"/>
      <c r="I760" s="66"/>
      <c r="J760" s="66"/>
      <c r="K760" s="66"/>
      <c r="L760" s="66"/>
      <c r="M760" s="66"/>
      <c r="N760" s="64"/>
    </row>
    <row r="761" customFormat="false" ht="15" hidden="false" customHeight="false" outlineLevel="0" collapsed="false">
      <c r="A761" s="64"/>
      <c r="B761" s="64"/>
      <c r="C761" s="64"/>
      <c r="D761" s="65"/>
      <c r="E761" s="64"/>
      <c r="F761" s="66"/>
      <c r="G761" s="64"/>
      <c r="H761" s="64"/>
      <c r="I761" s="66"/>
      <c r="J761" s="66"/>
      <c r="K761" s="66"/>
      <c r="L761" s="66"/>
      <c r="M761" s="66"/>
      <c r="N761" s="64"/>
    </row>
    <row r="762" customFormat="false" ht="15" hidden="false" customHeight="false" outlineLevel="0" collapsed="false">
      <c r="A762" s="64"/>
      <c r="B762" s="64"/>
      <c r="C762" s="64"/>
      <c r="D762" s="65"/>
      <c r="E762" s="64"/>
      <c r="F762" s="66"/>
      <c r="G762" s="64"/>
      <c r="H762" s="64"/>
      <c r="I762" s="66"/>
      <c r="J762" s="66"/>
      <c r="K762" s="66"/>
      <c r="L762" s="66"/>
      <c r="M762" s="66"/>
      <c r="N762" s="64"/>
    </row>
    <row r="763" customFormat="false" ht="15" hidden="false" customHeight="false" outlineLevel="0" collapsed="false">
      <c r="A763" s="64"/>
      <c r="B763" s="64"/>
      <c r="C763" s="64"/>
      <c r="D763" s="65"/>
      <c r="E763" s="64"/>
      <c r="F763" s="66"/>
      <c r="G763" s="64"/>
      <c r="H763" s="64"/>
      <c r="I763" s="66"/>
      <c r="J763" s="66"/>
      <c r="K763" s="66"/>
      <c r="L763" s="66"/>
      <c r="M763" s="66"/>
      <c r="N763" s="64"/>
    </row>
    <row r="764" customFormat="false" ht="15" hidden="false" customHeight="false" outlineLevel="0" collapsed="false">
      <c r="A764" s="64"/>
      <c r="B764" s="64"/>
      <c r="C764" s="64"/>
      <c r="D764" s="65"/>
      <c r="E764" s="64"/>
      <c r="F764" s="66"/>
      <c r="G764" s="64"/>
      <c r="H764" s="64"/>
      <c r="I764" s="66"/>
      <c r="J764" s="66"/>
      <c r="K764" s="66"/>
      <c r="L764" s="66"/>
      <c r="M764" s="66"/>
      <c r="N764" s="64"/>
    </row>
    <row r="765" customFormat="false" ht="15" hidden="false" customHeight="false" outlineLevel="0" collapsed="false">
      <c r="A765" s="64"/>
      <c r="B765" s="64"/>
      <c r="C765" s="64"/>
      <c r="D765" s="65"/>
      <c r="E765" s="64"/>
      <c r="F765" s="66"/>
      <c r="G765" s="64"/>
      <c r="H765" s="64"/>
      <c r="I765" s="66"/>
      <c r="J765" s="66"/>
      <c r="K765" s="66"/>
      <c r="L765" s="66"/>
      <c r="M765" s="66"/>
      <c r="N765" s="64"/>
    </row>
    <row r="766" customFormat="false" ht="15" hidden="false" customHeight="false" outlineLevel="0" collapsed="false">
      <c r="A766" s="64"/>
      <c r="B766" s="64"/>
      <c r="C766" s="64"/>
      <c r="D766" s="65"/>
      <c r="E766" s="64"/>
      <c r="F766" s="66"/>
      <c r="G766" s="64"/>
      <c r="H766" s="64"/>
      <c r="I766" s="66"/>
      <c r="J766" s="66"/>
      <c r="K766" s="66"/>
      <c r="L766" s="66"/>
      <c r="M766" s="66"/>
      <c r="N766" s="64"/>
    </row>
    <row r="767" customFormat="false" ht="15" hidden="false" customHeight="false" outlineLevel="0" collapsed="false">
      <c r="A767" s="64"/>
      <c r="B767" s="64"/>
      <c r="C767" s="64"/>
      <c r="D767" s="65"/>
      <c r="E767" s="64"/>
      <c r="F767" s="66"/>
      <c r="G767" s="64"/>
      <c r="H767" s="64"/>
      <c r="I767" s="66"/>
      <c r="J767" s="66"/>
      <c r="K767" s="66"/>
      <c r="L767" s="66"/>
      <c r="M767" s="66"/>
      <c r="N767" s="64"/>
    </row>
    <row r="768" customFormat="false" ht="15" hidden="false" customHeight="false" outlineLevel="0" collapsed="false">
      <c r="A768" s="64"/>
      <c r="B768" s="64"/>
      <c r="C768" s="64"/>
      <c r="D768" s="65"/>
      <c r="E768" s="64"/>
      <c r="F768" s="66"/>
      <c r="G768" s="64"/>
      <c r="H768" s="64"/>
      <c r="I768" s="66"/>
      <c r="J768" s="66"/>
      <c r="K768" s="66"/>
      <c r="L768" s="66"/>
      <c r="M768" s="66"/>
      <c r="N768" s="64"/>
    </row>
    <row r="769" customFormat="false" ht="15" hidden="false" customHeight="false" outlineLevel="0" collapsed="false">
      <c r="A769" s="64"/>
      <c r="B769" s="64"/>
      <c r="C769" s="64"/>
      <c r="D769" s="65"/>
      <c r="E769" s="64"/>
      <c r="F769" s="66"/>
      <c r="G769" s="64"/>
      <c r="H769" s="64"/>
      <c r="I769" s="66"/>
      <c r="J769" s="66"/>
      <c r="K769" s="66"/>
      <c r="L769" s="66"/>
      <c r="M769" s="66"/>
      <c r="N769" s="64"/>
    </row>
    <row r="770" customFormat="false" ht="15" hidden="false" customHeight="false" outlineLevel="0" collapsed="false">
      <c r="A770" s="64"/>
      <c r="B770" s="64"/>
      <c r="C770" s="64"/>
      <c r="D770" s="65"/>
      <c r="E770" s="64"/>
      <c r="F770" s="66"/>
      <c r="G770" s="64"/>
      <c r="H770" s="64"/>
      <c r="I770" s="66"/>
      <c r="J770" s="66"/>
      <c r="K770" s="66"/>
      <c r="L770" s="66"/>
      <c r="M770" s="66"/>
      <c r="N770" s="64"/>
    </row>
    <row r="771" customFormat="false" ht="15" hidden="false" customHeight="false" outlineLevel="0" collapsed="false">
      <c r="A771" s="64"/>
      <c r="B771" s="64"/>
      <c r="C771" s="64"/>
      <c r="D771" s="65"/>
      <c r="E771" s="64"/>
      <c r="F771" s="66"/>
      <c r="G771" s="64"/>
      <c r="H771" s="64"/>
      <c r="I771" s="66"/>
      <c r="J771" s="66"/>
      <c r="K771" s="66"/>
      <c r="L771" s="66"/>
      <c r="M771" s="66"/>
      <c r="N771" s="64"/>
    </row>
    <row r="772" customFormat="false" ht="15" hidden="false" customHeight="false" outlineLevel="0" collapsed="false">
      <c r="A772" s="64"/>
      <c r="B772" s="64"/>
      <c r="C772" s="64"/>
      <c r="D772" s="65"/>
      <c r="E772" s="64"/>
      <c r="F772" s="66"/>
      <c r="G772" s="64"/>
      <c r="H772" s="64"/>
      <c r="I772" s="66"/>
      <c r="J772" s="66"/>
      <c r="K772" s="66"/>
      <c r="L772" s="66"/>
      <c r="M772" s="66"/>
      <c r="N772" s="64"/>
    </row>
    <row r="773" customFormat="false" ht="15" hidden="false" customHeight="false" outlineLevel="0" collapsed="false">
      <c r="A773" s="64"/>
      <c r="B773" s="64"/>
      <c r="C773" s="64"/>
      <c r="D773" s="65"/>
      <c r="E773" s="64"/>
      <c r="F773" s="66"/>
      <c r="G773" s="64"/>
      <c r="H773" s="64"/>
      <c r="I773" s="66"/>
      <c r="J773" s="66"/>
      <c r="K773" s="66"/>
      <c r="L773" s="66"/>
      <c r="M773" s="66"/>
      <c r="N773" s="64"/>
    </row>
    <row r="774" customFormat="false" ht="15" hidden="false" customHeight="false" outlineLevel="0" collapsed="false">
      <c r="A774" s="64"/>
      <c r="B774" s="64"/>
      <c r="C774" s="64"/>
      <c r="D774" s="65"/>
      <c r="E774" s="64"/>
      <c r="F774" s="66"/>
      <c r="G774" s="64"/>
      <c r="H774" s="64"/>
      <c r="I774" s="66"/>
      <c r="J774" s="66"/>
      <c r="K774" s="66"/>
      <c r="L774" s="66"/>
      <c r="M774" s="66"/>
      <c r="N774" s="64"/>
    </row>
    <row r="775" customFormat="false" ht="15" hidden="false" customHeight="false" outlineLevel="0" collapsed="false">
      <c r="A775" s="64"/>
      <c r="B775" s="64"/>
      <c r="C775" s="64"/>
      <c r="D775" s="65"/>
      <c r="E775" s="64"/>
      <c r="F775" s="66"/>
      <c r="G775" s="64"/>
      <c r="H775" s="64"/>
      <c r="I775" s="66"/>
      <c r="J775" s="66"/>
      <c r="K775" s="66"/>
      <c r="L775" s="66"/>
      <c r="M775" s="66"/>
      <c r="N775" s="64"/>
    </row>
    <row r="776" customFormat="false" ht="15" hidden="false" customHeight="false" outlineLevel="0" collapsed="false">
      <c r="A776" s="64"/>
      <c r="B776" s="64"/>
      <c r="C776" s="64"/>
      <c r="D776" s="65"/>
      <c r="E776" s="64"/>
      <c r="F776" s="66"/>
      <c r="G776" s="64"/>
      <c r="H776" s="64"/>
      <c r="I776" s="66"/>
      <c r="J776" s="66"/>
      <c r="K776" s="66"/>
      <c r="L776" s="66"/>
      <c r="M776" s="66"/>
      <c r="N776" s="64"/>
    </row>
    <row r="777" customFormat="false" ht="15" hidden="false" customHeight="false" outlineLevel="0" collapsed="false">
      <c r="A777" s="64"/>
      <c r="B777" s="64"/>
      <c r="C777" s="64"/>
      <c r="D777" s="65"/>
      <c r="E777" s="64"/>
      <c r="F777" s="66"/>
      <c r="G777" s="64"/>
      <c r="H777" s="64"/>
      <c r="I777" s="66"/>
      <c r="J777" s="66"/>
      <c r="K777" s="66"/>
      <c r="L777" s="66"/>
      <c r="M777" s="66"/>
      <c r="N777" s="64"/>
    </row>
    <row r="778" customFormat="false" ht="15" hidden="false" customHeight="false" outlineLevel="0" collapsed="false">
      <c r="A778" s="64"/>
      <c r="B778" s="64"/>
      <c r="C778" s="64"/>
      <c r="D778" s="65"/>
      <c r="E778" s="64"/>
      <c r="F778" s="66"/>
      <c r="G778" s="64"/>
      <c r="H778" s="64"/>
      <c r="I778" s="66"/>
      <c r="J778" s="66"/>
      <c r="K778" s="66"/>
      <c r="L778" s="66"/>
      <c r="M778" s="66"/>
      <c r="N778" s="64"/>
    </row>
    <row r="779" customFormat="false" ht="15" hidden="false" customHeight="false" outlineLevel="0" collapsed="false">
      <c r="A779" s="64"/>
      <c r="B779" s="64"/>
      <c r="C779" s="64"/>
      <c r="D779" s="65"/>
      <c r="E779" s="64"/>
      <c r="F779" s="66"/>
      <c r="G779" s="64"/>
      <c r="H779" s="64"/>
      <c r="I779" s="66"/>
      <c r="J779" s="66"/>
      <c r="K779" s="66"/>
      <c r="L779" s="66"/>
      <c r="M779" s="66"/>
      <c r="N779" s="64"/>
    </row>
    <row r="780" customFormat="false" ht="15" hidden="false" customHeight="false" outlineLevel="0" collapsed="false">
      <c r="A780" s="64"/>
      <c r="B780" s="64"/>
      <c r="C780" s="64"/>
      <c r="D780" s="65"/>
      <c r="E780" s="64"/>
      <c r="F780" s="66"/>
      <c r="G780" s="64"/>
      <c r="H780" s="64"/>
      <c r="I780" s="66"/>
      <c r="J780" s="66"/>
      <c r="K780" s="66"/>
      <c r="L780" s="66"/>
      <c r="M780" s="66"/>
      <c r="N780" s="64"/>
    </row>
    <row r="781" customFormat="false" ht="15" hidden="false" customHeight="false" outlineLevel="0" collapsed="false">
      <c r="A781" s="64"/>
      <c r="B781" s="64"/>
      <c r="C781" s="64"/>
      <c r="D781" s="65"/>
      <c r="E781" s="64"/>
      <c r="F781" s="66"/>
      <c r="G781" s="64"/>
      <c r="H781" s="64"/>
      <c r="I781" s="66"/>
      <c r="J781" s="66"/>
      <c r="K781" s="66"/>
      <c r="L781" s="66"/>
      <c r="M781" s="66"/>
      <c r="N781" s="64"/>
    </row>
    <row r="782" customFormat="false" ht="15" hidden="false" customHeight="false" outlineLevel="0" collapsed="false">
      <c r="A782" s="64"/>
      <c r="B782" s="64"/>
      <c r="C782" s="64"/>
      <c r="D782" s="65"/>
      <c r="E782" s="64"/>
      <c r="F782" s="66"/>
      <c r="G782" s="64"/>
      <c r="H782" s="64"/>
      <c r="I782" s="66"/>
      <c r="J782" s="66"/>
      <c r="K782" s="66"/>
      <c r="L782" s="66"/>
      <c r="M782" s="66"/>
      <c r="N782" s="64"/>
    </row>
    <row r="783" customFormat="false" ht="15" hidden="false" customHeight="false" outlineLevel="0" collapsed="false">
      <c r="A783" s="64"/>
      <c r="B783" s="64"/>
      <c r="C783" s="64"/>
      <c r="D783" s="65"/>
      <c r="E783" s="64"/>
      <c r="F783" s="66"/>
      <c r="G783" s="64"/>
      <c r="H783" s="64"/>
      <c r="I783" s="66"/>
      <c r="J783" s="66"/>
      <c r="K783" s="66"/>
      <c r="L783" s="66"/>
      <c r="M783" s="66"/>
      <c r="N783" s="64"/>
    </row>
    <row r="784" customFormat="false" ht="15" hidden="false" customHeight="false" outlineLevel="0" collapsed="false">
      <c r="A784" s="64"/>
      <c r="B784" s="64"/>
      <c r="C784" s="64"/>
      <c r="D784" s="65"/>
      <c r="E784" s="64"/>
      <c r="F784" s="66"/>
      <c r="G784" s="64"/>
      <c r="H784" s="64"/>
      <c r="I784" s="66"/>
      <c r="J784" s="66"/>
      <c r="K784" s="66"/>
      <c r="L784" s="66"/>
      <c r="M784" s="66"/>
      <c r="N784" s="64"/>
    </row>
    <row r="785" customFormat="false" ht="15" hidden="false" customHeight="false" outlineLevel="0" collapsed="false">
      <c r="A785" s="64"/>
      <c r="B785" s="64"/>
      <c r="C785" s="64"/>
      <c r="D785" s="65"/>
      <c r="E785" s="64"/>
      <c r="F785" s="66"/>
      <c r="G785" s="64"/>
      <c r="H785" s="64"/>
      <c r="I785" s="66"/>
      <c r="J785" s="66"/>
      <c r="K785" s="66"/>
      <c r="L785" s="66"/>
      <c r="M785" s="66"/>
      <c r="N785" s="64"/>
    </row>
    <row r="786" customFormat="false" ht="15" hidden="false" customHeight="false" outlineLevel="0" collapsed="false">
      <c r="A786" s="64"/>
      <c r="B786" s="64"/>
      <c r="C786" s="64"/>
      <c r="D786" s="65"/>
      <c r="E786" s="64"/>
      <c r="F786" s="66"/>
      <c r="G786" s="64"/>
      <c r="H786" s="64"/>
      <c r="I786" s="66"/>
      <c r="J786" s="66"/>
      <c r="K786" s="66"/>
      <c r="L786" s="66"/>
      <c r="M786" s="66"/>
      <c r="N786" s="64"/>
    </row>
    <row r="787" customFormat="false" ht="15" hidden="false" customHeight="false" outlineLevel="0" collapsed="false">
      <c r="A787" s="64"/>
      <c r="B787" s="64"/>
      <c r="C787" s="64"/>
      <c r="D787" s="65"/>
      <c r="E787" s="64"/>
      <c r="F787" s="66"/>
      <c r="G787" s="64"/>
      <c r="H787" s="64"/>
      <c r="I787" s="66"/>
      <c r="J787" s="66"/>
      <c r="K787" s="66"/>
      <c r="L787" s="66"/>
      <c r="M787" s="66"/>
      <c r="N787" s="64"/>
    </row>
    <row r="788" customFormat="false" ht="15" hidden="false" customHeight="false" outlineLevel="0" collapsed="false">
      <c r="A788" s="64"/>
      <c r="B788" s="64"/>
      <c r="C788" s="64"/>
      <c r="D788" s="65"/>
      <c r="E788" s="64"/>
      <c r="F788" s="66"/>
      <c r="G788" s="64"/>
      <c r="H788" s="64"/>
      <c r="I788" s="66"/>
      <c r="J788" s="66"/>
      <c r="K788" s="66"/>
      <c r="L788" s="66"/>
      <c r="M788" s="66"/>
      <c r="N788" s="64"/>
    </row>
    <row r="789" customFormat="false" ht="15" hidden="false" customHeight="false" outlineLevel="0" collapsed="false">
      <c r="A789" s="64"/>
      <c r="B789" s="64"/>
      <c r="C789" s="64"/>
      <c r="D789" s="65"/>
      <c r="E789" s="64"/>
      <c r="F789" s="66"/>
      <c r="G789" s="64"/>
      <c r="H789" s="64"/>
      <c r="I789" s="66"/>
      <c r="J789" s="66"/>
      <c r="K789" s="66"/>
      <c r="L789" s="66"/>
      <c r="M789" s="66"/>
      <c r="N789" s="64"/>
    </row>
    <row r="790" customFormat="false" ht="15" hidden="false" customHeight="false" outlineLevel="0" collapsed="false">
      <c r="A790" s="64"/>
      <c r="B790" s="64"/>
      <c r="C790" s="64"/>
      <c r="D790" s="65"/>
      <c r="E790" s="64"/>
      <c r="F790" s="66"/>
      <c r="G790" s="64"/>
      <c r="H790" s="64"/>
      <c r="I790" s="66"/>
      <c r="J790" s="66"/>
      <c r="K790" s="66"/>
      <c r="L790" s="66"/>
      <c r="M790" s="66"/>
      <c r="N790" s="64"/>
    </row>
    <row r="791" customFormat="false" ht="15" hidden="false" customHeight="false" outlineLevel="0" collapsed="false">
      <c r="A791" s="64"/>
      <c r="B791" s="64"/>
      <c r="C791" s="64"/>
      <c r="D791" s="65"/>
      <c r="E791" s="64"/>
      <c r="F791" s="66"/>
      <c r="G791" s="64"/>
      <c r="H791" s="64"/>
      <c r="I791" s="66"/>
      <c r="J791" s="66"/>
      <c r="K791" s="66"/>
      <c r="L791" s="66"/>
      <c r="M791" s="66"/>
      <c r="N791" s="64"/>
    </row>
    <row r="792" customFormat="false" ht="15" hidden="false" customHeight="false" outlineLevel="0" collapsed="false">
      <c r="A792" s="64"/>
      <c r="B792" s="64"/>
      <c r="C792" s="64"/>
      <c r="D792" s="65"/>
      <c r="E792" s="64"/>
      <c r="F792" s="66"/>
      <c r="G792" s="64"/>
      <c r="H792" s="64"/>
      <c r="I792" s="66"/>
      <c r="J792" s="66"/>
      <c r="K792" s="66"/>
      <c r="L792" s="66"/>
      <c r="M792" s="66"/>
      <c r="N792" s="64"/>
    </row>
    <row r="793" customFormat="false" ht="15" hidden="false" customHeight="false" outlineLevel="0" collapsed="false">
      <c r="A793" s="64"/>
      <c r="B793" s="64"/>
      <c r="C793" s="64"/>
      <c r="D793" s="65"/>
      <c r="E793" s="64"/>
      <c r="F793" s="66"/>
      <c r="G793" s="64"/>
      <c r="H793" s="64"/>
      <c r="I793" s="66"/>
      <c r="J793" s="66"/>
      <c r="K793" s="66"/>
      <c r="L793" s="66"/>
      <c r="M793" s="66"/>
      <c r="N793" s="64"/>
    </row>
    <row r="794" customFormat="false" ht="15" hidden="false" customHeight="false" outlineLevel="0" collapsed="false">
      <c r="A794" s="64"/>
      <c r="B794" s="64"/>
      <c r="C794" s="64"/>
      <c r="D794" s="65"/>
      <c r="E794" s="64"/>
      <c r="F794" s="66"/>
      <c r="G794" s="64"/>
      <c r="H794" s="64"/>
      <c r="I794" s="66"/>
      <c r="J794" s="66"/>
      <c r="K794" s="66"/>
      <c r="L794" s="66"/>
      <c r="M794" s="66"/>
      <c r="N794" s="64"/>
    </row>
    <row r="795" customFormat="false" ht="15" hidden="false" customHeight="false" outlineLevel="0" collapsed="false">
      <c r="A795" s="64"/>
      <c r="B795" s="64"/>
      <c r="C795" s="64"/>
      <c r="D795" s="65"/>
      <c r="E795" s="64"/>
      <c r="F795" s="66"/>
      <c r="G795" s="64"/>
      <c r="H795" s="64"/>
      <c r="I795" s="66"/>
      <c r="J795" s="66"/>
      <c r="K795" s="66"/>
      <c r="L795" s="66"/>
      <c r="M795" s="66"/>
      <c r="N795" s="64"/>
    </row>
    <row r="796" customFormat="false" ht="15" hidden="false" customHeight="false" outlineLevel="0" collapsed="false">
      <c r="A796" s="64"/>
      <c r="B796" s="64"/>
      <c r="C796" s="64"/>
      <c r="D796" s="65"/>
      <c r="E796" s="64"/>
      <c r="F796" s="66"/>
      <c r="G796" s="64"/>
      <c r="H796" s="64"/>
      <c r="I796" s="66"/>
      <c r="J796" s="66"/>
      <c r="K796" s="66"/>
      <c r="L796" s="66"/>
      <c r="M796" s="66"/>
      <c r="N796" s="64"/>
    </row>
    <row r="797" customFormat="false" ht="15" hidden="false" customHeight="false" outlineLevel="0" collapsed="false">
      <c r="A797" s="64"/>
      <c r="B797" s="64"/>
      <c r="C797" s="64"/>
      <c r="D797" s="65"/>
      <c r="E797" s="64"/>
      <c r="F797" s="66"/>
      <c r="G797" s="64"/>
      <c r="H797" s="64"/>
      <c r="I797" s="66"/>
      <c r="J797" s="66"/>
      <c r="K797" s="66"/>
      <c r="L797" s="66"/>
      <c r="M797" s="66"/>
      <c r="N797" s="64"/>
    </row>
    <row r="798" customFormat="false" ht="15" hidden="false" customHeight="false" outlineLevel="0" collapsed="false">
      <c r="A798" s="64"/>
      <c r="B798" s="64"/>
      <c r="C798" s="64"/>
      <c r="D798" s="65"/>
      <c r="E798" s="64"/>
      <c r="F798" s="66"/>
      <c r="G798" s="64"/>
      <c r="H798" s="64"/>
      <c r="I798" s="66"/>
      <c r="J798" s="66"/>
      <c r="K798" s="66"/>
      <c r="L798" s="66"/>
      <c r="M798" s="66"/>
      <c r="N798" s="64"/>
    </row>
    <row r="799" customFormat="false" ht="15" hidden="false" customHeight="false" outlineLevel="0" collapsed="false">
      <c r="A799" s="64"/>
      <c r="B799" s="64"/>
      <c r="C799" s="64"/>
      <c r="D799" s="65"/>
      <c r="E799" s="64"/>
      <c r="F799" s="66"/>
      <c r="G799" s="64"/>
      <c r="H799" s="64"/>
      <c r="I799" s="66"/>
      <c r="J799" s="66"/>
      <c r="K799" s="66"/>
      <c r="L799" s="66"/>
      <c r="M799" s="66"/>
      <c r="N799" s="64"/>
    </row>
    <row r="800" customFormat="false" ht="15" hidden="false" customHeight="false" outlineLevel="0" collapsed="false">
      <c r="A800" s="64"/>
      <c r="B800" s="64"/>
      <c r="C800" s="64"/>
      <c r="D800" s="65"/>
      <c r="E800" s="64"/>
      <c r="F800" s="66"/>
      <c r="G800" s="64"/>
      <c r="H800" s="64"/>
      <c r="I800" s="66"/>
      <c r="J800" s="66"/>
      <c r="K800" s="66"/>
      <c r="L800" s="66"/>
      <c r="M800" s="66"/>
      <c r="N800" s="64"/>
    </row>
    <row r="801" customFormat="false" ht="15" hidden="false" customHeight="false" outlineLevel="0" collapsed="false">
      <c r="A801" s="64"/>
      <c r="B801" s="64"/>
      <c r="C801" s="64"/>
      <c r="D801" s="65"/>
      <c r="E801" s="64"/>
      <c r="F801" s="66"/>
      <c r="G801" s="64"/>
      <c r="H801" s="64"/>
      <c r="I801" s="66"/>
      <c r="J801" s="66"/>
      <c r="K801" s="66"/>
      <c r="L801" s="66"/>
      <c r="M801" s="66"/>
      <c r="N801" s="64"/>
    </row>
    <row r="802" customFormat="false" ht="15" hidden="false" customHeight="false" outlineLevel="0" collapsed="false">
      <c r="A802" s="64"/>
      <c r="B802" s="64"/>
      <c r="C802" s="64"/>
      <c r="D802" s="65"/>
      <c r="E802" s="64"/>
      <c r="F802" s="66"/>
      <c r="G802" s="64"/>
      <c r="H802" s="64"/>
      <c r="I802" s="66"/>
      <c r="J802" s="66"/>
      <c r="K802" s="66"/>
      <c r="L802" s="66"/>
      <c r="M802" s="66"/>
      <c r="N802" s="64"/>
    </row>
    <row r="803" customFormat="false" ht="15" hidden="false" customHeight="false" outlineLevel="0" collapsed="false">
      <c r="A803" s="64"/>
      <c r="B803" s="64"/>
      <c r="C803" s="64"/>
      <c r="D803" s="65"/>
      <c r="E803" s="64"/>
      <c r="F803" s="66"/>
      <c r="G803" s="64"/>
      <c r="H803" s="64"/>
      <c r="I803" s="66"/>
      <c r="J803" s="66"/>
      <c r="K803" s="66"/>
      <c r="L803" s="66"/>
      <c r="M803" s="66"/>
      <c r="N803" s="64"/>
    </row>
    <row r="804" customFormat="false" ht="15" hidden="false" customHeight="false" outlineLevel="0" collapsed="false">
      <c r="A804" s="64"/>
      <c r="B804" s="64"/>
      <c r="C804" s="64"/>
      <c r="D804" s="65"/>
      <c r="E804" s="64"/>
      <c r="F804" s="66"/>
      <c r="G804" s="64"/>
      <c r="H804" s="64"/>
      <c r="I804" s="66"/>
      <c r="J804" s="66"/>
      <c r="K804" s="66"/>
      <c r="L804" s="66"/>
      <c r="M804" s="66"/>
      <c r="N804" s="64"/>
    </row>
    <row r="805" customFormat="false" ht="15" hidden="false" customHeight="false" outlineLevel="0" collapsed="false">
      <c r="A805" s="64"/>
      <c r="B805" s="64"/>
      <c r="C805" s="64"/>
      <c r="D805" s="65"/>
      <c r="E805" s="64"/>
      <c r="F805" s="66"/>
      <c r="G805" s="64"/>
      <c r="H805" s="64"/>
      <c r="I805" s="66"/>
      <c r="J805" s="66"/>
      <c r="K805" s="66"/>
      <c r="L805" s="66"/>
      <c r="M805" s="66"/>
      <c r="N805" s="64"/>
    </row>
    <row r="806" customFormat="false" ht="15" hidden="false" customHeight="false" outlineLevel="0" collapsed="false">
      <c r="A806" s="64"/>
      <c r="B806" s="64"/>
      <c r="C806" s="64"/>
      <c r="D806" s="65"/>
      <c r="E806" s="64"/>
      <c r="F806" s="66"/>
      <c r="G806" s="64"/>
      <c r="H806" s="64"/>
      <c r="I806" s="66"/>
      <c r="J806" s="66"/>
      <c r="K806" s="66"/>
      <c r="L806" s="66"/>
      <c r="M806" s="66"/>
      <c r="N806" s="64"/>
    </row>
    <row r="807" customFormat="false" ht="15" hidden="false" customHeight="false" outlineLevel="0" collapsed="false">
      <c r="A807" s="64"/>
      <c r="B807" s="64"/>
      <c r="C807" s="64"/>
      <c r="D807" s="65"/>
      <c r="E807" s="64"/>
      <c r="F807" s="66"/>
      <c r="G807" s="64"/>
      <c r="H807" s="64"/>
      <c r="I807" s="66"/>
      <c r="J807" s="66"/>
      <c r="K807" s="66"/>
      <c r="L807" s="66"/>
      <c r="M807" s="66"/>
      <c r="N807" s="64"/>
    </row>
    <row r="808" customFormat="false" ht="15" hidden="false" customHeight="false" outlineLevel="0" collapsed="false">
      <c r="A808" s="64"/>
      <c r="B808" s="64"/>
      <c r="C808" s="64"/>
      <c r="D808" s="65"/>
      <c r="E808" s="64"/>
      <c r="F808" s="66"/>
      <c r="G808" s="64"/>
      <c r="H808" s="64"/>
      <c r="I808" s="66"/>
      <c r="J808" s="66"/>
      <c r="K808" s="66"/>
      <c r="L808" s="66"/>
      <c r="M808" s="66"/>
      <c r="N808" s="64"/>
    </row>
    <row r="809" customFormat="false" ht="15" hidden="false" customHeight="false" outlineLevel="0" collapsed="false">
      <c r="A809" s="64"/>
      <c r="B809" s="64"/>
      <c r="C809" s="64"/>
      <c r="D809" s="65"/>
      <c r="E809" s="64"/>
      <c r="F809" s="66"/>
      <c r="G809" s="64"/>
      <c r="H809" s="64"/>
      <c r="I809" s="66"/>
      <c r="J809" s="66"/>
      <c r="K809" s="66"/>
      <c r="L809" s="66"/>
      <c r="M809" s="66"/>
      <c r="N809" s="64"/>
    </row>
    <row r="810" customFormat="false" ht="15" hidden="false" customHeight="false" outlineLevel="0" collapsed="false">
      <c r="A810" s="64"/>
      <c r="B810" s="64"/>
      <c r="C810" s="64"/>
      <c r="D810" s="65"/>
      <c r="E810" s="64"/>
      <c r="F810" s="66"/>
      <c r="G810" s="64"/>
      <c r="H810" s="64"/>
      <c r="I810" s="66"/>
      <c r="J810" s="66"/>
      <c r="K810" s="66"/>
      <c r="L810" s="66"/>
      <c r="M810" s="66"/>
      <c r="N810" s="64"/>
    </row>
    <row r="811" customFormat="false" ht="15" hidden="false" customHeight="false" outlineLevel="0" collapsed="false">
      <c r="A811" s="64"/>
      <c r="B811" s="64"/>
      <c r="C811" s="64"/>
      <c r="D811" s="65"/>
      <c r="E811" s="64"/>
      <c r="F811" s="66"/>
      <c r="G811" s="64"/>
      <c r="H811" s="64"/>
      <c r="I811" s="66"/>
      <c r="J811" s="66"/>
      <c r="K811" s="66"/>
      <c r="L811" s="66"/>
      <c r="M811" s="66"/>
      <c r="N811" s="64"/>
    </row>
    <row r="812" customFormat="false" ht="15" hidden="false" customHeight="false" outlineLevel="0" collapsed="false">
      <c r="A812" s="64"/>
      <c r="B812" s="64"/>
      <c r="C812" s="64"/>
      <c r="D812" s="65"/>
      <c r="E812" s="64"/>
      <c r="F812" s="66"/>
      <c r="G812" s="64"/>
      <c r="H812" s="64"/>
      <c r="I812" s="66"/>
      <c r="J812" s="66"/>
      <c r="K812" s="66"/>
      <c r="L812" s="66"/>
      <c r="M812" s="66"/>
      <c r="N812" s="64"/>
    </row>
    <row r="813" customFormat="false" ht="15" hidden="false" customHeight="false" outlineLevel="0" collapsed="false">
      <c r="A813" s="64"/>
      <c r="B813" s="64"/>
      <c r="C813" s="64"/>
      <c r="D813" s="65"/>
      <c r="E813" s="64"/>
      <c r="F813" s="66"/>
      <c r="G813" s="64"/>
      <c r="H813" s="64"/>
      <c r="I813" s="66"/>
      <c r="J813" s="66"/>
      <c r="K813" s="66"/>
      <c r="L813" s="66"/>
      <c r="M813" s="66"/>
      <c r="N813" s="64"/>
    </row>
    <row r="814" customFormat="false" ht="15" hidden="false" customHeight="false" outlineLevel="0" collapsed="false">
      <c r="A814" s="64"/>
      <c r="B814" s="64"/>
      <c r="C814" s="64"/>
      <c r="D814" s="65"/>
      <c r="E814" s="64"/>
      <c r="F814" s="66"/>
      <c r="G814" s="64"/>
      <c r="H814" s="64"/>
      <c r="I814" s="66"/>
      <c r="J814" s="66"/>
      <c r="K814" s="66"/>
      <c r="L814" s="66"/>
      <c r="M814" s="66"/>
      <c r="N814" s="64"/>
    </row>
    <row r="815" customFormat="false" ht="15" hidden="false" customHeight="false" outlineLevel="0" collapsed="false">
      <c r="A815" s="64"/>
      <c r="B815" s="64"/>
      <c r="C815" s="64"/>
      <c r="D815" s="65"/>
      <c r="E815" s="64"/>
      <c r="F815" s="66"/>
      <c r="G815" s="64"/>
      <c r="H815" s="64"/>
      <c r="I815" s="66"/>
      <c r="J815" s="66"/>
      <c r="K815" s="66"/>
      <c r="L815" s="66"/>
      <c r="M815" s="66"/>
      <c r="N815" s="64"/>
    </row>
    <row r="816" customFormat="false" ht="15" hidden="false" customHeight="false" outlineLevel="0" collapsed="false">
      <c r="A816" s="64"/>
      <c r="B816" s="64"/>
      <c r="C816" s="64"/>
      <c r="D816" s="65"/>
      <c r="E816" s="64"/>
      <c r="F816" s="66"/>
      <c r="G816" s="64"/>
      <c r="H816" s="64"/>
      <c r="I816" s="66"/>
      <c r="J816" s="66"/>
      <c r="K816" s="66"/>
      <c r="L816" s="66"/>
      <c r="M816" s="66"/>
      <c r="N816" s="64"/>
    </row>
    <row r="817" customFormat="false" ht="15" hidden="false" customHeight="false" outlineLevel="0" collapsed="false">
      <c r="A817" s="64"/>
      <c r="B817" s="64"/>
      <c r="C817" s="64"/>
      <c r="D817" s="65"/>
      <c r="E817" s="64"/>
      <c r="F817" s="66"/>
      <c r="G817" s="64"/>
      <c r="H817" s="64"/>
      <c r="I817" s="66"/>
      <c r="J817" s="66"/>
      <c r="K817" s="66"/>
      <c r="L817" s="66"/>
      <c r="M817" s="66"/>
      <c r="N817" s="64"/>
    </row>
    <row r="818" customFormat="false" ht="15" hidden="false" customHeight="false" outlineLevel="0" collapsed="false">
      <c r="A818" s="64"/>
      <c r="B818" s="64"/>
      <c r="C818" s="64"/>
      <c r="D818" s="65"/>
      <c r="E818" s="64"/>
      <c r="F818" s="66"/>
      <c r="G818" s="64"/>
      <c r="H818" s="64"/>
      <c r="I818" s="66"/>
      <c r="J818" s="66"/>
      <c r="K818" s="66"/>
      <c r="L818" s="66"/>
      <c r="M818" s="66"/>
      <c r="N818" s="64"/>
    </row>
    <row r="819" customFormat="false" ht="15" hidden="false" customHeight="false" outlineLevel="0" collapsed="false">
      <c r="A819" s="64"/>
      <c r="B819" s="64"/>
      <c r="C819" s="64"/>
      <c r="D819" s="65"/>
      <c r="E819" s="64"/>
      <c r="F819" s="66"/>
      <c r="G819" s="64"/>
      <c r="H819" s="64"/>
      <c r="I819" s="66"/>
      <c r="J819" s="66"/>
      <c r="K819" s="66"/>
      <c r="L819" s="66"/>
      <c r="M819" s="66"/>
      <c r="N819" s="64"/>
    </row>
    <row r="820" customFormat="false" ht="15" hidden="false" customHeight="false" outlineLevel="0" collapsed="false">
      <c r="A820" s="64"/>
      <c r="B820" s="64"/>
      <c r="C820" s="64"/>
      <c r="D820" s="65"/>
      <c r="E820" s="64"/>
      <c r="F820" s="66"/>
      <c r="G820" s="64"/>
      <c r="H820" s="64"/>
      <c r="I820" s="66"/>
      <c r="J820" s="66"/>
      <c r="K820" s="66"/>
      <c r="L820" s="66"/>
      <c r="M820" s="66"/>
      <c r="N820" s="64"/>
    </row>
    <row r="821" customFormat="false" ht="15" hidden="false" customHeight="false" outlineLevel="0" collapsed="false">
      <c r="A821" s="64"/>
      <c r="B821" s="64"/>
      <c r="C821" s="64"/>
      <c r="D821" s="65"/>
      <c r="E821" s="64"/>
      <c r="F821" s="66"/>
      <c r="G821" s="64"/>
      <c r="H821" s="64"/>
      <c r="I821" s="66"/>
      <c r="J821" s="66"/>
      <c r="K821" s="66"/>
      <c r="L821" s="66"/>
      <c r="M821" s="66"/>
      <c r="N821" s="64"/>
    </row>
    <row r="822" customFormat="false" ht="15" hidden="false" customHeight="false" outlineLevel="0" collapsed="false">
      <c r="A822" s="64"/>
      <c r="B822" s="64"/>
      <c r="C822" s="64"/>
      <c r="D822" s="65"/>
      <c r="E822" s="64"/>
      <c r="F822" s="66"/>
      <c r="G822" s="64"/>
      <c r="H822" s="64"/>
      <c r="I822" s="66"/>
      <c r="J822" s="66"/>
      <c r="K822" s="66"/>
      <c r="L822" s="66"/>
      <c r="M822" s="66"/>
      <c r="N822" s="64"/>
    </row>
    <row r="823" customFormat="false" ht="15" hidden="false" customHeight="false" outlineLevel="0" collapsed="false">
      <c r="A823" s="64"/>
      <c r="B823" s="64"/>
      <c r="C823" s="64"/>
      <c r="D823" s="65"/>
      <c r="E823" s="64"/>
      <c r="F823" s="66"/>
      <c r="G823" s="64"/>
      <c r="H823" s="64"/>
      <c r="I823" s="66"/>
      <c r="J823" s="66"/>
      <c r="K823" s="66"/>
      <c r="L823" s="66"/>
      <c r="M823" s="66"/>
      <c r="N823" s="64"/>
    </row>
    <row r="824" customFormat="false" ht="15" hidden="false" customHeight="false" outlineLevel="0" collapsed="false">
      <c r="A824" s="64"/>
      <c r="B824" s="64"/>
      <c r="C824" s="64"/>
      <c r="D824" s="65"/>
      <c r="E824" s="64"/>
      <c r="F824" s="66"/>
      <c r="G824" s="64"/>
      <c r="H824" s="64"/>
      <c r="I824" s="66"/>
      <c r="J824" s="66"/>
      <c r="K824" s="66"/>
      <c r="L824" s="66"/>
      <c r="M824" s="66"/>
      <c r="N824" s="64"/>
    </row>
    <row r="825" customFormat="false" ht="15" hidden="false" customHeight="false" outlineLevel="0" collapsed="false">
      <c r="A825" s="64"/>
      <c r="B825" s="64"/>
      <c r="C825" s="64"/>
      <c r="D825" s="65"/>
      <c r="E825" s="64"/>
      <c r="F825" s="66"/>
      <c r="G825" s="64"/>
      <c r="H825" s="64"/>
      <c r="I825" s="66"/>
      <c r="J825" s="66"/>
      <c r="K825" s="66"/>
      <c r="L825" s="66"/>
      <c r="M825" s="66"/>
      <c r="N825" s="64"/>
    </row>
    <row r="826" customFormat="false" ht="15" hidden="false" customHeight="false" outlineLevel="0" collapsed="false">
      <c r="A826" s="64"/>
      <c r="B826" s="64"/>
      <c r="C826" s="64"/>
      <c r="D826" s="65"/>
      <c r="E826" s="64"/>
      <c r="F826" s="66"/>
      <c r="G826" s="64"/>
      <c r="H826" s="64"/>
      <c r="I826" s="66"/>
      <c r="J826" s="66"/>
      <c r="K826" s="66"/>
      <c r="L826" s="66"/>
      <c r="M826" s="66"/>
      <c r="N826" s="64"/>
    </row>
    <row r="827" customFormat="false" ht="15" hidden="false" customHeight="false" outlineLevel="0" collapsed="false">
      <c r="A827" s="64"/>
      <c r="B827" s="64"/>
      <c r="C827" s="64"/>
      <c r="D827" s="65"/>
      <c r="E827" s="64"/>
      <c r="F827" s="66"/>
      <c r="G827" s="64"/>
      <c r="H827" s="64"/>
      <c r="I827" s="66"/>
      <c r="J827" s="66"/>
      <c r="K827" s="66"/>
      <c r="L827" s="66"/>
      <c r="M827" s="66"/>
      <c r="N827" s="64"/>
    </row>
    <row r="828" customFormat="false" ht="15" hidden="false" customHeight="false" outlineLevel="0" collapsed="false">
      <c r="A828" s="64"/>
      <c r="B828" s="64"/>
      <c r="C828" s="64"/>
      <c r="D828" s="65"/>
      <c r="E828" s="64"/>
      <c r="F828" s="66"/>
      <c r="G828" s="64"/>
      <c r="H828" s="64"/>
      <c r="I828" s="66"/>
      <c r="J828" s="66"/>
      <c r="K828" s="66"/>
      <c r="L828" s="66"/>
      <c r="M828" s="66"/>
      <c r="N828" s="64"/>
    </row>
    <row r="829" customFormat="false" ht="15" hidden="false" customHeight="false" outlineLevel="0" collapsed="false">
      <c r="A829" s="64"/>
      <c r="B829" s="64"/>
      <c r="C829" s="64"/>
      <c r="D829" s="65"/>
      <c r="E829" s="64"/>
      <c r="F829" s="66"/>
      <c r="G829" s="64"/>
      <c r="H829" s="64"/>
      <c r="I829" s="66"/>
      <c r="J829" s="66"/>
      <c r="K829" s="66"/>
      <c r="L829" s="66"/>
      <c r="M829" s="66"/>
      <c r="N829" s="64"/>
    </row>
    <row r="830" customFormat="false" ht="15" hidden="false" customHeight="false" outlineLevel="0" collapsed="false">
      <c r="A830" s="64"/>
      <c r="B830" s="64"/>
      <c r="C830" s="64"/>
      <c r="D830" s="65"/>
      <c r="E830" s="64"/>
      <c r="F830" s="66"/>
      <c r="G830" s="64"/>
      <c r="H830" s="64"/>
      <c r="I830" s="66"/>
      <c r="J830" s="66"/>
      <c r="K830" s="66"/>
      <c r="L830" s="66"/>
      <c r="M830" s="66"/>
      <c r="N830" s="64"/>
    </row>
    <row r="831" customFormat="false" ht="15" hidden="false" customHeight="false" outlineLevel="0" collapsed="false">
      <c r="A831" s="64"/>
      <c r="B831" s="64"/>
      <c r="C831" s="64"/>
      <c r="D831" s="65"/>
      <c r="E831" s="64"/>
      <c r="F831" s="66"/>
      <c r="G831" s="64"/>
      <c r="H831" s="64"/>
      <c r="I831" s="66"/>
      <c r="J831" s="66"/>
      <c r="K831" s="66"/>
      <c r="L831" s="66"/>
      <c r="M831" s="66"/>
      <c r="N831" s="64"/>
    </row>
    <row r="832" customFormat="false" ht="15" hidden="false" customHeight="false" outlineLevel="0" collapsed="false">
      <c r="A832" s="64"/>
      <c r="B832" s="64"/>
      <c r="C832" s="64"/>
      <c r="D832" s="65"/>
      <c r="E832" s="64"/>
      <c r="F832" s="66"/>
      <c r="G832" s="64"/>
      <c r="H832" s="64"/>
      <c r="I832" s="66"/>
      <c r="J832" s="66"/>
      <c r="K832" s="66"/>
      <c r="L832" s="66"/>
      <c r="M832" s="66"/>
      <c r="N832" s="64"/>
    </row>
    <row r="833" customFormat="false" ht="15" hidden="false" customHeight="false" outlineLevel="0" collapsed="false">
      <c r="A833" s="64"/>
      <c r="B833" s="64"/>
      <c r="C833" s="64"/>
      <c r="D833" s="65"/>
      <c r="E833" s="64"/>
      <c r="F833" s="66"/>
      <c r="G833" s="64"/>
      <c r="H833" s="64"/>
      <c r="I833" s="66"/>
      <c r="J833" s="66"/>
      <c r="K833" s="66"/>
      <c r="L833" s="66"/>
      <c r="M833" s="66"/>
      <c r="N833" s="64"/>
    </row>
    <row r="834" customFormat="false" ht="15" hidden="false" customHeight="false" outlineLevel="0" collapsed="false">
      <c r="A834" s="64"/>
      <c r="B834" s="64"/>
      <c r="C834" s="64"/>
      <c r="D834" s="65"/>
      <c r="E834" s="64"/>
      <c r="F834" s="66"/>
      <c r="G834" s="64"/>
      <c r="H834" s="64"/>
      <c r="I834" s="66"/>
      <c r="J834" s="66"/>
      <c r="K834" s="66"/>
      <c r="L834" s="66"/>
      <c r="M834" s="66"/>
      <c r="N834" s="64"/>
    </row>
    <row r="835" customFormat="false" ht="15" hidden="false" customHeight="false" outlineLevel="0" collapsed="false">
      <c r="A835" s="64"/>
      <c r="B835" s="64"/>
      <c r="C835" s="64"/>
      <c r="D835" s="65"/>
      <c r="E835" s="64"/>
      <c r="F835" s="66"/>
      <c r="G835" s="64"/>
      <c r="H835" s="64"/>
      <c r="I835" s="66"/>
      <c r="J835" s="66"/>
      <c r="K835" s="66"/>
      <c r="L835" s="66"/>
      <c r="M835" s="66"/>
      <c r="N835" s="64"/>
    </row>
    <row r="836" customFormat="false" ht="15" hidden="false" customHeight="false" outlineLevel="0" collapsed="false">
      <c r="A836" s="64"/>
      <c r="B836" s="64"/>
      <c r="C836" s="64"/>
      <c r="D836" s="65"/>
      <c r="E836" s="64"/>
      <c r="F836" s="66"/>
      <c r="G836" s="64"/>
      <c r="H836" s="64"/>
      <c r="I836" s="66"/>
      <c r="J836" s="66"/>
      <c r="K836" s="66"/>
      <c r="L836" s="66"/>
      <c r="M836" s="66"/>
      <c r="N836" s="64"/>
    </row>
    <row r="837" customFormat="false" ht="15" hidden="false" customHeight="false" outlineLevel="0" collapsed="false">
      <c r="A837" s="64"/>
      <c r="B837" s="64"/>
      <c r="C837" s="64"/>
      <c r="D837" s="65"/>
      <c r="E837" s="64"/>
      <c r="F837" s="66"/>
      <c r="G837" s="64"/>
      <c r="H837" s="64"/>
      <c r="I837" s="66"/>
      <c r="J837" s="66"/>
      <c r="K837" s="66"/>
      <c r="L837" s="66"/>
      <c r="M837" s="66"/>
      <c r="N837" s="64"/>
    </row>
    <row r="838" customFormat="false" ht="15" hidden="false" customHeight="false" outlineLevel="0" collapsed="false">
      <c r="A838" s="64"/>
      <c r="B838" s="64"/>
      <c r="C838" s="64"/>
      <c r="D838" s="65"/>
      <c r="E838" s="64"/>
      <c r="F838" s="66"/>
      <c r="G838" s="64"/>
      <c r="H838" s="64"/>
      <c r="I838" s="66"/>
      <c r="J838" s="66"/>
      <c r="K838" s="66"/>
      <c r="L838" s="66"/>
      <c r="M838" s="66"/>
      <c r="N838" s="64"/>
    </row>
    <row r="839" customFormat="false" ht="15" hidden="false" customHeight="false" outlineLevel="0" collapsed="false">
      <c r="A839" s="64"/>
      <c r="B839" s="64"/>
      <c r="C839" s="64"/>
      <c r="D839" s="65"/>
      <c r="E839" s="64"/>
      <c r="F839" s="66"/>
      <c r="G839" s="64"/>
      <c r="H839" s="64"/>
      <c r="I839" s="66"/>
      <c r="J839" s="66"/>
      <c r="K839" s="66"/>
      <c r="L839" s="66"/>
      <c r="M839" s="66"/>
      <c r="N839" s="64"/>
    </row>
    <row r="840" customFormat="false" ht="15" hidden="false" customHeight="false" outlineLevel="0" collapsed="false">
      <c r="A840" s="64"/>
      <c r="B840" s="64"/>
      <c r="C840" s="64"/>
      <c r="D840" s="65"/>
      <c r="E840" s="64"/>
      <c r="F840" s="66"/>
      <c r="G840" s="64"/>
      <c r="H840" s="64"/>
      <c r="I840" s="66"/>
      <c r="J840" s="66"/>
      <c r="K840" s="66"/>
      <c r="L840" s="66"/>
      <c r="M840" s="66"/>
      <c r="N840" s="64"/>
    </row>
    <row r="841" customFormat="false" ht="15" hidden="false" customHeight="false" outlineLevel="0" collapsed="false">
      <c r="A841" s="64"/>
      <c r="B841" s="64"/>
      <c r="C841" s="64"/>
      <c r="D841" s="65"/>
      <c r="E841" s="64"/>
      <c r="F841" s="66"/>
      <c r="G841" s="64"/>
      <c r="H841" s="64"/>
      <c r="I841" s="66"/>
      <c r="J841" s="66"/>
      <c r="K841" s="66"/>
      <c r="L841" s="66"/>
      <c r="M841" s="66"/>
      <c r="N841" s="64"/>
    </row>
    <row r="842" customFormat="false" ht="15" hidden="false" customHeight="false" outlineLevel="0" collapsed="false">
      <c r="A842" s="64"/>
      <c r="B842" s="64"/>
      <c r="C842" s="64"/>
      <c r="D842" s="65"/>
      <c r="E842" s="64"/>
      <c r="F842" s="66"/>
      <c r="G842" s="64"/>
      <c r="H842" s="64"/>
      <c r="I842" s="66"/>
      <c r="J842" s="66"/>
      <c r="K842" s="66"/>
      <c r="L842" s="66"/>
      <c r="M842" s="66"/>
      <c r="N842" s="64"/>
    </row>
    <row r="843" customFormat="false" ht="15" hidden="false" customHeight="false" outlineLevel="0" collapsed="false">
      <c r="A843" s="64"/>
      <c r="B843" s="64"/>
      <c r="C843" s="64"/>
      <c r="D843" s="65"/>
      <c r="E843" s="64"/>
      <c r="F843" s="66"/>
      <c r="G843" s="64"/>
      <c r="H843" s="64"/>
      <c r="I843" s="66"/>
      <c r="J843" s="66"/>
      <c r="K843" s="66"/>
      <c r="L843" s="66"/>
      <c r="M843" s="66"/>
      <c r="N843" s="64"/>
    </row>
    <row r="844" customFormat="false" ht="15" hidden="false" customHeight="false" outlineLevel="0" collapsed="false">
      <c r="A844" s="64"/>
      <c r="B844" s="64"/>
      <c r="C844" s="64"/>
      <c r="D844" s="65"/>
      <c r="E844" s="64"/>
      <c r="F844" s="66"/>
      <c r="G844" s="64"/>
      <c r="H844" s="64"/>
      <c r="I844" s="66"/>
      <c r="J844" s="66"/>
      <c r="K844" s="66"/>
      <c r="L844" s="66"/>
      <c r="M844" s="66"/>
      <c r="N844" s="64"/>
    </row>
    <row r="845" customFormat="false" ht="15" hidden="false" customHeight="false" outlineLevel="0" collapsed="false">
      <c r="A845" s="64"/>
      <c r="B845" s="64"/>
      <c r="C845" s="64"/>
      <c r="D845" s="65"/>
      <c r="E845" s="64"/>
      <c r="F845" s="66"/>
      <c r="G845" s="64"/>
      <c r="H845" s="64"/>
      <c r="I845" s="66"/>
      <c r="J845" s="66"/>
      <c r="K845" s="66"/>
      <c r="L845" s="66"/>
      <c r="M845" s="66"/>
      <c r="N845" s="64"/>
    </row>
    <row r="846" customFormat="false" ht="15" hidden="false" customHeight="false" outlineLevel="0" collapsed="false">
      <c r="A846" s="64"/>
      <c r="B846" s="64"/>
      <c r="C846" s="64"/>
      <c r="D846" s="65"/>
      <c r="E846" s="64"/>
      <c r="F846" s="66"/>
      <c r="G846" s="64"/>
      <c r="H846" s="64"/>
      <c r="I846" s="66"/>
      <c r="J846" s="66"/>
      <c r="K846" s="66"/>
      <c r="L846" s="66"/>
      <c r="M846" s="66"/>
      <c r="N846" s="64"/>
    </row>
    <row r="847" customFormat="false" ht="15" hidden="false" customHeight="false" outlineLevel="0" collapsed="false">
      <c r="A847" s="64"/>
      <c r="B847" s="64"/>
      <c r="C847" s="64"/>
      <c r="D847" s="65"/>
      <c r="E847" s="64"/>
      <c r="F847" s="66"/>
      <c r="G847" s="64"/>
      <c r="H847" s="64"/>
      <c r="I847" s="66"/>
      <c r="J847" s="66"/>
      <c r="K847" s="66"/>
      <c r="L847" s="66"/>
      <c r="M847" s="66"/>
      <c r="N847" s="64"/>
    </row>
    <row r="848" customFormat="false" ht="15" hidden="false" customHeight="false" outlineLevel="0" collapsed="false">
      <c r="A848" s="64"/>
      <c r="B848" s="64"/>
      <c r="C848" s="64"/>
      <c r="D848" s="65"/>
      <c r="E848" s="64"/>
      <c r="F848" s="66"/>
      <c r="G848" s="64"/>
      <c r="H848" s="64"/>
      <c r="I848" s="66"/>
      <c r="J848" s="66"/>
      <c r="K848" s="66"/>
      <c r="L848" s="66"/>
      <c r="M848" s="66"/>
      <c r="N848" s="64"/>
    </row>
    <row r="849" customFormat="false" ht="15" hidden="false" customHeight="false" outlineLevel="0" collapsed="false">
      <c r="A849" s="64"/>
      <c r="B849" s="64"/>
      <c r="C849" s="64"/>
      <c r="D849" s="65"/>
      <c r="E849" s="64"/>
      <c r="F849" s="66"/>
      <c r="G849" s="64"/>
      <c r="H849" s="64"/>
      <c r="I849" s="66"/>
      <c r="J849" s="66"/>
      <c r="K849" s="66"/>
      <c r="L849" s="66"/>
      <c r="M849" s="66"/>
      <c r="N849" s="64"/>
    </row>
    <row r="850" customFormat="false" ht="15" hidden="false" customHeight="false" outlineLevel="0" collapsed="false">
      <c r="A850" s="64"/>
      <c r="B850" s="64"/>
      <c r="C850" s="64"/>
      <c r="D850" s="65"/>
      <c r="E850" s="64"/>
      <c r="F850" s="66"/>
      <c r="G850" s="64"/>
      <c r="H850" s="64"/>
      <c r="I850" s="66"/>
      <c r="J850" s="66"/>
      <c r="K850" s="66"/>
      <c r="L850" s="66"/>
      <c r="M850" s="66"/>
      <c r="N850" s="64"/>
    </row>
    <row r="851" customFormat="false" ht="15" hidden="false" customHeight="false" outlineLevel="0" collapsed="false">
      <c r="A851" s="64"/>
      <c r="B851" s="64"/>
      <c r="C851" s="64"/>
      <c r="D851" s="65"/>
      <c r="E851" s="64"/>
      <c r="F851" s="66"/>
      <c r="G851" s="64"/>
      <c r="H851" s="64"/>
      <c r="I851" s="66"/>
      <c r="J851" s="66"/>
      <c r="K851" s="66"/>
      <c r="L851" s="66"/>
      <c r="M851" s="66"/>
      <c r="N851" s="64"/>
    </row>
    <row r="852" customFormat="false" ht="15" hidden="false" customHeight="false" outlineLevel="0" collapsed="false">
      <c r="A852" s="64"/>
      <c r="B852" s="64"/>
      <c r="C852" s="64"/>
      <c r="D852" s="65"/>
      <c r="E852" s="64"/>
      <c r="F852" s="66"/>
      <c r="G852" s="64"/>
      <c r="H852" s="64"/>
      <c r="I852" s="66"/>
      <c r="J852" s="66"/>
      <c r="K852" s="66"/>
      <c r="L852" s="66"/>
      <c r="M852" s="66"/>
      <c r="N852" s="64"/>
    </row>
    <row r="853" customFormat="false" ht="15" hidden="false" customHeight="false" outlineLevel="0" collapsed="false">
      <c r="A853" s="64"/>
      <c r="B853" s="64"/>
      <c r="C853" s="64"/>
      <c r="D853" s="65"/>
      <c r="E853" s="64"/>
      <c r="F853" s="66"/>
      <c r="G853" s="64"/>
      <c r="H853" s="64"/>
      <c r="I853" s="66"/>
      <c r="J853" s="66"/>
      <c r="K853" s="66"/>
      <c r="L853" s="66"/>
      <c r="M853" s="66"/>
      <c r="N853" s="64"/>
    </row>
    <row r="854" customFormat="false" ht="15" hidden="false" customHeight="false" outlineLevel="0" collapsed="false">
      <c r="A854" s="64"/>
      <c r="B854" s="64"/>
      <c r="C854" s="64"/>
      <c r="D854" s="65"/>
      <c r="E854" s="64"/>
      <c r="F854" s="66"/>
      <c r="G854" s="64"/>
      <c r="H854" s="64"/>
      <c r="I854" s="66"/>
      <c r="J854" s="66"/>
      <c r="K854" s="66"/>
      <c r="L854" s="66"/>
      <c r="M854" s="66"/>
      <c r="N854" s="64"/>
    </row>
    <row r="855" customFormat="false" ht="15" hidden="false" customHeight="false" outlineLevel="0" collapsed="false">
      <c r="A855" s="64"/>
      <c r="B855" s="64"/>
      <c r="C855" s="64"/>
      <c r="D855" s="65"/>
      <c r="E855" s="64"/>
      <c r="F855" s="66"/>
      <c r="G855" s="64"/>
      <c r="H855" s="64"/>
      <c r="I855" s="66"/>
      <c r="J855" s="66"/>
      <c r="K855" s="66"/>
      <c r="L855" s="66"/>
      <c r="M855" s="66"/>
      <c r="N855" s="64"/>
    </row>
    <row r="856" customFormat="false" ht="15" hidden="false" customHeight="false" outlineLevel="0" collapsed="false">
      <c r="A856" s="64"/>
      <c r="B856" s="64"/>
      <c r="C856" s="64"/>
      <c r="D856" s="65"/>
      <c r="E856" s="64"/>
      <c r="F856" s="66"/>
      <c r="G856" s="64"/>
      <c r="H856" s="64"/>
      <c r="I856" s="66"/>
      <c r="J856" s="66"/>
      <c r="K856" s="66"/>
      <c r="L856" s="66"/>
      <c r="M856" s="66"/>
      <c r="N856" s="64"/>
    </row>
    <row r="857" customFormat="false" ht="15" hidden="false" customHeight="false" outlineLevel="0" collapsed="false">
      <c r="A857" s="64"/>
      <c r="B857" s="64"/>
      <c r="C857" s="64"/>
      <c r="D857" s="65"/>
      <c r="E857" s="64"/>
      <c r="F857" s="66"/>
      <c r="G857" s="64"/>
      <c r="H857" s="64"/>
      <c r="I857" s="66"/>
      <c r="J857" s="66"/>
      <c r="K857" s="66"/>
      <c r="L857" s="66"/>
      <c r="M857" s="66"/>
      <c r="N857" s="64"/>
    </row>
    <row r="858" customFormat="false" ht="15" hidden="false" customHeight="false" outlineLevel="0" collapsed="false">
      <c r="A858" s="64"/>
      <c r="B858" s="64"/>
      <c r="C858" s="64"/>
      <c r="D858" s="65"/>
      <c r="E858" s="64"/>
      <c r="F858" s="66"/>
      <c r="G858" s="64"/>
      <c r="H858" s="64"/>
      <c r="I858" s="66"/>
      <c r="J858" s="66"/>
      <c r="K858" s="66"/>
      <c r="L858" s="66"/>
      <c r="M858" s="66"/>
      <c r="N858" s="64"/>
    </row>
    <row r="859" customFormat="false" ht="15" hidden="false" customHeight="false" outlineLevel="0" collapsed="false">
      <c r="A859" s="64"/>
      <c r="B859" s="64"/>
      <c r="C859" s="64"/>
      <c r="D859" s="65"/>
      <c r="E859" s="64"/>
      <c r="F859" s="66"/>
      <c r="G859" s="64"/>
      <c r="H859" s="64"/>
      <c r="I859" s="66"/>
      <c r="J859" s="66"/>
      <c r="K859" s="66"/>
      <c r="L859" s="66"/>
      <c r="M859" s="66"/>
      <c r="N859" s="64"/>
    </row>
    <row r="860" customFormat="false" ht="15" hidden="false" customHeight="false" outlineLevel="0" collapsed="false">
      <c r="A860" s="64"/>
      <c r="B860" s="64"/>
      <c r="C860" s="64"/>
      <c r="D860" s="65"/>
      <c r="E860" s="64"/>
      <c r="F860" s="66"/>
      <c r="G860" s="64"/>
      <c r="H860" s="64"/>
      <c r="I860" s="66"/>
      <c r="J860" s="66"/>
      <c r="K860" s="66"/>
      <c r="L860" s="66"/>
      <c r="M860" s="66"/>
      <c r="N860" s="64"/>
    </row>
    <row r="861" customFormat="false" ht="15" hidden="false" customHeight="false" outlineLevel="0" collapsed="false">
      <c r="A861" s="64"/>
      <c r="B861" s="64"/>
      <c r="C861" s="64"/>
      <c r="D861" s="65"/>
      <c r="E861" s="64"/>
      <c r="F861" s="66"/>
      <c r="G861" s="64"/>
      <c r="H861" s="64"/>
      <c r="I861" s="66"/>
      <c r="J861" s="66"/>
      <c r="K861" s="66"/>
      <c r="L861" s="66"/>
      <c r="M861" s="66"/>
      <c r="N861" s="64"/>
    </row>
    <row r="862" customFormat="false" ht="15" hidden="false" customHeight="false" outlineLevel="0" collapsed="false">
      <c r="A862" s="64"/>
      <c r="B862" s="64"/>
      <c r="C862" s="64"/>
      <c r="D862" s="65"/>
      <c r="E862" s="64"/>
      <c r="F862" s="66"/>
      <c r="G862" s="64"/>
      <c r="H862" s="64"/>
      <c r="I862" s="66"/>
      <c r="J862" s="66"/>
      <c r="K862" s="66"/>
      <c r="L862" s="66"/>
      <c r="M862" s="66"/>
      <c r="N862" s="64"/>
    </row>
    <row r="863" customFormat="false" ht="15" hidden="false" customHeight="false" outlineLevel="0" collapsed="false">
      <c r="A863" s="64"/>
      <c r="B863" s="64"/>
      <c r="C863" s="64"/>
      <c r="D863" s="65"/>
      <c r="E863" s="64"/>
      <c r="F863" s="66"/>
      <c r="G863" s="64"/>
      <c r="H863" s="64"/>
      <c r="I863" s="66"/>
      <c r="J863" s="66"/>
      <c r="K863" s="66"/>
      <c r="L863" s="66"/>
      <c r="M863" s="66"/>
      <c r="N863" s="64"/>
    </row>
    <row r="864" customFormat="false" ht="15" hidden="false" customHeight="false" outlineLevel="0" collapsed="false">
      <c r="A864" s="64"/>
      <c r="B864" s="64"/>
      <c r="C864" s="64"/>
      <c r="D864" s="65"/>
      <c r="E864" s="64"/>
      <c r="F864" s="66"/>
      <c r="G864" s="64"/>
      <c r="H864" s="64"/>
      <c r="I864" s="66"/>
      <c r="J864" s="66"/>
      <c r="K864" s="66"/>
      <c r="L864" s="66"/>
      <c r="M864" s="66"/>
      <c r="N864" s="64"/>
    </row>
    <row r="865" customFormat="false" ht="15" hidden="false" customHeight="false" outlineLevel="0" collapsed="false">
      <c r="A865" s="64"/>
      <c r="B865" s="64"/>
      <c r="C865" s="64"/>
      <c r="D865" s="65"/>
      <c r="E865" s="64"/>
      <c r="F865" s="66"/>
      <c r="G865" s="64"/>
      <c r="H865" s="64"/>
      <c r="I865" s="66"/>
      <c r="J865" s="66"/>
      <c r="K865" s="66"/>
      <c r="L865" s="66"/>
      <c r="M865" s="66"/>
      <c r="N865" s="64"/>
    </row>
    <row r="866" customFormat="false" ht="15" hidden="false" customHeight="false" outlineLevel="0" collapsed="false">
      <c r="A866" s="64"/>
      <c r="B866" s="64"/>
      <c r="C866" s="64"/>
      <c r="D866" s="65"/>
      <c r="E866" s="64"/>
      <c r="F866" s="66"/>
      <c r="G866" s="64"/>
      <c r="H866" s="64"/>
      <c r="I866" s="66"/>
      <c r="J866" s="66"/>
      <c r="K866" s="66"/>
      <c r="L866" s="66"/>
      <c r="M866" s="66"/>
      <c r="N866" s="64"/>
    </row>
    <row r="867" customFormat="false" ht="15" hidden="false" customHeight="false" outlineLevel="0" collapsed="false">
      <c r="A867" s="64"/>
      <c r="B867" s="64"/>
      <c r="C867" s="64"/>
      <c r="D867" s="65"/>
      <c r="E867" s="64"/>
      <c r="F867" s="66"/>
      <c r="G867" s="64"/>
      <c r="H867" s="64"/>
      <c r="I867" s="66"/>
      <c r="J867" s="66"/>
      <c r="K867" s="66"/>
      <c r="L867" s="66"/>
      <c r="M867" s="66"/>
      <c r="N867" s="64"/>
    </row>
    <row r="868" customFormat="false" ht="15" hidden="false" customHeight="false" outlineLevel="0" collapsed="false">
      <c r="A868" s="64"/>
      <c r="B868" s="64"/>
      <c r="C868" s="64"/>
      <c r="D868" s="65"/>
      <c r="E868" s="64"/>
      <c r="F868" s="66"/>
      <c r="G868" s="64"/>
      <c r="H868" s="64"/>
      <c r="I868" s="66"/>
      <c r="J868" s="66"/>
      <c r="K868" s="66"/>
      <c r="L868" s="66"/>
      <c r="M868" s="66"/>
      <c r="N868" s="64"/>
    </row>
    <row r="869" customFormat="false" ht="15" hidden="false" customHeight="false" outlineLevel="0" collapsed="false">
      <c r="A869" s="64"/>
      <c r="B869" s="64"/>
      <c r="C869" s="64"/>
      <c r="D869" s="65"/>
      <c r="E869" s="64"/>
      <c r="F869" s="66"/>
      <c r="G869" s="64"/>
      <c r="H869" s="64"/>
      <c r="I869" s="66"/>
      <c r="J869" s="66"/>
      <c r="K869" s="66"/>
      <c r="L869" s="66"/>
      <c r="M869" s="66"/>
      <c r="N869" s="64"/>
    </row>
    <row r="870" customFormat="false" ht="15" hidden="false" customHeight="false" outlineLevel="0" collapsed="false">
      <c r="A870" s="64"/>
      <c r="B870" s="64"/>
      <c r="C870" s="64"/>
      <c r="D870" s="65"/>
      <c r="E870" s="64"/>
      <c r="F870" s="66"/>
      <c r="G870" s="64"/>
      <c r="H870" s="64"/>
      <c r="I870" s="66"/>
      <c r="J870" s="66"/>
      <c r="K870" s="66"/>
      <c r="L870" s="66"/>
      <c r="M870" s="66"/>
      <c r="N870" s="64"/>
    </row>
    <row r="871" customFormat="false" ht="15" hidden="false" customHeight="false" outlineLevel="0" collapsed="false">
      <c r="A871" s="64"/>
      <c r="B871" s="64"/>
      <c r="C871" s="64"/>
      <c r="D871" s="65"/>
      <c r="E871" s="64"/>
      <c r="F871" s="66"/>
      <c r="G871" s="64"/>
      <c r="H871" s="64"/>
      <c r="I871" s="66"/>
      <c r="J871" s="66"/>
      <c r="K871" s="66"/>
      <c r="L871" s="66"/>
      <c r="M871" s="66"/>
      <c r="N871" s="64"/>
    </row>
    <row r="872" customFormat="false" ht="15" hidden="false" customHeight="false" outlineLevel="0" collapsed="false">
      <c r="A872" s="64"/>
      <c r="B872" s="64"/>
      <c r="C872" s="64"/>
      <c r="D872" s="65"/>
      <c r="E872" s="64"/>
      <c r="F872" s="66"/>
      <c r="G872" s="64"/>
      <c r="H872" s="64"/>
      <c r="I872" s="66"/>
      <c r="J872" s="66"/>
      <c r="K872" s="66"/>
      <c r="L872" s="66"/>
      <c r="M872" s="66"/>
      <c r="N872" s="64"/>
    </row>
    <row r="873" customFormat="false" ht="15" hidden="false" customHeight="false" outlineLevel="0" collapsed="false">
      <c r="A873" s="64"/>
      <c r="B873" s="64"/>
      <c r="C873" s="64"/>
      <c r="D873" s="65"/>
      <c r="E873" s="64"/>
      <c r="F873" s="66"/>
      <c r="G873" s="64"/>
      <c r="H873" s="64"/>
      <c r="I873" s="66"/>
      <c r="J873" s="66"/>
      <c r="K873" s="66"/>
      <c r="L873" s="66"/>
      <c r="M873" s="66"/>
      <c r="N873" s="64"/>
    </row>
    <row r="874" customFormat="false" ht="15" hidden="false" customHeight="false" outlineLevel="0" collapsed="false">
      <c r="A874" s="64"/>
      <c r="B874" s="64"/>
      <c r="C874" s="64"/>
      <c r="D874" s="65"/>
      <c r="E874" s="64"/>
      <c r="F874" s="66"/>
      <c r="G874" s="64"/>
      <c r="H874" s="64"/>
      <c r="I874" s="66"/>
      <c r="J874" s="66"/>
      <c r="K874" s="66"/>
      <c r="L874" s="66"/>
      <c r="M874" s="66"/>
      <c r="N874" s="64"/>
    </row>
    <row r="875" customFormat="false" ht="15" hidden="false" customHeight="false" outlineLevel="0" collapsed="false">
      <c r="A875" s="64"/>
      <c r="B875" s="64"/>
      <c r="C875" s="64"/>
      <c r="D875" s="65"/>
      <c r="E875" s="64"/>
      <c r="F875" s="66"/>
      <c r="G875" s="64"/>
      <c r="H875" s="64"/>
      <c r="I875" s="66"/>
      <c r="J875" s="66"/>
      <c r="K875" s="66"/>
      <c r="L875" s="66"/>
      <c r="M875" s="66"/>
      <c r="N875" s="64"/>
    </row>
    <row r="876" customFormat="false" ht="15" hidden="false" customHeight="false" outlineLevel="0" collapsed="false">
      <c r="A876" s="64"/>
      <c r="B876" s="64"/>
      <c r="C876" s="64"/>
      <c r="D876" s="65"/>
      <c r="E876" s="64"/>
      <c r="F876" s="66"/>
      <c r="G876" s="64"/>
      <c r="H876" s="64"/>
      <c r="I876" s="66"/>
      <c r="J876" s="66"/>
      <c r="K876" s="66"/>
      <c r="L876" s="66"/>
      <c r="M876" s="66"/>
      <c r="N876" s="64"/>
    </row>
    <row r="877" customFormat="false" ht="15" hidden="false" customHeight="false" outlineLevel="0" collapsed="false">
      <c r="A877" s="64"/>
      <c r="B877" s="64"/>
      <c r="C877" s="64"/>
      <c r="D877" s="65"/>
      <c r="E877" s="64"/>
      <c r="F877" s="66"/>
      <c r="G877" s="64"/>
      <c r="H877" s="64"/>
      <c r="I877" s="66"/>
      <c r="J877" s="66"/>
      <c r="K877" s="66"/>
      <c r="L877" s="66"/>
      <c r="M877" s="66"/>
      <c r="N877" s="64"/>
    </row>
    <row r="878" customFormat="false" ht="15" hidden="false" customHeight="false" outlineLevel="0" collapsed="false">
      <c r="A878" s="64"/>
      <c r="B878" s="64"/>
      <c r="C878" s="64"/>
      <c r="D878" s="65"/>
      <c r="E878" s="64"/>
      <c r="F878" s="66"/>
      <c r="G878" s="64"/>
      <c r="H878" s="64"/>
      <c r="I878" s="66"/>
      <c r="J878" s="66"/>
      <c r="K878" s="66"/>
      <c r="L878" s="66"/>
      <c r="M878" s="66"/>
      <c r="N878" s="64"/>
    </row>
    <row r="879" customFormat="false" ht="15" hidden="false" customHeight="false" outlineLevel="0" collapsed="false">
      <c r="A879" s="64"/>
      <c r="B879" s="64"/>
      <c r="C879" s="64"/>
      <c r="D879" s="65"/>
      <c r="E879" s="64"/>
      <c r="F879" s="66"/>
      <c r="G879" s="64"/>
      <c r="H879" s="64"/>
      <c r="I879" s="66"/>
      <c r="J879" s="66"/>
      <c r="K879" s="66"/>
      <c r="L879" s="66"/>
      <c r="M879" s="66"/>
      <c r="N879" s="64"/>
    </row>
    <row r="880" customFormat="false" ht="15" hidden="false" customHeight="false" outlineLevel="0" collapsed="false">
      <c r="A880" s="64"/>
      <c r="B880" s="64"/>
      <c r="C880" s="64"/>
      <c r="D880" s="65"/>
      <c r="E880" s="64"/>
      <c r="F880" s="66"/>
      <c r="G880" s="64"/>
      <c r="H880" s="64"/>
      <c r="I880" s="66"/>
      <c r="J880" s="66"/>
      <c r="K880" s="66"/>
      <c r="L880" s="66"/>
      <c r="M880" s="66"/>
      <c r="N880" s="64"/>
    </row>
    <row r="881" customFormat="false" ht="15" hidden="false" customHeight="false" outlineLevel="0" collapsed="false">
      <c r="A881" s="64"/>
      <c r="B881" s="64"/>
      <c r="C881" s="64"/>
      <c r="D881" s="65"/>
      <c r="E881" s="64"/>
      <c r="F881" s="66"/>
      <c r="G881" s="64"/>
      <c r="H881" s="64"/>
      <c r="I881" s="66"/>
      <c r="J881" s="66"/>
      <c r="K881" s="66"/>
      <c r="L881" s="66"/>
      <c r="M881" s="66"/>
      <c r="N881" s="64"/>
    </row>
    <row r="882" customFormat="false" ht="15" hidden="false" customHeight="false" outlineLevel="0" collapsed="false">
      <c r="A882" s="64"/>
      <c r="B882" s="64"/>
      <c r="C882" s="64"/>
      <c r="D882" s="65"/>
      <c r="E882" s="64"/>
      <c r="F882" s="66"/>
      <c r="G882" s="64"/>
      <c r="H882" s="64"/>
      <c r="I882" s="66"/>
      <c r="J882" s="66"/>
      <c r="K882" s="66"/>
      <c r="L882" s="66"/>
      <c r="M882" s="66"/>
      <c r="N882" s="64"/>
    </row>
    <row r="883" customFormat="false" ht="15" hidden="false" customHeight="false" outlineLevel="0" collapsed="false">
      <c r="A883" s="64"/>
      <c r="B883" s="64"/>
      <c r="C883" s="64"/>
      <c r="D883" s="65"/>
      <c r="E883" s="64"/>
      <c r="F883" s="66"/>
      <c r="G883" s="64"/>
      <c r="H883" s="64"/>
      <c r="I883" s="66"/>
      <c r="J883" s="66"/>
      <c r="K883" s="66"/>
      <c r="L883" s="66"/>
      <c r="M883" s="66"/>
      <c r="N883" s="64"/>
    </row>
    <row r="884" customFormat="false" ht="15" hidden="false" customHeight="false" outlineLevel="0" collapsed="false">
      <c r="A884" s="64"/>
      <c r="B884" s="64"/>
      <c r="C884" s="64"/>
      <c r="D884" s="65"/>
      <c r="E884" s="64"/>
      <c r="F884" s="66"/>
      <c r="G884" s="64"/>
      <c r="H884" s="64"/>
      <c r="I884" s="66"/>
      <c r="J884" s="66"/>
      <c r="K884" s="66"/>
      <c r="L884" s="66"/>
      <c r="M884" s="66"/>
      <c r="N884" s="64"/>
    </row>
    <row r="885" customFormat="false" ht="15" hidden="false" customHeight="false" outlineLevel="0" collapsed="false">
      <c r="A885" s="64"/>
      <c r="B885" s="64"/>
      <c r="C885" s="64"/>
      <c r="D885" s="65"/>
      <c r="E885" s="64"/>
      <c r="F885" s="66"/>
      <c r="G885" s="64"/>
      <c r="H885" s="64"/>
      <c r="I885" s="66"/>
      <c r="J885" s="66"/>
      <c r="K885" s="66"/>
      <c r="L885" s="66"/>
      <c r="M885" s="66"/>
      <c r="N885" s="64"/>
    </row>
    <row r="886" customFormat="false" ht="15" hidden="false" customHeight="false" outlineLevel="0" collapsed="false">
      <c r="A886" s="64"/>
      <c r="B886" s="64"/>
      <c r="C886" s="64"/>
      <c r="D886" s="65"/>
      <c r="E886" s="64"/>
      <c r="F886" s="66"/>
      <c r="G886" s="64"/>
      <c r="H886" s="64"/>
      <c r="I886" s="66"/>
      <c r="J886" s="66"/>
      <c r="K886" s="66"/>
      <c r="L886" s="66"/>
      <c r="M886" s="66"/>
      <c r="N886" s="64"/>
    </row>
    <row r="887" customFormat="false" ht="15" hidden="false" customHeight="false" outlineLevel="0" collapsed="false">
      <c r="A887" s="64"/>
      <c r="B887" s="64"/>
      <c r="C887" s="64"/>
      <c r="D887" s="65"/>
      <c r="E887" s="64"/>
      <c r="F887" s="66"/>
      <c r="G887" s="64"/>
      <c r="H887" s="64"/>
      <c r="I887" s="66"/>
      <c r="J887" s="66"/>
      <c r="K887" s="66"/>
      <c r="L887" s="66"/>
      <c r="M887" s="66"/>
      <c r="N887" s="64"/>
    </row>
    <row r="888" customFormat="false" ht="15" hidden="false" customHeight="false" outlineLevel="0" collapsed="false">
      <c r="A888" s="64"/>
      <c r="B888" s="64"/>
      <c r="C888" s="64"/>
      <c r="D888" s="65"/>
      <c r="E888" s="64"/>
      <c r="F888" s="66"/>
      <c r="G888" s="64"/>
      <c r="H888" s="64"/>
      <c r="I888" s="66"/>
      <c r="J888" s="66"/>
      <c r="K888" s="66"/>
      <c r="L888" s="66"/>
      <c r="M888" s="66"/>
      <c r="N888" s="64"/>
    </row>
    <row r="889" customFormat="false" ht="15" hidden="false" customHeight="false" outlineLevel="0" collapsed="false">
      <c r="A889" s="64"/>
      <c r="B889" s="64"/>
      <c r="C889" s="64"/>
      <c r="D889" s="65"/>
      <c r="E889" s="64"/>
      <c r="F889" s="66"/>
      <c r="G889" s="64"/>
      <c r="H889" s="64"/>
      <c r="I889" s="66"/>
      <c r="J889" s="66"/>
      <c r="K889" s="66"/>
      <c r="L889" s="66"/>
      <c r="M889" s="66"/>
      <c r="N889" s="64"/>
    </row>
    <row r="890" customFormat="false" ht="15" hidden="false" customHeight="false" outlineLevel="0" collapsed="false">
      <c r="A890" s="64"/>
      <c r="B890" s="64"/>
      <c r="C890" s="64"/>
      <c r="D890" s="65"/>
      <c r="E890" s="64"/>
      <c r="F890" s="66"/>
      <c r="G890" s="64"/>
      <c r="H890" s="64"/>
      <c r="I890" s="66"/>
      <c r="J890" s="66"/>
      <c r="K890" s="66"/>
      <c r="L890" s="66"/>
      <c r="M890" s="66"/>
      <c r="N890" s="64"/>
    </row>
    <row r="891" customFormat="false" ht="15" hidden="false" customHeight="false" outlineLevel="0" collapsed="false">
      <c r="A891" s="64"/>
      <c r="B891" s="64"/>
      <c r="C891" s="64"/>
      <c r="D891" s="65"/>
      <c r="E891" s="64"/>
      <c r="F891" s="66"/>
      <c r="G891" s="64"/>
      <c r="H891" s="64"/>
      <c r="I891" s="66"/>
      <c r="J891" s="66"/>
      <c r="K891" s="66"/>
      <c r="L891" s="66"/>
      <c r="M891" s="66"/>
      <c r="N891" s="64"/>
    </row>
    <row r="892" customFormat="false" ht="15" hidden="false" customHeight="false" outlineLevel="0" collapsed="false">
      <c r="A892" s="64"/>
      <c r="B892" s="64"/>
      <c r="C892" s="64"/>
      <c r="D892" s="65"/>
      <c r="E892" s="64"/>
      <c r="F892" s="66"/>
      <c r="G892" s="64"/>
      <c r="H892" s="64"/>
      <c r="I892" s="66"/>
      <c r="J892" s="66"/>
      <c r="K892" s="66"/>
      <c r="L892" s="66"/>
      <c r="M892" s="66"/>
      <c r="N892" s="64"/>
    </row>
    <row r="893" customFormat="false" ht="15" hidden="false" customHeight="false" outlineLevel="0" collapsed="false">
      <c r="A893" s="64"/>
      <c r="B893" s="64"/>
      <c r="C893" s="64"/>
      <c r="D893" s="65"/>
      <c r="E893" s="64"/>
      <c r="F893" s="66"/>
      <c r="G893" s="64"/>
      <c r="H893" s="64"/>
      <c r="I893" s="66"/>
      <c r="J893" s="66"/>
      <c r="K893" s="66"/>
      <c r="L893" s="66"/>
      <c r="M893" s="66"/>
      <c r="N893" s="64"/>
    </row>
    <row r="894" customFormat="false" ht="15" hidden="false" customHeight="false" outlineLevel="0" collapsed="false">
      <c r="A894" s="64"/>
      <c r="B894" s="64"/>
      <c r="C894" s="64"/>
      <c r="D894" s="65"/>
      <c r="E894" s="64"/>
      <c r="F894" s="66"/>
      <c r="G894" s="64"/>
      <c r="H894" s="64"/>
      <c r="I894" s="66"/>
      <c r="J894" s="66"/>
      <c r="K894" s="66"/>
      <c r="L894" s="66"/>
      <c r="M894" s="66"/>
      <c r="N894" s="64"/>
    </row>
    <row r="895" customFormat="false" ht="15" hidden="false" customHeight="false" outlineLevel="0" collapsed="false">
      <c r="A895" s="64"/>
      <c r="B895" s="64"/>
      <c r="C895" s="64"/>
      <c r="D895" s="65"/>
      <c r="E895" s="64"/>
      <c r="F895" s="66"/>
      <c r="G895" s="64"/>
      <c r="H895" s="64"/>
      <c r="I895" s="66"/>
      <c r="J895" s="66"/>
      <c r="K895" s="66"/>
      <c r="L895" s="66"/>
      <c r="M895" s="66"/>
      <c r="N895" s="64"/>
    </row>
    <row r="896" customFormat="false" ht="15" hidden="false" customHeight="false" outlineLevel="0" collapsed="false">
      <c r="A896" s="64"/>
      <c r="B896" s="64"/>
      <c r="C896" s="64"/>
      <c r="D896" s="65"/>
      <c r="E896" s="64"/>
      <c r="F896" s="66"/>
      <c r="G896" s="64"/>
      <c r="H896" s="64"/>
      <c r="I896" s="66"/>
      <c r="J896" s="66"/>
      <c r="K896" s="66"/>
      <c r="L896" s="66"/>
      <c r="M896" s="66"/>
      <c r="N896" s="64"/>
    </row>
    <row r="897" customFormat="false" ht="15" hidden="false" customHeight="false" outlineLevel="0" collapsed="false">
      <c r="A897" s="64"/>
      <c r="B897" s="64"/>
      <c r="C897" s="64"/>
      <c r="D897" s="65"/>
      <c r="E897" s="64"/>
      <c r="F897" s="66"/>
      <c r="G897" s="64"/>
      <c r="H897" s="64"/>
      <c r="I897" s="66"/>
      <c r="J897" s="66"/>
      <c r="K897" s="66"/>
      <c r="L897" s="66"/>
      <c r="M897" s="66"/>
      <c r="N897" s="64"/>
    </row>
    <row r="898" customFormat="false" ht="15" hidden="false" customHeight="false" outlineLevel="0" collapsed="false">
      <c r="A898" s="64"/>
      <c r="B898" s="64"/>
      <c r="C898" s="64"/>
      <c r="D898" s="65"/>
      <c r="E898" s="64"/>
      <c r="F898" s="66"/>
      <c r="G898" s="64"/>
      <c r="H898" s="64"/>
      <c r="I898" s="66"/>
      <c r="J898" s="66"/>
      <c r="K898" s="66"/>
      <c r="L898" s="66"/>
      <c r="M898" s="66"/>
      <c r="N898" s="64"/>
    </row>
    <row r="899" customFormat="false" ht="15" hidden="false" customHeight="false" outlineLevel="0" collapsed="false">
      <c r="A899" s="64"/>
      <c r="B899" s="64"/>
      <c r="C899" s="64"/>
      <c r="D899" s="65"/>
      <c r="E899" s="64"/>
      <c r="F899" s="66"/>
      <c r="G899" s="64"/>
      <c r="H899" s="64"/>
      <c r="I899" s="66"/>
      <c r="J899" s="66"/>
      <c r="K899" s="66"/>
      <c r="L899" s="66"/>
      <c r="M899" s="66"/>
      <c r="N899" s="64"/>
    </row>
    <row r="900" customFormat="false" ht="15" hidden="false" customHeight="false" outlineLevel="0" collapsed="false">
      <c r="A900" s="64"/>
      <c r="B900" s="64"/>
      <c r="C900" s="64"/>
      <c r="D900" s="65"/>
      <c r="E900" s="64"/>
      <c r="F900" s="66"/>
      <c r="G900" s="64"/>
      <c r="H900" s="64"/>
      <c r="I900" s="66"/>
      <c r="J900" s="66"/>
      <c r="K900" s="66"/>
      <c r="L900" s="66"/>
      <c r="M900" s="66"/>
      <c r="N900" s="64"/>
    </row>
    <row r="901" customFormat="false" ht="15" hidden="false" customHeight="false" outlineLevel="0" collapsed="false">
      <c r="A901" s="64"/>
      <c r="B901" s="64"/>
      <c r="C901" s="64"/>
      <c r="D901" s="65"/>
      <c r="E901" s="64"/>
      <c r="F901" s="66"/>
      <c r="G901" s="64"/>
      <c r="H901" s="64"/>
      <c r="I901" s="66"/>
      <c r="J901" s="66"/>
      <c r="K901" s="66"/>
      <c r="L901" s="66"/>
      <c r="M901" s="66"/>
      <c r="N901" s="64"/>
    </row>
    <row r="902" customFormat="false" ht="15" hidden="false" customHeight="false" outlineLevel="0" collapsed="false">
      <c r="A902" s="64"/>
      <c r="B902" s="64"/>
      <c r="C902" s="64"/>
      <c r="D902" s="65"/>
      <c r="E902" s="64"/>
      <c r="F902" s="66"/>
      <c r="G902" s="64"/>
      <c r="H902" s="64"/>
      <c r="I902" s="66"/>
      <c r="J902" s="66"/>
      <c r="K902" s="66"/>
      <c r="L902" s="66"/>
      <c r="M902" s="66"/>
      <c r="N902" s="64"/>
    </row>
    <row r="903" customFormat="false" ht="15" hidden="false" customHeight="false" outlineLevel="0" collapsed="false">
      <c r="A903" s="64"/>
      <c r="B903" s="64"/>
      <c r="C903" s="64"/>
      <c r="D903" s="65"/>
      <c r="E903" s="64"/>
      <c r="F903" s="66"/>
      <c r="G903" s="64"/>
      <c r="H903" s="64"/>
      <c r="I903" s="66"/>
      <c r="J903" s="66"/>
      <c r="K903" s="66"/>
      <c r="L903" s="66"/>
      <c r="M903" s="66"/>
      <c r="N903" s="64"/>
    </row>
    <row r="904" customFormat="false" ht="15" hidden="false" customHeight="false" outlineLevel="0" collapsed="false">
      <c r="A904" s="64"/>
      <c r="B904" s="64"/>
      <c r="C904" s="64"/>
      <c r="D904" s="65"/>
      <c r="E904" s="64"/>
      <c r="F904" s="66"/>
      <c r="G904" s="64"/>
      <c r="H904" s="64"/>
      <c r="I904" s="66"/>
      <c r="J904" s="66"/>
      <c r="K904" s="66"/>
      <c r="L904" s="66"/>
      <c r="M904" s="66"/>
      <c r="N904" s="64"/>
    </row>
    <row r="905" customFormat="false" ht="15" hidden="false" customHeight="false" outlineLevel="0" collapsed="false">
      <c r="A905" s="64"/>
      <c r="B905" s="64"/>
      <c r="C905" s="64"/>
      <c r="D905" s="65"/>
      <c r="E905" s="64"/>
      <c r="F905" s="66"/>
      <c r="G905" s="64"/>
      <c r="H905" s="64"/>
      <c r="I905" s="66"/>
      <c r="J905" s="66"/>
      <c r="K905" s="66"/>
      <c r="L905" s="66"/>
      <c r="M905" s="66"/>
      <c r="N905" s="64"/>
    </row>
    <row r="906" customFormat="false" ht="15" hidden="false" customHeight="false" outlineLevel="0" collapsed="false">
      <c r="A906" s="64"/>
      <c r="B906" s="64"/>
      <c r="C906" s="64"/>
      <c r="D906" s="65"/>
      <c r="E906" s="64"/>
      <c r="F906" s="66"/>
      <c r="G906" s="64"/>
      <c r="H906" s="64"/>
      <c r="I906" s="66"/>
      <c r="J906" s="66"/>
      <c r="K906" s="66"/>
      <c r="L906" s="66"/>
      <c r="M906" s="66"/>
      <c r="N906" s="64"/>
    </row>
    <row r="907" customFormat="false" ht="15" hidden="false" customHeight="false" outlineLevel="0" collapsed="false">
      <c r="A907" s="64"/>
      <c r="B907" s="64"/>
      <c r="C907" s="64"/>
      <c r="D907" s="65"/>
      <c r="E907" s="64"/>
      <c r="F907" s="66"/>
      <c r="G907" s="64"/>
      <c r="H907" s="64"/>
      <c r="I907" s="66"/>
      <c r="J907" s="66"/>
      <c r="K907" s="66"/>
      <c r="L907" s="66"/>
      <c r="M907" s="66"/>
      <c r="N907" s="64"/>
    </row>
    <row r="908" customFormat="false" ht="15" hidden="false" customHeight="false" outlineLevel="0" collapsed="false">
      <c r="A908" s="64"/>
      <c r="B908" s="64"/>
      <c r="C908" s="64"/>
      <c r="D908" s="65"/>
      <c r="E908" s="64"/>
      <c r="F908" s="66"/>
      <c r="G908" s="64"/>
      <c r="H908" s="64"/>
      <c r="I908" s="66"/>
      <c r="J908" s="66"/>
      <c r="K908" s="66"/>
      <c r="L908" s="66"/>
      <c r="M908" s="66"/>
      <c r="N908" s="64"/>
    </row>
    <row r="909" customFormat="false" ht="15" hidden="false" customHeight="false" outlineLevel="0" collapsed="false">
      <c r="A909" s="64"/>
      <c r="B909" s="64"/>
      <c r="C909" s="64"/>
      <c r="D909" s="65"/>
      <c r="E909" s="64"/>
      <c r="F909" s="66"/>
      <c r="G909" s="64"/>
      <c r="H909" s="64"/>
      <c r="I909" s="66"/>
      <c r="J909" s="66"/>
      <c r="K909" s="66"/>
      <c r="L909" s="66"/>
      <c r="M909" s="66"/>
      <c r="N909" s="64"/>
    </row>
    <row r="910" customFormat="false" ht="15" hidden="false" customHeight="false" outlineLevel="0" collapsed="false">
      <c r="A910" s="64"/>
      <c r="B910" s="64"/>
      <c r="C910" s="64"/>
      <c r="D910" s="65"/>
      <c r="E910" s="64"/>
      <c r="F910" s="66"/>
      <c r="G910" s="64"/>
      <c r="H910" s="64"/>
      <c r="I910" s="66"/>
      <c r="J910" s="66"/>
      <c r="K910" s="66"/>
      <c r="L910" s="66"/>
      <c r="M910" s="66"/>
      <c r="N910" s="64"/>
    </row>
    <row r="911" customFormat="false" ht="15" hidden="false" customHeight="false" outlineLevel="0" collapsed="false">
      <c r="A911" s="64"/>
      <c r="B911" s="64"/>
      <c r="C911" s="64"/>
      <c r="D911" s="65"/>
      <c r="E911" s="64"/>
      <c r="F911" s="66"/>
      <c r="G911" s="64"/>
      <c r="H911" s="64"/>
      <c r="I911" s="66"/>
      <c r="J911" s="66"/>
      <c r="K911" s="66"/>
      <c r="L911" s="66"/>
      <c r="M911" s="66"/>
      <c r="N911" s="64"/>
    </row>
    <row r="912" customFormat="false" ht="15" hidden="false" customHeight="false" outlineLevel="0" collapsed="false">
      <c r="A912" s="64"/>
      <c r="B912" s="64"/>
      <c r="C912" s="64"/>
      <c r="D912" s="65"/>
      <c r="E912" s="64"/>
      <c r="F912" s="66"/>
      <c r="G912" s="64"/>
      <c r="H912" s="64"/>
      <c r="I912" s="66"/>
      <c r="J912" s="66"/>
      <c r="K912" s="66"/>
      <c r="L912" s="66"/>
      <c r="M912" s="66"/>
      <c r="N912" s="64"/>
    </row>
    <row r="913" customFormat="false" ht="15" hidden="false" customHeight="false" outlineLevel="0" collapsed="false">
      <c r="A913" s="64"/>
      <c r="B913" s="64"/>
      <c r="C913" s="64"/>
      <c r="D913" s="65"/>
      <c r="E913" s="64"/>
      <c r="F913" s="66"/>
      <c r="G913" s="64"/>
      <c r="H913" s="64"/>
      <c r="I913" s="66"/>
      <c r="J913" s="66"/>
      <c r="K913" s="66"/>
      <c r="L913" s="66"/>
      <c r="M913" s="66"/>
      <c r="N913" s="64"/>
    </row>
    <row r="914" customFormat="false" ht="15" hidden="false" customHeight="false" outlineLevel="0" collapsed="false">
      <c r="A914" s="64"/>
      <c r="B914" s="64"/>
      <c r="C914" s="64"/>
      <c r="D914" s="65"/>
      <c r="E914" s="64"/>
      <c r="F914" s="66"/>
      <c r="G914" s="64"/>
      <c r="H914" s="64"/>
      <c r="I914" s="66"/>
      <c r="J914" s="66"/>
      <c r="K914" s="66"/>
      <c r="L914" s="66"/>
      <c r="M914" s="66"/>
      <c r="N914" s="64"/>
    </row>
    <row r="915" customFormat="false" ht="15" hidden="false" customHeight="false" outlineLevel="0" collapsed="false">
      <c r="A915" s="64"/>
      <c r="B915" s="64"/>
      <c r="C915" s="64"/>
      <c r="D915" s="65"/>
      <c r="E915" s="64"/>
      <c r="F915" s="66"/>
      <c r="G915" s="64"/>
      <c r="H915" s="64"/>
      <c r="I915" s="66"/>
      <c r="J915" s="66"/>
      <c r="K915" s="66"/>
      <c r="L915" s="66"/>
      <c r="M915" s="66"/>
      <c r="N915" s="64"/>
    </row>
    <row r="916" customFormat="false" ht="15" hidden="false" customHeight="false" outlineLevel="0" collapsed="false">
      <c r="A916" s="64"/>
      <c r="B916" s="64"/>
      <c r="C916" s="64"/>
      <c r="D916" s="65"/>
      <c r="E916" s="64"/>
      <c r="F916" s="66"/>
      <c r="G916" s="64"/>
      <c r="H916" s="64"/>
      <c r="I916" s="66"/>
      <c r="J916" s="66"/>
      <c r="K916" s="66"/>
      <c r="L916" s="66"/>
      <c r="M916" s="66"/>
      <c r="N916" s="64"/>
    </row>
    <row r="917" customFormat="false" ht="15" hidden="false" customHeight="false" outlineLevel="0" collapsed="false">
      <c r="A917" s="64"/>
      <c r="B917" s="64"/>
      <c r="C917" s="64"/>
      <c r="D917" s="65"/>
      <c r="E917" s="64"/>
      <c r="F917" s="66"/>
      <c r="G917" s="64"/>
      <c r="H917" s="64"/>
      <c r="I917" s="66"/>
      <c r="J917" s="66"/>
      <c r="K917" s="66"/>
      <c r="L917" s="66"/>
      <c r="M917" s="66"/>
      <c r="N917" s="64"/>
    </row>
    <row r="918" customFormat="false" ht="15" hidden="false" customHeight="false" outlineLevel="0" collapsed="false">
      <c r="A918" s="64"/>
      <c r="B918" s="64"/>
      <c r="C918" s="64"/>
      <c r="D918" s="65"/>
      <c r="E918" s="64"/>
      <c r="F918" s="66"/>
      <c r="G918" s="64"/>
      <c r="H918" s="64"/>
      <c r="I918" s="66"/>
      <c r="J918" s="66"/>
      <c r="K918" s="66"/>
      <c r="L918" s="66"/>
      <c r="M918" s="66"/>
      <c r="N918" s="64"/>
    </row>
    <row r="919" customFormat="false" ht="15" hidden="false" customHeight="false" outlineLevel="0" collapsed="false">
      <c r="A919" s="64"/>
      <c r="B919" s="64"/>
      <c r="C919" s="64"/>
      <c r="D919" s="65"/>
      <c r="E919" s="64"/>
      <c r="F919" s="66"/>
      <c r="G919" s="64"/>
      <c r="H919" s="64"/>
      <c r="I919" s="66"/>
      <c r="J919" s="66"/>
      <c r="K919" s="66"/>
      <c r="L919" s="66"/>
      <c r="M919" s="66"/>
      <c r="N919" s="64"/>
    </row>
    <row r="920" customFormat="false" ht="15" hidden="false" customHeight="false" outlineLevel="0" collapsed="false">
      <c r="A920" s="64"/>
      <c r="B920" s="64"/>
      <c r="C920" s="64"/>
      <c r="D920" s="65"/>
      <c r="E920" s="64"/>
      <c r="F920" s="66"/>
      <c r="G920" s="64"/>
      <c r="H920" s="64"/>
      <c r="I920" s="66"/>
      <c r="J920" s="66"/>
      <c r="K920" s="66"/>
      <c r="L920" s="66"/>
      <c r="M920" s="66"/>
      <c r="N920" s="64"/>
    </row>
    <row r="921" customFormat="false" ht="15" hidden="false" customHeight="false" outlineLevel="0" collapsed="false">
      <c r="A921" s="64"/>
      <c r="B921" s="64"/>
      <c r="C921" s="64"/>
      <c r="D921" s="65"/>
      <c r="E921" s="64"/>
      <c r="F921" s="66"/>
      <c r="G921" s="64"/>
      <c r="H921" s="64"/>
      <c r="I921" s="66"/>
      <c r="J921" s="66"/>
      <c r="K921" s="66"/>
      <c r="L921" s="66"/>
      <c r="M921" s="66"/>
      <c r="N921" s="64"/>
    </row>
    <row r="922" customFormat="false" ht="15" hidden="false" customHeight="false" outlineLevel="0" collapsed="false">
      <c r="A922" s="64"/>
      <c r="B922" s="64"/>
      <c r="C922" s="64"/>
      <c r="D922" s="65"/>
      <c r="E922" s="64"/>
      <c r="F922" s="66"/>
      <c r="G922" s="64"/>
      <c r="H922" s="64"/>
      <c r="I922" s="66"/>
      <c r="J922" s="66"/>
      <c r="K922" s="66"/>
      <c r="L922" s="66"/>
      <c r="M922" s="66"/>
      <c r="N922" s="64"/>
    </row>
    <row r="923" customFormat="false" ht="15" hidden="false" customHeight="false" outlineLevel="0" collapsed="false">
      <c r="A923" s="64"/>
      <c r="B923" s="64"/>
      <c r="C923" s="64"/>
      <c r="D923" s="65"/>
      <c r="E923" s="64"/>
      <c r="F923" s="66"/>
      <c r="G923" s="64"/>
      <c r="H923" s="64"/>
      <c r="I923" s="66"/>
      <c r="J923" s="66"/>
      <c r="K923" s="66"/>
      <c r="L923" s="66"/>
      <c r="M923" s="66"/>
      <c r="N923" s="64"/>
    </row>
    <row r="924" customFormat="false" ht="15" hidden="false" customHeight="false" outlineLevel="0" collapsed="false">
      <c r="A924" s="64"/>
      <c r="B924" s="64"/>
      <c r="C924" s="64"/>
      <c r="D924" s="65"/>
      <c r="E924" s="64"/>
      <c r="F924" s="66"/>
      <c r="G924" s="64"/>
      <c r="H924" s="64"/>
      <c r="I924" s="66"/>
      <c r="J924" s="66"/>
      <c r="K924" s="66"/>
      <c r="L924" s="66"/>
      <c r="M924" s="66"/>
      <c r="N924" s="64"/>
    </row>
    <row r="925" customFormat="false" ht="15" hidden="false" customHeight="false" outlineLevel="0" collapsed="false">
      <c r="A925" s="64"/>
      <c r="B925" s="64"/>
      <c r="C925" s="64"/>
      <c r="D925" s="65"/>
      <c r="E925" s="64"/>
      <c r="F925" s="66"/>
      <c r="G925" s="64"/>
      <c r="H925" s="64"/>
      <c r="I925" s="66"/>
      <c r="J925" s="66"/>
      <c r="K925" s="66"/>
      <c r="L925" s="66"/>
      <c r="M925" s="66"/>
      <c r="N925" s="64"/>
    </row>
    <row r="926" customFormat="false" ht="15" hidden="false" customHeight="false" outlineLevel="0" collapsed="false">
      <c r="A926" s="64"/>
      <c r="B926" s="64"/>
      <c r="C926" s="64"/>
      <c r="D926" s="65"/>
      <c r="E926" s="64"/>
      <c r="F926" s="66"/>
      <c r="G926" s="64"/>
      <c r="H926" s="64"/>
      <c r="I926" s="66"/>
      <c r="J926" s="66"/>
      <c r="K926" s="66"/>
      <c r="L926" s="66"/>
      <c r="M926" s="66"/>
      <c r="N926" s="64"/>
    </row>
    <row r="927" customFormat="false" ht="15" hidden="false" customHeight="false" outlineLevel="0" collapsed="false">
      <c r="A927" s="64"/>
      <c r="B927" s="64"/>
      <c r="C927" s="64"/>
      <c r="D927" s="65"/>
      <c r="E927" s="64"/>
      <c r="F927" s="66"/>
      <c r="G927" s="64"/>
      <c r="H927" s="64"/>
      <c r="I927" s="66"/>
      <c r="J927" s="66"/>
      <c r="K927" s="66"/>
      <c r="L927" s="66"/>
      <c r="M927" s="66"/>
      <c r="N927" s="64"/>
    </row>
    <row r="928" customFormat="false" ht="15" hidden="false" customHeight="false" outlineLevel="0" collapsed="false">
      <c r="A928" s="64"/>
      <c r="B928" s="64"/>
      <c r="C928" s="64"/>
      <c r="D928" s="65"/>
      <c r="E928" s="64"/>
      <c r="F928" s="66"/>
      <c r="G928" s="64"/>
      <c r="H928" s="64"/>
      <c r="I928" s="66"/>
      <c r="J928" s="66"/>
      <c r="K928" s="66"/>
      <c r="L928" s="66"/>
      <c r="M928" s="66"/>
      <c r="N928" s="64"/>
    </row>
    <row r="929" customFormat="false" ht="15" hidden="false" customHeight="false" outlineLevel="0" collapsed="false">
      <c r="A929" s="64"/>
      <c r="B929" s="64"/>
      <c r="C929" s="64"/>
      <c r="D929" s="65"/>
      <c r="E929" s="64"/>
      <c r="F929" s="66"/>
      <c r="G929" s="64"/>
      <c r="H929" s="64"/>
      <c r="I929" s="66"/>
      <c r="J929" s="66"/>
      <c r="K929" s="66"/>
      <c r="L929" s="66"/>
      <c r="M929" s="66"/>
      <c r="N929" s="64"/>
    </row>
    <row r="930" customFormat="false" ht="15" hidden="false" customHeight="false" outlineLevel="0" collapsed="false">
      <c r="A930" s="64"/>
      <c r="B930" s="64"/>
      <c r="C930" s="64"/>
      <c r="D930" s="65"/>
      <c r="E930" s="64"/>
      <c r="F930" s="66"/>
      <c r="G930" s="64"/>
      <c r="H930" s="64"/>
      <c r="I930" s="66"/>
      <c r="J930" s="66"/>
      <c r="K930" s="66"/>
      <c r="L930" s="66"/>
      <c r="M930" s="66"/>
      <c r="N930" s="64"/>
    </row>
    <row r="931" customFormat="false" ht="15" hidden="false" customHeight="false" outlineLevel="0" collapsed="false">
      <c r="A931" s="64"/>
      <c r="B931" s="64"/>
      <c r="C931" s="64"/>
      <c r="D931" s="65"/>
      <c r="E931" s="64"/>
      <c r="F931" s="66"/>
      <c r="G931" s="64"/>
      <c r="H931" s="64"/>
      <c r="I931" s="66"/>
      <c r="J931" s="66"/>
      <c r="K931" s="66"/>
      <c r="L931" s="66"/>
      <c r="M931" s="66"/>
      <c r="N931" s="64"/>
    </row>
    <row r="932" customFormat="false" ht="15" hidden="false" customHeight="false" outlineLevel="0" collapsed="false">
      <c r="A932" s="64"/>
      <c r="B932" s="64"/>
      <c r="C932" s="64"/>
      <c r="D932" s="65"/>
      <c r="E932" s="64"/>
      <c r="F932" s="66"/>
      <c r="G932" s="64"/>
      <c r="H932" s="64"/>
      <c r="I932" s="66"/>
      <c r="J932" s="66"/>
      <c r="K932" s="66"/>
      <c r="L932" s="66"/>
      <c r="M932" s="66"/>
      <c r="N932" s="64"/>
    </row>
    <row r="933" customFormat="false" ht="15" hidden="false" customHeight="false" outlineLevel="0" collapsed="false">
      <c r="A933" s="64"/>
      <c r="B933" s="64"/>
      <c r="C933" s="64"/>
      <c r="D933" s="65"/>
      <c r="E933" s="64"/>
      <c r="F933" s="66"/>
      <c r="G933" s="64"/>
      <c r="H933" s="64"/>
      <c r="I933" s="66"/>
      <c r="J933" s="66"/>
      <c r="K933" s="66"/>
      <c r="L933" s="66"/>
      <c r="M933" s="66"/>
      <c r="N933" s="64"/>
    </row>
    <row r="934" customFormat="false" ht="15" hidden="false" customHeight="false" outlineLevel="0" collapsed="false">
      <c r="A934" s="64"/>
      <c r="B934" s="64"/>
      <c r="C934" s="64"/>
      <c r="D934" s="65"/>
      <c r="E934" s="64"/>
      <c r="F934" s="66"/>
      <c r="G934" s="64"/>
      <c r="H934" s="64"/>
      <c r="I934" s="66"/>
      <c r="J934" s="66"/>
      <c r="K934" s="66"/>
      <c r="L934" s="66"/>
      <c r="M934" s="66"/>
      <c r="N934" s="64"/>
    </row>
    <row r="935" customFormat="false" ht="15" hidden="false" customHeight="false" outlineLevel="0" collapsed="false">
      <c r="A935" s="64"/>
      <c r="B935" s="64"/>
      <c r="C935" s="64"/>
      <c r="D935" s="65"/>
      <c r="E935" s="64"/>
      <c r="F935" s="66"/>
      <c r="G935" s="64"/>
      <c r="H935" s="64"/>
      <c r="I935" s="66"/>
      <c r="J935" s="66"/>
      <c r="K935" s="66"/>
      <c r="L935" s="66"/>
      <c r="M935" s="66"/>
      <c r="N935" s="64"/>
    </row>
    <row r="936" customFormat="false" ht="15" hidden="false" customHeight="false" outlineLevel="0" collapsed="false">
      <c r="A936" s="64"/>
      <c r="B936" s="64"/>
      <c r="C936" s="64"/>
      <c r="D936" s="65"/>
      <c r="E936" s="64"/>
      <c r="F936" s="66"/>
      <c r="G936" s="64"/>
      <c r="H936" s="64"/>
      <c r="I936" s="66"/>
      <c r="J936" s="66"/>
      <c r="K936" s="66"/>
      <c r="L936" s="66"/>
      <c r="M936" s="66"/>
      <c r="N936" s="64"/>
    </row>
    <row r="937" customFormat="false" ht="15" hidden="false" customHeight="false" outlineLevel="0" collapsed="false">
      <c r="A937" s="64"/>
      <c r="B937" s="64"/>
      <c r="C937" s="64"/>
      <c r="D937" s="65"/>
      <c r="E937" s="64"/>
      <c r="F937" s="66"/>
      <c r="G937" s="64"/>
      <c r="H937" s="64"/>
      <c r="I937" s="66"/>
      <c r="J937" s="66"/>
      <c r="K937" s="66"/>
      <c r="L937" s="66"/>
      <c r="M937" s="66"/>
      <c r="N937" s="64"/>
    </row>
    <row r="938" customFormat="false" ht="15" hidden="false" customHeight="false" outlineLevel="0" collapsed="false">
      <c r="A938" s="64"/>
      <c r="B938" s="64"/>
      <c r="C938" s="64"/>
      <c r="D938" s="65"/>
      <c r="E938" s="64"/>
      <c r="F938" s="66"/>
      <c r="G938" s="64"/>
      <c r="H938" s="64"/>
      <c r="I938" s="66"/>
      <c r="J938" s="66"/>
      <c r="K938" s="66"/>
      <c r="L938" s="66"/>
      <c r="M938" s="66"/>
      <c r="N938" s="64"/>
    </row>
    <row r="939" customFormat="false" ht="15" hidden="false" customHeight="false" outlineLevel="0" collapsed="false">
      <c r="A939" s="64"/>
      <c r="B939" s="64"/>
      <c r="C939" s="64"/>
      <c r="D939" s="65"/>
      <c r="E939" s="64"/>
      <c r="F939" s="66"/>
      <c r="G939" s="64"/>
      <c r="H939" s="64"/>
      <c r="I939" s="66"/>
      <c r="J939" s="66"/>
      <c r="K939" s="66"/>
      <c r="L939" s="66"/>
      <c r="M939" s="66"/>
      <c r="N939" s="64"/>
    </row>
    <row r="940" customFormat="false" ht="15" hidden="false" customHeight="false" outlineLevel="0" collapsed="false">
      <c r="A940" s="64"/>
      <c r="B940" s="64"/>
      <c r="C940" s="64"/>
      <c r="D940" s="65"/>
      <c r="E940" s="64"/>
      <c r="F940" s="66"/>
      <c r="G940" s="64"/>
      <c r="H940" s="64"/>
      <c r="I940" s="66"/>
      <c r="J940" s="66"/>
      <c r="K940" s="66"/>
      <c r="L940" s="66"/>
      <c r="M940" s="66"/>
      <c r="N940" s="64"/>
    </row>
    <row r="941" customFormat="false" ht="15" hidden="false" customHeight="false" outlineLevel="0" collapsed="false">
      <c r="A941" s="64"/>
      <c r="B941" s="64"/>
      <c r="C941" s="64"/>
      <c r="D941" s="65"/>
      <c r="E941" s="64"/>
      <c r="F941" s="66"/>
      <c r="G941" s="64"/>
      <c r="H941" s="64"/>
      <c r="I941" s="66"/>
      <c r="J941" s="66"/>
      <c r="K941" s="66"/>
      <c r="L941" s="66"/>
      <c r="M941" s="66"/>
      <c r="N941" s="64"/>
    </row>
    <row r="942" customFormat="false" ht="15" hidden="false" customHeight="false" outlineLevel="0" collapsed="false">
      <c r="A942" s="64"/>
      <c r="B942" s="64"/>
      <c r="C942" s="64"/>
      <c r="D942" s="65"/>
      <c r="E942" s="64"/>
      <c r="F942" s="66"/>
      <c r="G942" s="64"/>
      <c r="H942" s="64"/>
      <c r="I942" s="66"/>
      <c r="J942" s="66"/>
      <c r="K942" s="66"/>
      <c r="L942" s="66"/>
      <c r="M942" s="66"/>
      <c r="N942" s="64"/>
    </row>
    <row r="943" customFormat="false" ht="15" hidden="false" customHeight="false" outlineLevel="0" collapsed="false">
      <c r="A943" s="64"/>
      <c r="B943" s="64"/>
      <c r="C943" s="64"/>
      <c r="D943" s="65"/>
      <c r="E943" s="64"/>
      <c r="F943" s="66"/>
      <c r="G943" s="64"/>
      <c r="H943" s="64"/>
      <c r="I943" s="66"/>
      <c r="J943" s="66"/>
      <c r="K943" s="66"/>
      <c r="L943" s="66"/>
      <c r="M943" s="66"/>
      <c r="N943" s="64"/>
    </row>
    <row r="944" customFormat="false" ht="15" hidden="false" customHeight="false" outlineLevel="0" collapsed="false">
      <c r="A944" s="64"/>
      <c r="B944" s="64"/>
      <c r="C944" s="64"/>
      <c r="D944" s="65"/>
      <c r="E944" s="64"/>
      <c r="F944" s="66"/>
      <c r="G944" s="64"/>
      <c r="H944" s="64"/>
      <c r="I944" s="66"/>
      <c r="J944" s="66"/>
      <c r="K944" s="66"/>
      <c r="L944" s="66"/>
      <c r="M944" s="66"/>
      <c r="N944" s="64"/>
    </row>
    <row r="945" customFormat="false" ht="15" hidden="false" customHeight="false" outlineLevel="0" collapsed="false">
      <c r="A945" s="64"/>
      <c r="B945" s="64"/>
      <c r="C945" s="64"/>
      <c r="D945" s="65"/>
      <c r="E945" s="64"/>
      <c r="F945" s="66"/>
      <c r="G945" s="64"/>
      <c r="H945" s="64"/>
      <c r="I945" s="66"/>
      <c r="J945" s="66"/>
      <c r="K945" s="66"/>
      <c r="L945" s="66"/>
      <c r="M945" s="66"/>
      <c r="N945" s="64"/>
    </row>
    <row r="946" customFormat="false" ht="15" hidden="false" customHeight="false" outlineLevel="0" collapsed="false">
      <c r="A946" s="64"/>
      <c r="B946" s="64"/>
      <c r="C946" s="64"/>
      <c r="D946" s="65"/>
      <c r="E946" s="64"/>
      <c r="F946" s="66"/>
      <c r="G946" s="64"/>
      <c r="H946" s="64"/>
      <c r="I946" s="66"/>
      <c r="J946" s="66"/>
      <c r="K946" s="66"/>
      <c r="L946" s="66"/>
      <c r="M946" s="66"/>
      <c r="N946" s="64"/>
    </row>
    <row r="947" customFormat="false" ht="15" hidden="false" customHeight="false" outlineLevel="0" collapsed="false">
      <c r="A947" s="64"/>
      <c r="B947" s="64"/>
      <c r="C947" s="64"/>
      <c r="D947" s="65"/>
      <c r="E947" s="64"/>
      <c r="F947" s="66"/>
      <c r="G947" s="64"/>
      <c r="H947" s="64"/>
      <c r="I947" s="66"/>
      <c r="J947" s="66"/>
      <c r="K947" s="66"/>
      <c r="L947" s="66"/>
      <c r="M947" s="66"/>
      <c r="N947" s="64"/>
    </row>
    <row r="948" customFormat="false" ht="15" hidden="false" customHeight="false" outlineLevel="0" collapsed="false">
      <c r="A948" s="64"/>
      <c r="B948" s="64"/>
      <c r="C948" s="64"/>
      <c r="D948" s="65"/>
      <c r="E948" s="64"/>
      <c r="F948" s="66"/>
      <c r="G948" s="64"/>
      <c r="H948" s="64"/>
      <c r="I948" s="66"/>
      <c r="J948" s="66"/>
      <c r="K948" s="66"/>
      <c r="L948" s="66"/>
      <c r="M948" s="66"/>
      <c r="N948" s="64"/>
    </row>
    <row r="949" customFormat="false" ht="15" hidden="false" customHeight="false" outlineLevel="0" collapsed="false">
      <c r="A949" s="64"/>
      <c r="B949" s="64"/>
      <c r="C949" s="64"/>
      <c r="D949" s="65"/>
      <c r="E949" s="64"/>
      <c r="F949" s="66"/>
      <c r="G949" s="64"/>
      <c r="H949" s="64"/>
      <c r="I949" s="66"/>
      <c r="J949" s="66"/>
      <c r="K949" s="66"/>
      <c r="L949" s="66"/>
      <c r="M949" s="66"/>
      <c r="N949" s="64"/>
    </row>
    <row r="950" customFormat="false" ht="15" hidden="false" customHeight="false" outlineLevel="0" collapsed="false">
      <c r="A950" s="64"/>
      <c r="B950" s="64"/>
      <c r="C950" s="64"/>
      <c r="D950" s="65"/>
      <c r="E950" s="64"/>
      <c r="F950" s="66"/>
      <c r="G950" s="64"/>
      <c r="H950" s="64"/>
      <c r="I950" s="66"/>
      <c r="J950" s="66"/>
      <c r="K950" s="66"/>
      <c r="L950" s="66"/>
      <c r="M950" s="66"/>
      <c r="N950" s="64"/>
    </row>
    <row r="951" customFormat="false" ht="15" hidden="false" customHeight="false" outlineLevel="0" collapsed="false">
      <c r="A951" s="64"/>
      <c r="B951" s="64"/>
      <c r="C951" s="64"/>
      <c r="D951" s="65"/>
      <c r="E951" s="64"/>
      <c r="F951" s="66"/>
      <c r="G951" s="64"/>
      <c r="H951" s="64"/>
      <c r="I951" s="66"/>
      <c r="J951" s="66"/>
      <c r="K951" s="66"/>
      <c r="L951" s="66"/>
      <c r="M951" s="66"/>
      <c r="N951" s="64"/>
    </row>
    <row r="952" customFormat="false" ht="15" hidden="false" customHeight="false" outlineLevel="0" collapsed="false">
      <c r="A952" s="64"/>
      <c r="B952" s="64"/>
      <c r="C952" s="64"/>
      <c r="D952" s="65"/>
      <c r="E952" s="64"/>
      <c r="F952" s="66"/>
      <c r="G952" s="64"/>
      <c r="H952" s="64"/>
      <c r="I952" s="66"/>
      <c r="J952" s="66"/>
      <c r="K952" s="66"/>
      <c r="L952" s="66"/>
      <c r="M952" s="66"/>
      <c r="N952" s="64"/>
    </row>
    <row r="953" customFormat="false" ht="15" hidden="false" customHeight="false" outlineLevel="0" collapsed="false">
      <c r="A953" s="64"/>
      <c r="B953" s="64"/>
      <c r="C953" s="64"/>
      <c r="D953" s="65"/>
      <c r="E953" s="64"/>
      <c r="F953" s="66"/>
      <c r="G953" s="64"/>
      <c r="H953" s="64"/>
      <c r="I953" s="66"/>
      <c r="J953" s="66"/>
      <c r="K953" s="66"/>
      <c r="L953" s="66"/>
      <c r="M953" s="66"/>
      <c r="N953" s="64"/>
    </row>
    <row r="954" customFormat="false" ht="15" hidden="false" customHeight="false" outlineLevel="0" collapsed="false">
      <c r="A954" s="64"/>
      <c r="B954" s="64"/>
      <c r="C954" s="64"/>
      <c r="D954" s="65"/>
      <c r="E954" s="64"/>
      <c r="F954" s="66"/>
      <c r="G954" s="64"/>
      <c r="H954" s="64"/>
      <c r="I954" s="66"/>
      <c r="J954" s="66"/>
      <c r="K954" s="66"/>
      <c r="L954" s="66"/>
      <c r="M954" s="66"/>
      <c r="N954" s="64"/>
    </row>
    <row r="955" customFormat="false" ht="15" hidden="false" customHeight="false" outlineLevel="0" collapsed="false">
      <c r="A955" s="64"/>
      <c r="B955" s="64"/>
      <c r="C955" s="64"/>
      <c r="D955" s="65"/>
      <c r="E955" s="64"/>
      <c r="F955" s="66"/>
      <c r="G955" s="64"/>
      <c r="H955" s="64"/>
      <c r="I955" s="66"/>
      <c r="J955" s="66"/>
      <c r="K955" s="66"/>
      <c r="L955" s="66"/>
      <c r="M955" s="66"/>
      <c r="N955" s="64"/>
    </row>
    <row r="956" customFormat="false" ht="15" hidden="false" customHeight="false" outlineLevel="0" collapsed="false">
      <c r="A956" s="64"/>
      <c r="B956" s="64"/>
      <c r="C956" s="64"/>
      <c r="D956" s="65"/>
      <c r="E956" s="64"/>
      <c r="F956" s="66"/>
      <c r="G956" s="64"/>
      <c r="H956" s="64"/>
      <c r="I956" s="66"/>
      <c r="J956" s="66"/>
      <c r="K956" s="66"/>
      <c r="L956" s="66"/>
      <c r="M956" s="66"/>
      <c r="N956" s="64"/>
    </row>
    <row r="957" customFormat="false" ht="15" hidden="false" customHeight="false" outlineLevel="0" collapsed="false">
      <c r="A957" s="64"/>
      <c r="B957" s="64"/>
      <c r="C957" s="64"/>
      <c r="D957" s="65"/>
      <c r="E957" s="64"/>
      <c r="F957" s="66"/>
      <c r="G957" s="64"/>
      <c r="H957" s="64"/>
      <c r="I957" s="66"/>
      <c r="J957" s="66"/>
      <c r="K957" s="66"/>
      <c r="L957" s="66"/>
      <c r="M957" s="66"/>
      <c r="N957" s="64"/>
    </row>
    <row r="958" customFormat="false" ht="15" hidden="false" customHeight="false" outlineLevel="0" collapsed="false">
      <c r="A958" s="64"/>
      <c r="B958" s="64"/>
      <c r="C958" s="64"/>
      <c r="D958" s="65"/>
      <c r="E958" s="64"/>
      <c r="F958" s="66"/>
      <c r="G958" s="64"/>
      <c r="H958" s="64"/>
      <c r="I958" s="66"/>
      <c r="J958" s="66"/>
      <c r="K958" s="66"/>
      <c r="L958" s="66"/>
      <c r="M958" s="66"/>
      <c r="N958" s="64"/>
    </row>
    <row r="959" customFormat="false" ht="15" hidden="false" customHeight="false" outlineLevel="0" collapsed="false">
      <c r="A959" s="64"/>
      <c r="B959" s="64"/>
      <c r="C959" s="64"/>
      <c r="D959" s="65"/>
      <c r="E959" s="64"/>
      <c r="F959" s="66"/>
      <c r="G959" s="64"/>
      <c r="H959" s="64"/>
      <c r="I959" s="66"/>
      <c r="J959" s="66"/>
      <c r="K959" s="66"/>
      <c r="L959" s="66"/>
      <c r="M959" s="66"/>
      <c r="N959" s="64"/>
    </row>
    <row r="960" customFormat="false" ht="15" hidden="false" customHeight="false" outlineLevel="0" collapsed="false">
      <c r="A960" s="64"/>
      <c r="B960" s="64"/>
      <c r="C960" s="64"/>
      <c r="D960" s="65"/>
      <c r="E960" s="64"/>
      <c r="F960" s="66"/>
      <c r="G960" s="64"/>
      <c r="H960" s="64"/>
      <c r="I960" s="66"/>
      <c r="J960" s="66"/>
      <c r="K960" s="66"/>
      <c r="L960" s="66"/>
      <c r="M960" s="66"/>
      <c r="N960" s="64"/>
    </row>
    <row r="961" customFormat="false" ht="15" hidden="false" customHeight="false" outlineLevel="0" collapsed="false">
      <c r="A961" s="64"/>
      <c r="B961" s="64"/>
      <c r="C961" s="64"/>
      <c r="D961" s="65"/>
      <c r="E961" s="64"/>
      <c r="F961" s="66"/>
      <c r="G961" s="64"/>
      <c r="H961" s="64"/>
      <c r="I961" s="66"/>
      <c r="J961" s="66"/>
      <c r="K961" s="66"/>
      <c r="L961" s="66"/>
      <c r="M961" s="66"/>
      <c r="N961" s="64"/>
    </row>
    <row r="962" customFormat="false" ht="15" hidden="false" customHeight="false" outlineLevel="0" collapsed="false">
      <c r="A962" s="64"/>
      <c r="B962" s="64"/>
      <c r="C962" s="64"/>
      <c r="D962" s="65"/>
      <c r="E962" s="64"/>
      <c r="F962" s="66"/>
      <c r="G962" s="64"/>
      <c r="H962" s="64"/>
      <c r="I962" s="66"/>
      <c r="J962" s="66"/>
      <c r="K962" s="66"/>
      <c r="L962" s="66"/>
      <c r="M962" s="66"/>
      <c r="N962" s="64"/>
    </row>
    <row r="963" customFormat="false" ht="15" hidden="false" customHeight="false" outlineLevel="0" collapsed="false">
      <c r="A963" s="64"/>
      <c r="B963" s="64"/>
      <c r="C963" s="64"/>
      <c r="D963" s="65"/>
      <c r="E963" s="64"/>
      <c r="F963" s="66"/>
      <c r="G963" s="64"/>
      <c r="H963" s="64"/>
      <c r="I963" s="66"/>
      <c r="J963" s="66"/>
      <c r="K963" s="66"/>
      <c r="L963" s="66"/>
      <c r="M963" s="66"/>
      <c r="N963" s="64"/>
    </row>
    <row r="964" customFormat="false" ht="15" hidden="false" customHeight="false" outlineLevel="0" collapsed="false">
      <c r="A964" s="64"/>
      <c r="B964" s="64"/>
      <c r="C964" s="64"/>
      <c r="D964" s="65"/>
      <c r="E964" s="64"/>
      <c r="F964" s="66"/>
      <c r="G964" s="64"/>
      <c r="H964" s="64"/>
      <c r="I964" s="66"/>
      <c r="J964" s="66"/>
      <c r="K964" s="66"/>
      <c r="L964" s="66"/>
      <c r="M964" s="66"/>
      <c r="N964" s="64"/>
    </row>
    <row r="965" customFormat="false" ht="15" hidden="false" customHeight="false" outlineLevel="0" collapsed="false">
      <c r="A965" s="64"/>
      <c r="B965" s="64"/>
      <c r="C965" s="64"/>
      <c r="D965" s="65"/>
      <c r="E965" s="64"/>
      <c r="F965" s="66"/>
      <c r="G965" s="64"/>
      <c r="H965" s="64"/>
      <c r="I965" s="66"/>
      <c r="J965" s="66"/>
      <c r="K965" s="66"/>
      <c r="L965" s="66"/>
      <c r="M965" s="66"/>
      <c r="N965" s="64"/>
    </row>
    <row r="966" customFormat="false" ht="15" hidden="false" customHeight="false" outlineLevel="0" collapsed="false">
      <c r="A966" s="64"/>
      <c r="B966" s="64"/>
      <c r="C966" s="64"/>
      <c r="D966" s="65"/>
      <c r="E966" s="64"/>
      <c r="F966" s="66"/>
      <c r="G966" s="64"/>
      <c r="H966" s="64"/>
      <c r="I966" s="66"/>
      <c r="J966" s="66"/>
      <c r="K966" s="66"/>
      <c r="L966" s="66"/>
      <c r="M966" s="66"/>
      <c r="N966" s="64"/>
    </row>
    <row r="967" customFormat="false" ht="15" hidden="false" customHeight="false" outlineLevel="0" collapsed="false">
      <c r="A967" s="64"/>
      <c r="B967" s="64"/>
      <c r="C967" s="64"/>
      <c r="D967" s="65"/>
      <c r="E967" s="64"/>
      <c r="F967" s="66"/>
      <c r="G967" s="64"/>
      <c r="H967" s="64"/>
      <c r="I967" s="66"/>
      <c r="J967" s="66"/>
      <c r="K967" s="66"/>
      <c r="L967" s="66"/>
      <c r="M967" s="66"/>
      <c r="N967" s="64"/>
    </row>
    <row r="968" customFormat="false" ht="15" hidden="false" customHeight="false" outlineLevel="0" collapsed="false">
      <c r="A968" s="64"/>
      <c r="B968" s="64"/>
      <c r="C968" s="64"/>
      <c r="D968" s="65"/>
      <c r="E968" s="64"/>
      <c r="F968" s="66"/>
      <c r="G968" s="64"/>
      <c r="H968" s="64"/>
      <c r="I968" s="66"/>
      <c r="J968" s="66"/>
      <c r="K968" s="66"/>
      <c r="L968" s="66"/>
      <c r="M968" s="66"/>
      <c r="N968" s="64"/>
    </row>
    <row r="969" customFormat="false" ht="15" hidden="false" customHeight="false" outlineLevel="0" collapsed="false">
      <c r="A969" s="64"/>
      <c r="B969" s="64"/>
      <c r="C969" s="64"/>
      <c r="D969" s="65"/>
      <c r="E969" s="64"/>
      <c r="F969" s="66"/>
      <c r="G969" s="64"/>
      <c r="H969" s="64"/>
      <c r="I969" s="66"/>
      <c r="J969" s="66"/>
      <c r="K969" s="66"/>
      <c r="L969" s="66"/>
      <c r="M969" s="66"/>
      <c r="N969" s="64"/>
    </row>
    <row r="970" customFormat="false" ht="15" hidden="false" customHeight="false" outlineLevel="0" collapsed="false">
      <c r="A970" s="64"/>
      <c r="B970" s="64"/>
      <c r="C970" s="64"/>
      <c r="D970" s="65"/>
      <c r="E970" s="64"/>
      <c r="F970" s="66"/>
      <c r="G970" s="64"/>
      <c r="H970" s="64"/>
      <c r="I970" s="66"/>
      <c r="J970" s="66"/>
      <c r="K970" s="66"/>
      <c r="L970" s="66"/>
      <c r="M970" s="66"/>
      <c r="N970" s="64"/>
    </row>
    <row r="971" customFormat="false" ht="15" hidden="false" customHeight="false" outlineLevel="0" collapsed="false">
      <c r="A971" s="64"/>
      <c r="B971" s="64"/>
      <c r="C971" s="64"/>
      <c r="D971" s="65"/>
      <c r="E971" s="64"/>
      <c r="F971" s="66"/>
      <c r="G971" s="64"/>
      <c r="H971" s="64"/>
      <c r="I971" s="66"/>
      <c r="J971" s="66"/>
      <c r="K971" s="66"/>
      <c r="L971" s="66"/>
      <c r="M971" s="66"/>
      <c r="N971" s="64"/>
    </row>
    <row r="972" customFormat="false" ht="15" hidden="false" customHeight="false" outlineLevel="0" collapsed="false">
      <c r="A972" s="64"/>
      <c r="B972" s="64"/>
      <c r="C972" s="64"/>
      <c r="D972" s="65"/>
      <c r="E972" s="64"/>
      <c r="F972" s="66"/>
      <c r="G972" s="64"/>
      <c r="H972" s="64"/>
      <c r="I972" s="66"/>
      <c r="J972" s="66"/>
      <c r="K972" s="66"/>
      <c r="L972" s="66"/>
      <c r="M972" s="66"/>
      <c r="N972" s="64"/>
    </row>
    <row r="973" customFormat="false" ht="15" hidden="false" customHeight="false" outlineLevel="0" collapsed="false">
      <c r="A973" s="64"/>
      <c r="B973" s="64"/>
      <c r="C973" s="64"/>
      <c r="D973" s="65"/>
      <c r="E973" s="64"/>
      <c r="F973" s="66"/>
      <c r="G973" s="64"/>
      <c r="H973" s="64"/>
      <c r="I973" s="66"/>
      <c r="J973" s="66"/>
      <c r="K973" s="66"/>
      <c r="L973" s="66"/>
      <c r="M973" s="66"/>
      <c r="N973" s="64"/>
    </row>
    <row r="974" customFormat="false" ht="15" hidden="false" customHeight="false" outlineLevel="0" collapsed="false">
      <c r="A974" s="64"/>
      <c r="B974" s="64"/>
      <c r="C974" s="64"/>
      <c r="D974" s="65"/>
      <c r="E974" s="64"/>
      <c r="F974" s="66"/>
      <c r="G974" s="64"/>
      <c r="H974" s="64"/>
      <c r="I974" s="66"/>
      <c r="J974" s="66"/>
      <c r="K974" s="66"/>
      <c r="L974" s="66"/>
      <c r="M974" s="66"/>
      <c r="N974" s="64"/>
    </row>
    <row r="975" customFormat="false" ht="15" hidden="false" customHeight="false" outlineLevel="0" collapsed="false">
      <c r="A975" s="64"/>
      <c r="B975" s="64"/>
      <c r="C975" s="64"/>
      <c r="D975" s="65"/>
      <c r="E975" s="64"/>
      <c r="F975" s="66"/>
      <c r="G975" s="64"/>
      <c r="H975" s="64"/>
      <c r="I975" s="66"/>
      <c r="J975" s="66"/>
      <c r="K975" s="66"/>
      <c r="L975" s="66"/>
      <c r="M975" s="66"/>
      <c r="N975" s="64"/>
    </row>
    <row r="976" customFormat="false" ht="15" hidden="false" customHeight="false" outlineLevel="0" collapsed="false">
      <c r="A976" s="64"/>
      <c r="B976" s="64"/>
      <c r="C976" s="64"/>
      <c r="D976" s="65"/>
      <c r="E976" s="64"/>
      <c r="F976" s="66"/>
      <c r="G976" s="64"/>
      <c r="H976" s="64"/>
      <c r="I976" s="66"/>
      <c r="J976" s="66"/>
      <c r="K976" s="66"/>
      <c r="L976" s="66"/>
      <c r="M976" s="66"/>
      <c r="N976" s="64"/>
    </row>
    <row r="977" customFormat="false" ht="15" hidden="false" customHeight="false" outlineLevel="0" collapsed="false">
      <c r="A977" s="64"/>
      <c r="B977" s="64"/>
      <c r="C977" s="64"/>
      <c r="D977" s="65"/>
      <c r="E977" s="64"/>
      <c r="F977" s="66"/>
      <c r="G977" s="64"/>
      <c r="H977" s="64"/>
      <c r="I977" s="66"/>
      <c r="J977" s="66"/>
      <c r="K977" s="66"/>
      <c r="L977" s="66"/>
      <c r="M977" s="66"/>
      <c r="N977" s="64"/>
    </row>
    <row r="978" customFormat="false" ht="15" hidden="false" customHeight="false" outlineLevel="0" collapsed="false">
      <c r="A978" s="64"/>
      <c r="B978" s="64"/>
      <c r="C978" s="64"/>
      <c r="D978" s="65"/>
      <c r="E978" s="64"/>
      <c r="F978" s="66"/>
      <c r="G978" s="64"/>
      <c r="H978" s="64"/>
      <c r="I978" s="66"/>
      <c r="J978" s="66"/>
      <c r="K978" s="66"/>
      <c r="L978" s="66"/>
      <c r="M978" s="66"/>
      <c r="N978" s="64"/>
    </row>
    <row r="979" customFormat="false" ht="15" hidden="false" customHeight="false" outlineLevel="0" collapsed="false">
      <c r="A979" s="64"/>
      <c r="B979" s="64"/>
      <c r="C979" s="64"/>
      <c r="D979" s="65"/>
      <c r="E979" s="64"/>
      <c r="F979" s="66"/>
      <c r="G979" s="64"/>
      <c r="H979" s="64"/>
      <c r="I979" s="66"/>
      <c r="J979" s="66"/>
      <c r="K979" s="66"/>
      <c r="L979" s="66"/>
      <c r="M979" s="66"/>
      <c r="N979" s="64"/>
    </row>
    <row r="980" customFormat="false" ht="15" hidden="false" customHeight="false" outlineLevel="0" collapsed="false">
      <c r="A980" s="64"/>
      <c r="B980" s="64"/>
      <c r="C980" s="64"/>
      <c r="D980" s="65"/>
      <c r="E980" s="64"/>
      <c r="F980" s="66"/>
      <c r="G980" s="64"/>
      <c r="H980" s="64"/>
      <c r="I980" s="66"/>
      <c r="J980" s="66"/>
      <c r="K980" s="66"/>
      <c r="L980" s="66"/>
      <c r="M980" s="66"/>
      <c r="N980" s="64"/>
    </row>
    <row r="981" customFormat="false" ht="15" hidden="false" customHeight="false" outlineLevel="0" collapsed="false">
      <c r="A981" s="64"/>
      <c r="B981" s="64"/>
      <c r="C981" s="64"/>
      <c r="D981" s="65"/>
      <c r="E981" s="64"/>
      <c r="F981" s="66"/>
      <c r="G981" s="64"/>
      <c r="H981" s="64"/>
      <c r="I981" s="66"/>
      <c r="J981" s="66"/>
      <c r="K981" s="66"/>
      <c r="L981" s="66"/>
      <c r="M981" s="66"/>
      <c r="N981" s="64"/>
    </row>
    <row r="982" customFormat="false" ht="15" hidden="false" customHeight="false" outlineLevel="0" collapsed="false">
      <c r="A982" s="64"/>
      <c r="B982" s="64"/>
      <c r="C982" s="64"/>
      <c r="D982" s="65"/>
      <c r="E982" s="64"/>
      <c r="F982" s="66"/>
      <c r="G982" s="64"/>
      <c r="H982" s="64"/>
      <c r="I982" s="66"/>
      <c r="J982" s="66"/>
      <c r="K982" s="66"/>
      <c r="L982" s="66"/>
      <c r="M982" s="66"/>
      <c r="N982" s="64"/>
    </row>
    <row r="983" customFormat="false" ht="15" hidden="false" customHeight="false" outlineLevel="0" collapsed="false">
      <c r="A983" s="64"/>
      <c r="B983" s="64"/>
      <c r="C983" s="64"/>
      <c r="D983" s="65"/>
      <c r="E983" s="64"/>
      <c r="F983" s="66"/>
      <c r="G983" s="64"/>
      <c r="H983" s="64"/>
      <c r="I983" s="66"/>
      <c r="J983" s="66"/>
      <c r="K983" s="66"/>
      <c r="L983" s="66"/>
      <c r="M983" s="66"/>
      <c r="N983" s="64"/>
    </row>
    <row r="984" customFormat="false" ht="15" hidden="false" customHeight="false" outlineLevel="0" collapsed="false">
      <c r="A984" s="64"/>
      <c r="B984" s="64"/>
      <c r="C984" s="64"/>
      <c r="D984" s="65"/>
      <c r="E984" s="64"/>
      <c r="F984" s="66"/>
      <c r="G984" s="64"/>
      <c r="H984" s="64"/>
      <c r="I984" s="66"/>
      <c r="J984" s="66"/>
      <c r="K984" s="66"/>
      <c r="L984" s="66"/>
      <c r="M984" s="66"/>
      <c r="N984" s="64"/>
    </row>
    <row r="985" customFormat="false" ht="15" hidden="false" customHeight="false" outlineLevel="0" collapsed="false">
      <c r="A985" s="64"/>
      <c r="B985" s="64"/>
      <c r="C985" s="64"/>
      <c r="D985" s="65"/>
      <c r="E985" s="64"/>
      <c r="F985" s="66"/>
      <c r="G985" s="64"/>
      <c r="H985" s="64"/>
      <c r="I985" s="66"/>
      <c r="J985" s="66"/>
      <c r="K985" s="66"/>
      <c r="L985" s="66"/>
      <c r="M985" s="66"/>
      <c r="N985" s="64"/>
    </row>
    <row r="986" customFormat="false" ht="15" hidden="false" customHeight="false" outlineLevel="0" collapsed="false">
      <c r="A986" s="64"/>
      <c r="B986" s="64"/>
      <c r="C986" s="64"/>
      <c r="D986" s="65"/>
      <c r="E986" s="64"/>
      <c r="F986" s="66"/>
      <c r="G986" s="64"/>
      <c r="H986" s="64"/>
      <c r="I986" s="66"/>
      <c r="J986" s="66"/>
      <c r="K986" s="66"/>
      <c r="L986" s="66"/>
      <c r="M986" s="66"/>
      <c r="N986" s="64"/>
    </row>
    <row r="987" customFormat="false" ht="15" hidden="false" customHeight="false" outlineLevel="0" collapsed="false">
      <c r="A987" s="64"/>
      <c r="B987" s="64"/>
      <c r="C987" s="64"/>
      <c r="D987" s="65"/>
      <c r="E987" s="64"/>
      <c r="F987" s="66"/>
      <c r="G987" s="64"/>
      <c r="H987" s="64"/>
      <c r="I987" s="66"/>
      <c r="J987" s="66"/>
      <c r="K987" s="66"/>
      <c r="L987" s="66"/>
      <c r="M987" s="66"/>
      <c r="N987" s="64"/>
    </row>
    <row r="988" customFormat="false" ht="15" hidden="false" customHeight="false" outlineLevel="0" collapsed="false">
      <c r="A988" s="64"/>
      <c r="B988" s="64"/>
      <c r="C988" s="64"/>
      <c r="D988" s="65"/>
      <c r="E988" s="64"/>
      <c r="F988" s="66"/>
      <c r="G988" s="64"/>
      <c r="H988" s="64"/>
      <c r="I988" s="66"/>
      <c r="J988" s="66"/>
      <c r="K988" s="66"/>
      <c r="L988" s="66"/>
      <c r="M988" s="66"/>
      <c r="N988" s="64"/>
    </row>
    <row r="989" customFormat="false" ht="15" hidden="false" customHeight="false" outlineLevel="0" collapsed="false">
      <c r="A989" s="64"/>
      <c r="B989" s="64"/>
      <c r="C989" s="64"/>
      <c r="D989" s="65"/>
      <c r="E989" s="64"/>
      <c r="F989" s="66"/>
      <c r="G989" s="64"/>
      <c r="H989" s="64"/>
      <c r="I989" s="66"/>
      <c r="J989" s="66"/>
      <c r="K989" s="66"/>
      <c r="L989" s="66"/>
      <c r="M989" s="66"/>
      <c r="N989" s="64"/>
    </row>
    <row r="990" customFormat="false" ht="15" hidden="false" customHeight="false" outlineLevel="0" collapsed="false">
      <c r="A990" s="64"/>
      <c r="B990" s="64"/>
      <c r="C990" s="64"/>
      <c r="D990" s="65"/>
      <c r="E990" s="64"/>
      <c r="F990" s="66"/>
      <c r="G990" s="64"/>
      <c r="H990" s="64"/>
      <c r="I990" s="66"/>
      <c r="J990" s="66"/>
      <c r="K990" s="66"/>
      <c r="L990" s="66"/>
      <c r="M990" s="66"/>
      <c r="N990" s="64"/>
    </row>
    <row r="991" customFormat="false" ht="15" hidden="false" customHeight="false" outlineLevel="0" collapsed="false">
      <c r="A991" s="64"/>
      <c r="B991" s="64"/>
      <c r="C991" s="64"/>
      <c r="D991" s="65"/>
      <c r="E991" s="64"/>
      <c r="F991" s="66"/>
      <c r="G991" s="64"/>
      <c r="H991" s="64"/>
      <c r="I991" s="66"/>
      <c r="J991" s="66"/>
      <c r="K991" s="66"/>
      <c r="L991" s="66"/>
      <c r="M991" s="66"/>
      <c r="N991" s="64"/>
    </row>
    <row r="992" customFormat="false" ht="15" hidden="false" customHeight="false" outlineLevel="0" collapsed="false">
      <c r="A992" s="64"/>
      <c r="B992" s="64"/>
      <c r="C992" s="64"/>
      <c r="D992" s="65"/>
      <c r="E992" s="64"/>
      <c r="F992" s="66"/>
      <c r="G992" s="64"/>
      <c r="H992" s="64"/>
      <c r="I992" s="66"/>
      <c r="J992" s="66"/>
      <c r="K992" s="66"/>
      <c r="L992" s="66"/>
      <c r="M992" s="66"/>
      <c r="N992" s="64"/>
    </row>
    <row r="993" customFormat="false" ht="15" hidden="false" customHeight="false" outlineLevel="0" collapsed="false">
      <c r="A993" s="64"/>
      <c r="B993" s="64"/>
      <c r="C993" s="64"/>
      <c r="D993" s="65"/>
      <c r="E993" s="64"/>
      <c r="F993" s="66"/>
      <c r="G993" s="64"/>
      <c r="H993" s="64"/>
      <c r="I993" s="66"/>
      <c r="J993" s="66"/>
      <c r="K993" s="66"/>
      <c r="L993" s="66"/>
      <c r="M993" s="66"/>
      <c r="N993" s="64"/>
    </row>
    <row r="994" customFormat="false" ht="15" hidden="false" customHeight="false" outlineLevel="0" collapsed="false">
      <c r="A994" s="64"/>
      <c r="B994" s="64"/>
      <c r="C994" s="64"/>
      <c r="D994" s="65"/>
      <c r="E994" s="64"/>
      <c r="F994" s="66"/>
      <c r="G994" s="64"/>
      <c r="H994" s="64"/>
      <c r="I994" s="66"/>
      <c r="J994" s="66"/>
      <c r="K994" s="66"/>
      <c r="L994" s="66"/>
      <c r="M994" s="66"/>
      <c r="N994" s="64"/>
    </row>
    <row r="995" customFormat="false" ht="15" hidden="false" customHeight="false" outlineLevel="0" collapsed="false">
      <c r="A995" s="64"/>
      <c r="B995" s="64"/>
      <c r="C995" s="64"/>
      <c r="D995" s="65"/>
      <c r="E995" s="64"/>
      <c r="F995" s="66"/>
      <c r="G995" s="64"/>
      <c r="H995" s="64"/>
      <c r="I995" s="66"/>
      <c r="J995" s="66"/>
      <c r="K995" s="66"/>
      <c r="L995" s="66"/>
      <c r="M995" s="66"/>
      <c r="N995" s="64"/>
    </row>
    <row r="996" customFormat="false" ht="15" hidden="false" customHeight="false" outlineLevel="0" collapsed="false">
      <c r="A996" s="64"/>
      <c r="B996" s="64"/>
      <c r="C996" s="64"/>
      <c r="D996" s="65"/>
      <c r="E996" s="64"/>
      <c r="F996" s="66"/>
      <c r="G996" s="64"/>
      <c r="H996" s="64"/>
      <c r="I996" s="66"/>
      <c r="J996" s="66"/>
      <c r="K996" s="66"/>
      <c r="L996" s="66"/>
      <c r="M996" s="66"/>
      <c r="N996" s="64"/>
    </row>
    <row r="997" customFormat="false" ht="15" hidden="false" customHeight="false" outlineLevel="0" collapsed="false">
      <c r="A997" s="64"/>
      <c r="B997" s="64"/>
      <c r="C997" s="64"/>
      <c r="D997" s="65"/>
      <c r="E997" s="64"/>
      <c r="F997" s="66"/>
      <c r="G997" s="64"/>
      <c r="H997" s="64"/>
      <c r="I997" s="66"/>
      <c r="J997" s="66"/>
      <c r="K997" s="66"/>
      <c r="L997" s="66"/>
      <c r="M997" s="66"/>
      <c r="N997" s="64"/>
    </row>
    <row r="998" customFormat="false" ht="15" hidden="false" customHeight="false" outlineLevel="0" collapsed="false">
      <c r="A998" s="64"/>
      <c r="B998" s="64"/>
      <c r="C998" s="64"/>
      <c r="D998" s="65"/>
      <c r="E998" s="64"/>
      <c r="F998" s="66"/>
      <c r="G998" s="64"/>
      <c r="H998" s="64"/>
      <c r="I998" s="66"/>
      <c r="J998" s="66"/>
      <c r="K998" s="66"/>
      <c r="L998" s="66"/>
      <c r="M998" s="66"/>
      <c r="N998" s="64"/>
    </row>
    <row r="999" customFormat="false" ht="15" hidden="false" customHeight="false" outlineLevel="0" collapsed="false">
      <c r="A999" s="64"/>
      <c r="B999" s="64"/>
      <c r="C999" s="64"/>
      <c r="D999" s="65"/>
      <c r="E999" s="64"/>
      <c r="F999" s="66"/>
      <c r="G999" s="64"/>
      <c r="H999" s="64"/>
      <c r="I999" s="66"/>
      <c r="J999" s="66"/>
      <c r="K999" s="66"/>
      <c r="L999" s="66"/>
      <c r="M999" s="66"/>
      <c r="N999" s="64"/>
    </row>
    <row r="1000" customFormat="false" ht="15" hidden="false" customHeight="false" outlineLevel="0" collapsed="false">
      <c r="A1000" s="64"/>
      <c r="B1000" s="64"/>
      <c r="C1000" s="64"/>
      <c r="D1000" s="65"/>
      <c r="E1000" s="64"/>
      <c r="F1000" s="66"/>
      <c r="G1000" s="64"/>
      <c r="H1000" s="64"/>
      <c r="I1000" s="66"/>
      <c r="J1000" s="66"/>
      <c r="K1000" s="66"/>
      <c r="L1000" s="66"/>
      <c r="M1000" s="66"/>
      <c r="N1000" s="64"/>
    </row>
    <row r="1001" customFormat="false" ht="15" hidden="false" customHeight="false" outlineLevel="0" collapsed="false">
      <c r="A1001" s="64"/>
      <c r="B1001" s="64"/>
      <c r="C1001" s="64"/>
      <c r="D1001" s="65"/>
      <c r="E1001" s="64"/>
      <c r="F1001" s="66"/>
      <c r="G1001" s="64"/>
      <c r="H1001" s="64"/>
      <c r="I1001" s="66"/>
      <c r="J1001" s="66"/>
      <c r="K1001" s="66"/>
      <c r="L1001" s="66"/>
      <c r="M1001" s="66"/>
      <c r="N1001" s="64"/>
    </row>
    <row r="1002" customFormat="false" ht="15" hidden="false" customHeight="false" outlineLevel="0" collapsed="false">
      <c r="A1002" s="64"/>
      <c r="B1002" s="64"/>
      <c r="C1002" s="64"/>
      <c r="D1002" s="65"/>
      <c r="E1002" s="64"/>
      <c r="F1002" s="66"/>
      <c r="G1002" s="64"/>
      <c r="H1002" s="64"/>
      <c r="I1002" s="66"/>
      <c r="J1002" s="66"/>
      <c r="K1002" s="66"/>
      <c r="L1002" s="66"/>
      <c r="M1002" s="66"/>
      <c r="N1002" s="64"/>
    </row>
    <row r="1003" customFormat="false" ht="15" hidden="false" customHeight="false" outlineLevel="0" collapsed="false">
      <c r="A1003" s="64"/>
      <c r="B1003" s="64"/>
      <c r="C1003" s="64"/>
      <c r="D1003" s="65"/>
      <c r="E1003" s="64"/>
      <c r="F1003" s="66"/>
      <c r="G1003" s="64"/>
      <c r="H1003" s="64"/>
      <c r="I1003" s="66"/>
      <c r="J1003" s="66"/>
      <c r="K1003" s="66"/>
      <c r="L1003" s="66"/>
      <c r="M1003" s="66"/>
      <c r="N1003" s="64"/>
    </row>
    <row r="1004" customFormat="false" ht="15" hidden="false" customHeight="false" outlineLevel="0" collapsed="false">
      <c r="A1004" s="64"/>
      <c r="B1004" s="64"/>
      <c r="C1004" s="64"/>
      <c r="D1004" s="65"/>
      <c r="E1004" s="64"/>
      <c r="F1004" s="66"/>
      <c r="G1004" s="64"/>
      <c r="H1004" s="64"/>
      <c r="I1004" s="66"/>
      <c r="J1004" s="66"/>
      <c r="K1004" s="66"/>
      <c r="L1004" s="66"/>
      <c r="M1004" s="66"/>
      <c r="N1004" s="64"/>
    </row>
    <row r="1005" customFormat="false" ht="15" hidden="false" customHeight="false" outlineLevel="0" collapsed="false">
      <c r="A1005" s="64"/>
      <c r="B1005" s="64"/>
      <c r="C1005" s="64"/>
      <c r="D1005" s="65"/>
      <c r="E1005" s="64"/>
      <c r="F1005" s="66"/>
      <c r="G1005" s="64"/>
      <c r="H1005" s="64"/>
      <c r="I1005" s="66"/>
      <c r="J1005" s="66"/>
      <c r="K1005" s="66"/>
      <c r="L1005" s="66"/>
      <c r="M1005" s="66"/>
      <c r="N1005" s="64"/>
    </row>
    <row r="1006" customFormat="false" ht="15" hidden="false" customHeight="false" outlineLevel="0" collapsed="false">
      <c r="A1006" s="64"/>
      <c r="B1006" s="64"/>
      <c r="C1006" s="64"/>
      <c r="D1006" s="65"/>
      <c r="E1006" s="64"/>
      <c r="F1006" s="66"/>
      <c r="G1006" s="64"/>
      <c r="H1006" s="64"/>
      <c r="I1006" s="66"/>
      <c r="J1006" s="66"/>
      <c r="K1006" s="66"/>
      <c r="L1006" s="66"/>
      <c r="M1006" s="66"/>
      <c r="N1006" s="64"/>
    </row>
  </sheetData>
  <mergeCells count="4">
    <mergeCell ref="A1:M2"/>
    <mergeCell ref="A3:M3"/>
    <mergeCell ref="A4:M4"/>
    <mergeCell ref="A5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